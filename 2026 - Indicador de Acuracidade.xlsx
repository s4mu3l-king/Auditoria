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erealouroagricola.sharepoint.com/sites/ARQUIVOS-DIROP/Documentos Compartilhados/06 - PCP/20 - Cont. Safra Sementes/Safra 25_26/02 - Controles PCP/07 - Indicadores AGM/"/>
    </mc:Choice>
  </mc:AlternateContent>
  <xr:revisionPtr revIDLastSave="983" documentId="8_{9C5F56AA-7F4B-45C5-9201-1AD52B250DBE}" xr6:coauthVersionLast="47" xr6:coauthVersionMax="47" xr10:uidLastSave="{67BC4CFC-BE8A-4738-BD32-98B1BEE80167}"/>
  <bookViews>
    <workbookView xWindow="-108" yWindow="-108" windowWidth="23256" windowHeight="12456" xr2:uid="{A58C9785-BE5D-4F7C-95C7-902FF3264F9B}"/>
  </bookViews>
  <sheets>
    <sheet name="Resumo" sheetId="3" r:id="rId1"/>
    <sheet name="Resultados" sheetId="2" r:id="rId2"/>
  </sheets>
  <externalReferences>
    <externalReference r:id="rId3"/>
    <externalReference r:id="rId4"/>
  </externalReferences>
  <definedNames>
    <definedName name="SegmentaçãodeDados_CULTURA">#N/A</definedName>
    <definedName name="_xlnm.Print_Titles" localSheetId="1">Resultados!$1:$1</definedName>
  </definedNames>
  <calcPr calcId="191029"/>
  <pivotCaches>
    <pivotCache cacheId="4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944" i="2" l="1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V2547" i="2" l="1"/>
  <c r="V2548" i="2"/>
  <c r="V2549" i="2"/>
  <c r="V2550" i="2"/>
  <c r="V2551" i="2"/>
  <c r="R2264" i="2"/>
  <c r="R2263" i="2"/>
  <c r="R2262" i="2"/>
  <c r="R2260" i="2"/>
  <c r="R2259" i="2"/>
  <c r="R2258" i="2"/>
  <c r="R2257" i="2"/>
  <c r="R2256" i="2"/>
  <c r="R2255" i="2"/>
  <c r="R2254" i="2"/>
  <c r="R2253" i="2"/>
  <c r="R2250" i="2"/>
  <c r="R2249" i="2"/>
  <c r="R2247" i="2"/>
  <c r="R2246" i="2"/>
  <c r="R2245" i="2"/>
  <c r="R2244" i="2"/>
  <c r="R2243" i="2"/>
  <c r="R2242" i="2"/>
  <c r="R2241" i="2"/>
  <c r="R2240" i="2"/>
  <c r="R2239" i="2"/>
  <c r="R2238" i="2"/>
  <c r="R2237" i="2"/>
  <c r="R2236" i="2"/>
  <c r="R2235" i="2"/>
  <c r="R2234" i="2"/>
  <c r="R2233" i="2"/>
  <c r="R2232" i="2"/>
  <c r="R2231" i="2"/>
  <c r="R2230" i="2"/>
  <c r="R2229" i="2"/>
  <c r="R2228" i="2"/>
  <c r="R2227" i="2"/>
  <c r="R2226" i="2"/>
  <c r="R2222" i="2"/>
  <c r="R2221" i="2"/>
  <c r="R2211" i="2"/>
  <c r="R2210" i="2"/>
  <c r="R2208" i="2"/>
  <c r="R2207" i="2"/>
  <c r="R2206" i="2"/>
  <c r="R2205" i="2"/>
  <c r="R2204" i="2"/>
  <c r="R2191" i="2"/>
  <c r="R2190" i="2"/>
  <c r="R2171" i="2"/>
  <c r="R2165" i="2"/>
  <c r="R2159" i="2"/>
  <c r="R2158" i="2"/>
  <c r="R2154" i="2"/>
  <c r="R2149" i="2"/>
  <c r="R2148" i="2"/>
  <c r="R2147" i="2"/>
  <c r="R2146" i="2"/>
  <c r="R2143" i="2"/>
  <c r="R2142" i="2"/>
  <c r="R2141" i="2"/>
  <c r="R2140" i="2"/>
  <c r="R2139" i="2"/>
  <c r="R2138" i="2"/>
  <c r="R2137" i="2"/>
  <c r="R2135" i="2"/>
  <c r="R2134" i="2"/>
  <c r="R2133" i="2"/>
  <c r="R2132" i="2"/>
  <c r="R2131" i="2"/>
  <c r="R2128" i="2"/>
  <c r="R2127" i="2"/>
  <c r="R2126" i="2"/>
  <c r="R2125" i="2"/>
  <c r="R2124" i="2"/>
  <c r="R2123" i="2"/>
  <c r="R2119" i="2"/>
  <c r="R2117" i="2"/>
  <c r="R2116" i="2"/>
  <c r="R2115" i="2"/>
  <c r="R2104" i="2"/>
  <c r="R2102" i="2"/>
  <c r="R2098" i="2"/>
  <c r="R2094" i="2"/>
  <c r="R2091" i="2"/>
  <c r="R2082" i="2"/>
  <c r="R2081" i="2"/>
  <c r="R2080" i="2"/>
  <c r="R2078" i="2"/>
  <c r="R2071" i="2"/>
  <c r="R2056" i="2"/>
  <c r="R2025" i="2"/>
  <c r="R2014" i="2"/>
  <c r="R2013" i="2"/>
  <c r="R2012" i="2"/>
  <c r="R2011" i="2"/>
  <c r="R2010" i="2"/>
  <c r="R2009" i="2"/>
  <c r="R2008" i="2"/>
  <c r="R2007" i="2"/>
  <c r="R2006" i="2"/>
  <c r="R2005" i="2"/>
  <c r="R2004" i="2"/>
  <c r="R2003" i="2"/>
  <c r="R2002" i="2"/>
  <c r="R2001" i="2"/>
  <c r="R2000" i="2"/>
  <c r="R1999" i="2"/>
  <c r="R1998" i="2"/>
  <c r="R1997" i="2"/>
  <c r="R1996" i="2"/>
  <c r="R1995" i="2"/>
  <c r="R1990" i="2"/>
  <c r="R1988" i="2"/>
  <c r="R1987" i="2"/>
  <c r="R1986" i="2"/>
  <c r="R1985" i="2"/>
  <c r="R1983" i="2"/>
  <c r="R1982" i="2"/>
  <c r="R1980" i="2"/>
  <c r="R1969" i="2"/>
  <c r="R1967" i="2"/>
  <c r="R1966" i="2"/>
  <c r="R1965" i="2"/>
  <c r="R1964" i="2"/>
  <c r="R1963" i="2"/>
  <c r="R1962" i="2"/>
  <c r="R1961" i="2"/>
  <c r="R1960" i="2"/>
  <c r="R1959" i="2"/>
  <c r="R1958" i="2"/>
  <c r="R1957" i="2"/>
  <c r="R1956" i="2"/>
  <c r="R1955" i="2"/>
  <c r="V2350" i="2"/>
  <c r="V2352" i="2"/>
  <c r="V2353" i="2"/>
  <c r="R1954" i="2"/>
  <c r="R1953" i="2"/>
  <c r="R1949" i="2"/>
  <c r="R1950" i="2"/>
  <c r="R1951" i="2"/>
  <c r="R1948" i="2"/>
  <c r="R1945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27" i="2"/>
  <c r="V2354" i="2"/>
  <c r="V2355" i="2"/>
  <c r="V2356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9" i="2"/>
  <c r="V2390" i="2"/>
  <c r="V2392" i="2"/>
  <c r="V2394" i="2"/>
  <c r="V2396" i="2"/>
  <c r="V2402" i="2"/>
  <c r="V2403" i="2"/>
  <c r="V2406" i="2"/>
  <c r="V2408" i="2"/>
  <c r="V2409" i="2"/>
  <c r="V2412" i="2"/>
  <c r="V2413" i="2"/>
  <c r="V2414" i="2"/>
  <c r="V2415" i="2"/>
  <c r="V2418" i="2"/>
  <c r="V2419" i="2"/>
  <c r="V2420" i="2"/>
  <c r="V2421" i="2"/>
  <c r="V2422" i="2"/>
  <c r="V2425" i="2"/>
  <c r="V2426" i="2"/>
  <c r="V2428" i="2"/>
  <c r="V2429" i="2"/>
  <c r="V2430" i="2"/>
  <c r="V2433" i="2"/>
  <c r="V2435" i="2"/>
  <c r="V2436" i="2"/>
  <c r="V2438" i="2"/>
  <c r="V2439" i="2"/>
  <c r="V2440" i="2"/>
  <c r="V2442" i="2"/>
  <c r="V2443" i="2"/>
  <c r="V2444" i="2"/>
  <c r="V2445" i="2"/>
  <c r="V2446" i="2"/>
  <c r="V2447" i="2"/>
  <c r="V2448" i="2"/>
  <c r="V2449" i="2"/>
  <c r="V2451" i="2"/>
  <c r="V2454" i="2"/>
  <c r="V2455" i="2"/>
  <c r="V2456" i="2"/>
  <c r="V2457" i="2"/>
  <c r="V2459" i="2"/>
  <c r="V2460" i="2"/>
  <c r="V2461" i="2"/>
  <c r="V2462" i="2"/>
  <c r="V2463" i="2"/>
  <c r="V2465" i="2"/>
  <c r="V2467" i="2"/>
  <c r="V2469" i="2"/>
  <c r="V2470" i="2"/>
  <c r="V2473" i="2"/>
  <c r="V2475" i="2"/>
  <c r="V2476" i="2"/>
  <c r="V2478" i="2"/>
  <c r="V2479" i="2"/>
  <c r="V2481" i="2"/>
  <c r="V2482" i="2"/>
  <c r="V2483" i="2"/>
  <c r="V2484" i="2"/>
  <c r="V2485" i="2"/>
  <c r="V2487" i="2"/>
  <c r="V2488" i="2"/>
  <c r="V2489" i="2"/>
  <c r="V2490" i="2"/>
  <c r="V2493" i="2"/>
  <c r="V2494" i="2"/>
  <c r="V2496" i="2"/>
  <c r="V2498" i="2"/>
  <c r="V2499" i="2"/>
  <c r="V2500" i="2"/>
  <c r="V2502" i="2"/>
  <c r="V2506" i="2"/>
  <c r="V2509" i="2"/>
  <c r="V2510" i="2"/>
  <c r="V2511" i="2"/>
  <c r="V2513" i="2"/>
  <c r="V2517" i="2"/>
  <c r="V2521" i="2"/>
  <c r="V2525" i="2"/>
  <c r="V2526" i="2"/>
  <c r="V2530" i="2"/>
  <c r="V2537" i="2"/>
  <c r="V2538" i="2"/>
  <c r="V2539" i="2"/>
  <c r="V2540" i="2"/>
  <c r="V2541" i="2"/>
  <c r="V2542" i="2"/>
  <c r="V2543" i="2"/>
  <c r="V2544" i="2"/>
  <c r="V2545" i="2"/>
  <c r="V2546" i="2"/>
  <c r="V2552" i="2"/>
  <c r="R1926" i="2"/>
  <c r="V2324" i="2"/>
  <c r="V2325" i="2"/>
  <c r="V2326" i="2"/>
  <c r="V2327" i="2"/>
  <c r="V2329" i="2"/>
  <c r="V2330" i="2"/>
  <c r="V2331" i="2"/>
  <c r="V2332" i="2"/>
  <c r="V2333" i="2"/>
  <c r="V2334" i="2"/>
  <c r="V2336" i="2"/>
  <c r="V2337" i="2"/>
  <c r="V2338" i="2"/>
  <c r="V2339" i="2"/>
  <c r="V2341" i="2"/>
  <c r="V2343" i="2"/>
  <c r="V2344" i="2"/>
  <c r="V2345" i="2"/>
  <c r="T2201" i="2"/>
  <c r="T2264" i="2" l="1"/>
  <c r="T2263" i="2"/>
  <c r="T2262" i="2"/>
  <c r="T2260" i="2"/>
  <c r="T2259" i="2"/>
  <c r="T2258" i="2"/>
  <c r="T2257" i="2"/>
  <c r="T2256" i="2"/>
  <c r="T2255" i="2"/>
  <c r="T2254" i="2"/>
  <c r="T2253" i="2"/>
  <c r="T2250" i="2"/>
  <c r="T2249" i="2"/>
  <c r="T2247" i="2"/>
  <c r="T2246" i="2"/>
  <c r="T2245" i="2"/>
  <c r="T2244" i="2"/>
  <c r="T2243" i="2"/>
  <c r="T2242" i="2"/>
  <c r="T2241" i="2"/>
  <c r="T2240" i="2"/>
  <c r="T2239" i="2"/>
  <c r="T2238" i="2"/>
  <c r="T2237" i="2"/>
  <c r="T2236" i="2"/>
  <c r="T2235" i="2"/>
  <c r="T2234" i="2"/>
  <c r="T2233" i="2"/>
  <c r="T2232" i="2"/>
  <c r="T2231" i="2"/>
  <c r="T2230" i="2"/>
  <c r="T2229" i="2"/>
  <c r="T2228" i="2"/>
  <c r="T2227" i="2"/>
  <c r="T2226" i="2"/>
  <c r="T2222" i="2"/>
  <c r="T2221" i="2"/>
  <c r="T2211" i="2"/>
  <c r="T2210" i="2"/>
  <c r="T2208" i="2"/>
  <c r="T2207" i="2"/>
  <c r="T2206" i="2"/>
  <c r="T2205" i="2"/>
  <c r="T2204" i="2"/>
  <c r="T2196" i="2"/>
  <c r="T2194" i="2"/>
  <c r="T2192" i="2"/>
  <c r="T2191" i="2"/>
  <c r="T2190" i="2"/>
  <c r="T2171" i="2"/>
  <c r="T2165" i="2"/>
  <c r="T2159" i="2"/>
  <c r="T2158" i="2"/>
  <c r="T2154" i="2"/>
  <c r="T2149" i="2"/>
  <c r="T2148" i="2"/>
  <c r="T2147" i="2"/>
  <c r="T2146" i="2"/>
  <c r="T2143" i="2"/>
  <c r="T2142" i="2"/>
  <c r="T2141" i="2"/>
  <c r="T2140" i="2"/>
  <c r="T2139" i="2"/>
  <c r="T2138" i="2"/>
  <c r="T2137" i="2"/>
  <c r="T2135" i="2"/>
  <c r="T2134" i="2"/>
  <c r="T2133" i="2"/>
  <c r="T2132" i="2"/>
  <c r="T2131" i="2"/>
  <c r="T2128" i="2"/>
  <c r="T2127" i="2"/>
  <c r="T2126" i="2"/>
  <c r="T2125" i="2"/>
  <c r="T2124" i="2"/>
  <c r="T2123" i="2"/>
  <c r="T2119" i="2"/>
  <c r="T2117" i="2"/>
  <c r="T2116" i="2"/>
  <c r="T2115" i="2"/>
  <c r="T2104" i="2"/>
  <c r="T2102" i="2"/>
  <c r="T2098" i="2"/>
  <c r="T2094" i="2"/>
  <c r="T2091" i="2"/>
  <c r="T2082" i="2"/>
  <c r="T2081" i="2"/>
  <c r="T2080" i="2"/>
  <c r="T2078" i="2"/>
  <c r="T2071" i="2"/>
  <c r="T2056" i="2"/>
  <c r="T2025" i="2"/>
  <c r="T2014" i="2"/>
  <c r="T2013" i="2"/>
  <c r="T2012" i="2"/>
  <c r="T2011" i="2"/>
  <c r="T2010" i="2"/>
  <c r="T2009" i="2"/>
  <c r="T2008" i="2"/>
  <c r="T2007" i="2"/>
  <c r="T2006" i="2"/>
  <c r="T2005" i="2"/>
  <c r="T2004" i="2"/>
  <c r="T2003" i="2"/>
  <c r="T2002" i="2"/>
  <c r="T2001" i="2"/>
  <c r="T2000" i="2"/>
  <c r="T1999" i="2"/>
  <c r="T1998" i="2"/>
  <c r="T1997" i="2"/>
  <c r="T1996" i="2"/>
  <c r="T1995" i="2"/>
  <c r="T1993" i="2"/>
  <c r="T1991" i="2"/>
  <c r="T1990" i="2"/>
  <c r="T1989" i="2"/>
  <c r="T1988" i="2"/>
  <c r="T1987" i="2"/>
  <c r="T1986" i="2"/>
  <c r="T1985" i="2"/>
  <c r="T1983" i="2"/>
  <c r="T1982" i="2"/>
  <c r="T1980" i="2"/>
  <c r="T1969" i="2"/>
  <c r="T1967" i="2"/>
  <c r="T1966" i="2"/>
  <c r="T1965" i="2"/>
  <c r="T1964" i="2"/>
  <c r="T1963" i="2"/>
  <c r="T1962" i="2"/>
  <c r="T1961" i="2"/>
  <c r="T1960" i="2"/>
  <c r="T1959" i="2"/>
  <c r="T1958" i="2"/>
  <c r="T1957" i="2"/>
  <c r="T1956" i="2"/>
  <c r="T1955" i="2"/>
  <c r="T1954" i="2"/>
  <c r="T1953" i="2"/>
  <c r="T1951" i="2"/>
  <c r="T1950" i="2"/>
  <c r="T1948" i="2"/>
  <c r="T1945" i="2"/>
  <c r="T1943" i="2"/>
  <c r="T1942" i="2"/>
  <c r="T1941" i="2"/>
  <c r="T1940" i="2"/>
  <c r="T1939" i="2"/>
  <c r="T1938" i="2"/>
  <c r="T1937" i="2"/>
  <c r="T1936" i="2"/>
  <c r="T1935" i="2"/>
  <c r="T1934" i="2"/>
  <c r="T1933" i="2"/>
  <c r="T1932" i="2"/>
  <c r="T1931" i="2"/>
  <c r="T1930" i="2"/>
  <c r="T1929" i="2"/>
  <c r="T1928" i="2"/>
  <c r="T1927" i="2"/>
  <c r="T1926" i="2"/>
  <c r="S2264" i="2"/>
  <c r="S2263" i="2"/>
  <c r="S2262" i="2"/>
  <c r="S2260" i="2"/>
  <c r="S2259" i="2"/>
  <c r="S2258" i="2"/>
  <c r="S2257" i="2"/>
  <c r="S2256" i="2"/>
  <c r="S2255" i="2"/>
  <c r="S2254" i="2"/>
  <c r="S2253" i="2"/>
  <c r="S2250" i="2"/>
  <c r="S2249" i="2"/>
  <c r="S2247" i="2"/>
  <c r="S2246" i="2"/>
  <c r="S2245" i="2"/>
  <c r="S2244" i="2"/>
  <c r="S2243" i="2"/>
  <c r="S2242" i="2"/>
  <c r="S2241" i="2"/>
  <c r="S2240" i="2"/>
  <c r="S2239" i="2"/>
  <c r="S2238" i="2"/>
  <c r="S2237" i="2"/>
  <c r="S2236" i="2"/>
  <c r="S2235" i="2"/>
  <c r="S2234" i="2"/>
  <c r="S2233" i="2"/>
  <c r="S2232" i="2"/>
  <c r="S2231" i="2"/>
  <c r="S2230" i="2"/>
  <c r="S2229" i="2"/>
  <c r="S2228" i="2"/>
  <c r="S2227" i="2"/>
  <c r="S2226" i="2"/>
  <c r="S2222" i="2"/>
  <c r="S2221" i="2"/>
  <c r="S2211" i="2"/>
  <c r="S2210" i="2"/>
  <c r="S2208" i="2"/>
  <c r="S2207" i="2"/>
  <c r="S2206" i="2"/>
  <c r="S2205" i="2"/>
  <c r="S2204" i="2"/>
  <c r="S2191" i="2"/>
  <c r="S2190" i="2"/>
  <c r="S2171" i="2"/>
  <c r="S2165" i="2"/>
  <c r="S2159" i="2"/>
  <c r="S2158" i="2"/>
  <c r="S2154" i="2"/>
  <c r="S2149" i="2"/>
  <c r="S2148" i="2"/>
  <c r="S2147" i="2"/>
  <c r="S2146" i="2"/>
  <c r="S2143" i="2"/>
  <c r="S2142" i="2"/>
  <c r="S2141" i="2"/>
  <c r="S2140" i="2"/>
  <c r="S2139" i="2"/>
  <c r="S2138" i="2"/>
  <c r="S2137" i="2"/>
  <c r="S2135" i="2"/>
  <c r="S2134" i="2"/>
  <c r="S2133" i="2"/>
  <c r="S2132" i="2"/>
  <c r="S2131" i="2"/>
  <c r="S2128" i="2"/>
  <c r="S2127" i="2"/>
  <c r="S2126" i="2"/>
  <c r="S2125" i="2"/>
  <c r="S2124" i="2"/>
  <c r="S2123" i="2"/>
  <c r="S2119" i="2"/>
  <c r="S2117" i="2"/>
  <c r="S2116" i="2"/>
  <c r="S2115" i="2"/>
  <c r="S1926" i="2"/>
  <c r="S1969" i="2"/>
  <c r="S1967" i="2"/>
  <c r="S1966" i="2"/>
  <c r="S1965" i="2"/>
  <c r="S1964" i="2"/>
  <c r="S1963" i="2"/>
  <c r="S1962" i="2"/>
  <c r="S1961" i="2"/>
  <c r="S1960" i="2"/>
  <c r="S1959" i="2"/>
  <c r="S1958" i="2"/>
  <c r="S1957" i="2"/>
  <c r="S1956" i="2"/>
  <c r="S1955" i="2"/>
  <c r="S1954" i="2"/>
  <c r="S1953" i="2"/>
  <c r="S1951" i="2"/>
  <c r="S1950" i="2"/>
  <c r="S1948" i="2"/>
  <c r="S1945" i="2"/>
  <c r="S1943" i="2"/>
  <c r="S1942" i="2"/>
  <c r="S1941" i="2"/>
  <c r="S1940" i="2"/>
  <c r="S1939" i="2"/>
  <c r="S1938" i="2"/>
  <c r="S1937" i="2"/>
  <c r="S1936" i="2"/>
  <c r="S1935" i="2"/>
  <c r="S1934" i="2"/>
  <c r="S1933" i="2"/>
  <c r="S1932" i="2"/>
  <c r="S1931" i="2"/>
  <c r="S1930" i="2"/>
  <c r="S1929" i="2"/>
  <c r="S1928" i="2"/>
  <c r="S1927" i="2"/>
  <c r="S1980" i="2"/>
  <c r="S1983" i="2"/>
  <c r="S1982" i="2"/>
  <c r="S2014" i="2"/>
  <c r="S2013" i="2"/>
  <c r="S2012" i="2"/>
  <c r="S2011" i="2"/>
  <c r="S2010" i="2"/>
  <c r="S2009" i="2"/>
  <c r="S2008" i="2"/>
  <c r="S2007" i="2"/>
  <c r="S2006" i="2"/>
  <c r="S2005" i="2"/>
  <c r="S2004" i="2"/>
  <c r="S2003" i="2"/>
  <c r="S2002" i="2"/>
  <c r="S2001" i="2"/>
  <c r="S2000" i="2"/>
  <c r="S1999" i="2"/>
  <c r="S1998" i="2"/>
  <c r="S1997" i="2"/>
  <c r="S1996" i="2"/>
  <c r="S1995" i="2"/>
  <c r="S1993" i="2"/>
  <c r="S1991" i="2"/>
  <c r="S1990" i="2"/>
  <c r="S1989" i="2"/>
  <c r="S1988" i="2"/>
  <c r="S1987" i="2"/>
  <c r="S1986" i="2"/>
  <c r="S1985" i="2"/>
  <c r="S2025" i="2"/>
  <c r="S2056" i="2"/>
  <c r="S2071" i="2"/>
  <c r="S2078" i="2"/>
  <c r="S2082" i="2"/>
  <c r="S2081" i="2"/>
  <c r="S2080" i="2"/>
  <c r="S2091" i="2"/>
  <c r="S2094" i="2"/>
  <c r="S2098" i="2"/>
  <c r="S2102" i="2"/>
  <c r="S2104" i="2"/>
  <c r="U1926" i="2" l="1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5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9" i="2"/>
  <c r="V2250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71" i="2"/>
  <c r="V2273" i="2"/>
  <c r="V2274" i="2"/>
  <c r="V2277" i="2"/>
  <c r="V2278" i="2"/>
  <c r="V2279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3" i="2"/>
  <c r="V2347" i="2"/>
  <c r="V2348" i="2"/>
  <c r="V2349" i="2"/>
  <c r="O1895" i="2"/>
  <c r="V1925" i="2" l="1"/>
  <c r="X1924" i="2"/>
  <c r="X1925" i="2"/>
  <c r="O1925" i="2"/>
  <c r="U1925" i="2" s="1"/>
  <c r="O1924" i="2"/>
  <c r="O1923" i="2" l="1"/>
  <c r="U1923" i="2" s="1"/>
  <c r="O1922" i="2"/>
  <c r="U1922" i="2" s="1"/>
  <c r="V1922" i="2"/>
  <c r="X1922" i="2"/>
  <c r="V1923" i="2"/>
  <c r="X1923" i="2"/>
  <c r="X1921" i="2"/>
  <c r="U1924" i="2"/>
  <c r="V1924" i="2"/>
  <c r="U1900" i="2" l="1"/>
  <c r="O1894" i="2"/>
  <c r="O1893" i="2"/>
  <c r="O1892" i="2"/>
  <c r="O1891" i="2"/>
  <c r="O1913" i="2"/>
  <c r="O1912" i="2"/>
  <c r="O1911" i="2"/>
  <c r="O1910" i="2"/>
  <c r="O1908" i="2" l="1"/>
  <c r="O1907" i="2"/>
  <c r="O1906" i="2"/>
  <c r="O1905" i="2"/>
  <c r="O1921" i="2"/>
  <c r="O1920" i="2"/>
  <c r="O1919" i="2" l="1"/>
  <c r="U1919" i="2" s="1"/>
  <c r="O1918" i="2"/>
  <c r="U1918" i="2" s="1"/>
  <c r="O1917" i="2"/>
  <c r="U1917" i="2" s="1"/>
  <c r="O1916" i="2"/>
  <c r="U1916" i="2" s="1"/>
  <c r="O1915" i="2"/>
  <c r="U1915" i="2" s="1"/>
  <c r="O1914" i="2"/>
  <c r="U1914" i="2" s="1"/>
  <c r="O1890" i="2"/>
  <c r="U1890" i="2" s="1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1" i="2"/>
  <c r="U1892" i="2"/>
  <c r="U1893" i="2"/>
  <c r="U1894" i="2"/>
  <c r="U1895" i="2"/>
  <c r="U1896" i="2"/>
  <c r="U1897" i="2"/>
  <c r="U1898" i="2"/>
  <c r="U1899" i="2"/>
  <c r="U1901" i="2"/>
  <c r="U1902" i="2"/>
  <c r="U1903" i="2"/>
  <c r="U1905" i="2"/>
  <c r="U1906" i="2"/>
  <c r="U1907" i="2"/>
  <c r="U1908" i="2"/>
  <c r="U1909" i="2"/>
  <c r="U1910" i="2"/>
  <c r="U1911" i="2"/>
  <c r="U1912" i="2"/>
  <c r="U1913" i="2"/>
  <c r="U1920" i="2"/>
  <c r="U1921" i="2"/>
  <c r="O1904" i="2"/>
  <c r="U1904" i="2" s="1"/>
  <c r="V1890" i="2"/>
  <c r="X1890" i="2"/>
  <c r="V1891" i="2"/>
  <c r="X1891" i="2"/>
  <c r="V1892" i="2"/>
  <c r="X1892" i="2"/>
  <c r="V1893" i="2"/>
  <c r="X1893" i="2"/>
  <c r="V1894" i="2"/>
  <c r="X1894" i="2"/>
  <c r="V1895" i="2"/>
  <c r="X1895" i="2"/>
  <c r="V1896" i="2"/>
  <c r="X1896" i="2"/>
  <c r="V1897" i="2"/>
  <c r="X1897" i="2"/>
  <c r="V1898" i="2"/>
  <c r="X1898" i="2"/>
  <c r="V1899" i="2"/>
  <c r="X1899" i="2"/>
  <c r="V1900" i="2"/>
  <c r="X1900" i="2"/>
  <c r="V1901" i="2"/>
  <c r="X1901" i="2"/>
  <c r="V1902" i="2"/>
  <c r="X1902" i="2"/>
  <c r="V1903" i="2"/>
  <c r="X1903" i="2"/>
  <c r="V1904" i="2"/>
  <c r="X1904" i="2"/>
  <c r="V1905" i="2"/>
  <c r="X1905" i="2"/>
  <c r="V1906" i="2"/>
  <c r="X1906" i="2"/>
  <c r="V1907" i="2"/>
  <c r="X1907" i="2"/>
  <c r="V1908" i="2"/>
  <c r="X1908" i="2"/>
  <c r="V1909" i="2"/>
  <c r="X1909" i="2"/>
  <c r="V1910" i="2"/>
  <c r="X1910" i="2"/>
  <c r="V1911" i="2"/>
  <c r="X1911" i="2"/>
  <c r="V1912" i="2"/>
  <c r="X1912" i="2"/>
  <c r="V1913" i="2"/>
  <c r="X1913" i="2"/>
  <c r="V1914" i="2"/>
  <c r="X1914" i="2"/>
  <c r="V1915" i="2"/>
  <c r="X1915" i="2"/>
  <c r="V1916" i="2"/>
  <c r="X1916" i="2"/>
  <c r="V1917" i="2"/>
  <c r="X1917" i="2"/>
  <c r="V1918" i="2"/>
  <c r="X1918" i="2"/>
  <c r="V1919" i="2"/>
  <c r="X1919" i="2"/>
  <c r="V1920" i="2"/>
  <c r="X1920" i="2"/>
  <c r="V1921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2554" i="2" l="1"/>
  <c r="V1263" i="2" l="1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V1519" i="2" l="1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V1885" i="2"/>
  <c r="V1886" i="2"/>
  <c r="V1887" i="2"/>
  <c r="V1888" i="2"/>
  <c r="V1889" i="2"/>
  <c r="X1885" i="2"/>
  <c r="X1886" i="2"/>
  <c r="X1887" i="2"/>
  <c r="X1888" i="2"/>
  <c r="X1889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X640" i="2" l="1"/>
  <c r="X637" i="2"/>
  <c r="X639" i="2"/>
  <c r="X636" i="2"/>
  <c r="X638" i="2"/>
  <c r="X772" i="2"/>
  <c r="X741" i="2"/>
  <c r="X771" i="2"/>
  <c r="X770" i="2"/>
  <c r="X769" i="2"/>
  <c r="X740" i="2"/>
  <c r="X768" i="2"/>
  <c r="X739" i="2"/>
  <c r="X767" i="2"/>
  <c r="X738" i="2"/>
  <c r="X766" i="2"/>
  <c r="X765" i="2"/>
  <c r="X764" i="2"/>
  <c r="X737" i="2"/>
  <c r="X763" i="2"/>
  <c r="X975" i="2"/>
  <c r="X955" i="2"/>
  <c r="X954" i="2"/>
  <c r="X974" i="2"/>
  <c r="X973" i="2"/>
  <c r="X953" i="2"/>
  <c r="X972" i="2"/>
  <c r="X952" i="2"/>
  <c r="X971" i="2"/>
  <c r="X970" i="2"/>
  <c r="X951" i="2"/>
  <c r="X950" i="2"/>
  <c r="X969" i="2"/>
  <c r="X968" i="2"/>
  <c r="X949" i="2"/>
  <c r="X967" i="2"/>
  <c r="X948" i="2"/>
  <c r="X903" i="2"/>
  <c r="X935" i="2"/>
  <c r="X902" i="2"/>
  <c r="X934" i="2"/>
  <c r="X933" i="2"/>
  <c r="X881" i="2"/>
  <c r="X873" i="2"/>
  <c r="X872" i="2"/>
  <c r="X880" i="2"/>
  <c r="X879" i="2"/>
  <c r="X878" i="2"/>
  <c r="X877" i="2"/>
  <c r="X871" i="2"/>
  <c r="X876" i="2"/>
  <c r="X875" i="2"/>
  <c r="X874" i="2"/>
  <c r="X870" i="2"/>
  <c r="X867" i="2"/>
  <c r="X866" i="2"/>
  <c r="X869" i="2"/>
  <c r="X865" i="2"/>
  <c r="X868" i="2"/>
  <c r="X864" i="2"/>
  <c r="X966" i="2"/>
  <c r="X947" i="2"/>
  <c r="X965" i="2"/>
  <c r="X964" i="2"/>
  <c r="X946" i="2"/>
  <c r="X963" i="2"/>
  <c r="X945" i="2"/>
  <c r="X962" i="2"/>
  <c r="X944" i="2"/>
  <c r="X961" i="2"/>
  <c r="X943" i="2"/>
  <c r="X960" i="2"/>
  <c r="X942" i="2"/>
  <c r="X932" i="2"/>
  <c r="X901" i="2"/>
  <c r="X931" i="2"/>
  <c r="X900" i="2"/>
  <c r="X930" i="2"/>
  <c r="X929" i="2"/>
  <c r="X899" i="2"/>
  <c r="X927" i="2"/>
  <c r="X928" i="2"/>
  <c r="X898" i="2"/>
  <c r="X897" i="2"/>
  <c r="X926" i="2"/>
  <c r="X925" i="2"/>
  <c r="X896" i="2"/>
  <c r="X924" i="2"/>
  <c r="X923" i="2"/>
  <c r="X895" i="2"/>
  <c r="X922" i="2"/>
  <c r="X894" i="2"/>
  <c r="X921" i="2"/>
  <c r="X920" i="2"/>
  <c r="X893" i="2"/>
  <c r="X919" i="2"/>
  <c r="X918" i="2"/>
  <c r="X892" i="2"/>
  <c r="X917" i="2"/>
  <c r="X916" i="2"/>
  <c r="X891" i="2"/>
  <c r="X915" i="2"/>
  <c r="X890" i="2"/>
  <c r="X914" i="2"/>
  <c r="X889" i="2"/>
  <c r="X913" i="2"/>
  <c r="X713" i="2"/>
  <c r="X711" i="2"/>
  <c r="X712" i="2"/>
  <c r="X710" i="2"/>
  <c r="X709" i="2"/>
  <c r="X698" i="2"/>
  <c r="X708" i="2"/>
  <c r="X697" i="2"/>
  <c r="X707" i="2"/>
  <c r="X706" i="2"/>
  <c r="X696" i="2"/>
  <c r="X705" i="2"/>
  <c r="X695" i="2"/>
  <c r="X704" i="2"/>
  <c r="X703" i="2"/>
  <c r="X694" i="2"/>
  <c r="X702" i="2"/>
  <c r="X693" i="2"/>
  <c r="X701" i="2"/>
  <c r="X700" i="2"/>
  <c r="X692" i="2"/>
  <c r="X691" i="2"/>
  <c r="X699" i="2"/>
  <c r="X959" i="2"/>
  <c r="X941" i="2"/>
  <c r="X958" i="2"/>
  <c r="X940" i="2"/>
  <c r="X939" i="2"/>
  <c r="X957" i="2"/>
  <c r="X938" i="2"/>
  <c r="X937" i="2"/>
  <c r="X956" i="2"/>
  <c r="X936" i="2"/>
  <c r="X888" i="2"/>
  <c r="X912" i="2"/>
  <c r="X911" i="2"/>
  <c r="X887" i="2"/>
  <c r="X910" i="2"/>
  <c r="X909" i="2"/>
  <c r="X906" i="2"/>
  <c r="X908" i="2"/>
  <c r="X886" i="2"/>
  <c r="X907" i="2"/>
  <c r="X885" i="2"/>
  <c r="X905" i="2"/>
  <c r="X884" i="2"/>
  <c r="X883" i="2"/>
  <c r="X904" i="2"/>
  <c r="X882" i="2"/>
  <c r="X823" i="2"/>
  <c r="X863" i="2"/>
  <c r="X862" i="2"/>
  <c r="X822" i="2"/>
  <c r="X821" i="2"/>
  <c r="X861" i="2"/>
  <c r="X820" i="2"/>
  <c r="X860" i="2"/>
  <c r="X859" i="2"/>
  <c r="X819" i="2"/>
  <c r="X858" i="2"/>
  <c r="X818" i="2"/>
  <c r="X817" i="2"/>
  <c r="X857" i="2"/>
  <c r="X816" i="2"/>
  <c r="X856" i="2"/>
  <c r="X815" i="2"/>
  <c r="X690" i="2"/>
  <c r="X654" i="2"/>
  <c r="X689" i="2"/>
  <c r="X653" i="2"/>
  <c r="X688" i="2"/>
  <c r="X687" i="2"/>
  <c r="X686" i="2"/>
  <c r="X685" i="2"/>
  <c r="X684" i="2"/>
  <c r="X652" i="2"/>
  <c r="X683" i="2"/>
  <c r="X682" i="2"/>
  <c r="X681" i="2"/>
  <c r="X680" i="2"/>
  <c r="X651" i="2"/>
  <c r="X679" i="2"/>
  <c r="X678" i="2"/>
  <c r="X677" i="2"/>
  <c r="X855" i="2"/>
  <c r="X814" i="2"/>
  <c r="X813" i="2"/>
  <c r="X812" i="2"/>
  <c r="X854" i="2"/>
  <c r="X811" i="2"/>
  <c r="X810" i="2"/>
  <c r="X809" i="2"/>
  <c r="X808" i="2"/>
  <c r="X853" i="2"/>
  <c r="X807" i="2"/>
  <c r="X852" i="2"/>
  <c r="X806" i="2"/>
  <c r="X851" i="2"/>
  <c r="X805" i="2"/>
  <c r="X804" i="2"/>
  <c r="X850" i="2"/>
  <c r="X803" i="2"/>
  <c r="X849" i="2"/>
  <c r="X802" i="2"/>
  <c r="X848" i="2"/>
  <c r="X801" i="2"/>
  <c r="X800" i="2"/>
  <c r="X847" i="2"/>
  <c r="X799" i="2"/>
  <c r="X846" i="2"/>
  <c r="X798" i="2"/>
  <c r="X845" i="2"/>
  <c r="X797" i="2"/>
  <c r="X796" i="2"/>
  <c r="X844" i="2"/>
  <c r="X795" i="2"/>
  <c r="X843" i="2"/>
  <c r="X794" i="2"/>
  <c r="X793" i="2"/>
  <c r="X842" i="2"/>
  <c r="X792" i="2"/>
  <c r="X841" i="2"/>
  <c r="X791" i="2"/>
  <c r="X790" i="2"/>
  <c r="X840" i="2"/>
  <c r="X789" i="2"/>
  <c r="X839" i="2"/>
  <c r="X788" i="2"/>
  <c r="X787" i="2"/>
  <c r="X838" i="2"/>
  <c r="X837" i="2"/>
  <c r="X786" i="2"/>
  <c r="X836" i="2"/>
  <c r="X785" i="2"/>
  <c r="X835" i="2"/>
  <c r="X784" i="2"/>
  <c r="X783" i="2"/>
  <c r="X834" i="2"/>
  <c r="X782" i="2"/>
  <c r="X833" i="2"/>
  <c r="X781" i="2"/>
  <c r="X831" i="2"/>
  <c r="X780" i="2"/>
  <c r="X832" i="2"/>
  <c r="X779" i="2"/>
  <c r="X676" i="2"/>
  <c r="X650" i="2"/>
  <c r="X675" i="2"/>
  <c r="X649" i="2"/>
  <c r="X674" i="2"/>
  <c r="X673" i="2"/>
  <c r="X648" i="2"/>
  <c r="X672" i="2"/>
  <c r="X671" i="2"/>
  <c r="X670" i="2"/>
  <c r="X647" i="2"/>
  <c r="X669" i="2"/>
  <c r="X668" i="2"/>
  <c r="X667" i="2"/>
  <c r="X646" i="2"/>
  <c r="X666" i="2"/>
  <c r="X665" i="2"/>
  <c r="X645" i="2"/>
  <c r="X664" i="2"/>
  <c r="X663" i="2"/>
  <c r="X644" i="2"/>
  <c r="X662" i="2"/>
  <c r="X661" i="2"/>
  <c r="X643" i="2"/>
  <c r="X660" i="2"/>
  <c r="X659" i="2"/>
  <c r="X642" i="2"/>
  <c r="X658" i="2"/>
  <c r="X657" i="2"/>
  <c r="X641" i="2"/>
  <c r="X656" i="2"/>
  <c r="X655" i="2"/>
  <c r="X830" i="2"/>
  <c r="X778" i="2"/>
  <c r="X829" i="2"/>
  <c r="X777" i="2"/>
  <c r="X828" i="2"/>
  <c r="X776" i="2"/>
  <c r="X827" i="2"/>
  <c r="X826" i="2"/>
  <c r="X775" i="2"/>
  <c r="X774" i="2"/>
  <c r="X825" i="2"/>
  <c r="X773" i="2"/>
  <c r="X824" i="2"/>
  <c r="X736" i="2"/>
  <c r="X762" i="2"/>
  <c r="X761" i="2"/>
  <c r="X760" i="2"/>
  <c r="X759" i="2"/>
  <c r="X758" i="2"/>
  <c r="X757" i="2"/>
  <c r="X756" i="2"/>
  <c r="X755" i="2"/>
  <c r="X754" i="2"/>
  <c r="X753" i="2"/>
  <c r="X752" i="2"/>
  <c r="X751" i="2"/>
  <c r="X750" i="2"/>
  <c r="X749" i="2"/>
  <c r="X748" i="2"/>
  <c r="X747" i="2"/>
  <c r="X746" i="2"/>
  <c r="X745" i="2"/>
  <c r="X744" i="2"/>
  <c r="X743" i="2"/>
  <c r="X742" i="2"/>
  <c r="X735" i="2"/>
  <c r="X734" i="2"/>
  <c r="X733" i="2"/>
  <c r="X732" i="2"/>
  <c r="X731" i="2"/>
  <c r="X730" i="2"/>
  <c r="X729" i="2"/>
  <c r="X728" i="2"/>
  <c r="X727" i="2"/>
  <c r="X726" i="2"/>
  <c r="X725" i="2"/>
  <c r="X724" i="2"/>
  <c r="X723" i="2"/>
  <c r="X722" i="2"/>
  <c r="X721" i="2"/>
  <c r="X720" i="2"/>
  <c r="X719" i="2"/>
  <c r="X718" i="2"/>
  <c r="X717" i="2"/>
  <c r="X716" i="2"/>
  <c r="X715" i="2"/>
  <c r="X714" i="2"/>
  <c r="X1025" i="2"/>
  <c r="X1012" i="2"/>
  <c r="X1011" i="2"/>
  <c r="X1024" i="2"/>
  <c r="X1010" i="2"/>
  <c r="X1119" i="2"/>
  <c r="X1013" i="2"/>
  <c r="X1028" i="2"/>
  <c r="X1027" i="2"/>
  <c r="X1015" i="2"/>
  <c r="X1014" i="2"/>
  <c r="X1026" i="2"/>
  <c r="X1029" i="2"/>
  <c r="X1017" i="2"/>
  <c r="X1016" i="2"/>
  <c r="X1238" i="2"/>
  <c r="X1223" i="2"/>
  <c r="X1087" i="2"/>
  <c r="X1224" i="2"/>
  <c r="X1030" i="2"/>
  <c r="X1240" i="2"/>
  <c r="X1225" i="2"/>
  <c r="X1239" i="2"/>
  <c r="X1018" i="2"/>
  <c r="X987" i="2"/>
  <c r="X1002" i="2"/>
  <c r="X986" i="2"/>
  <c r="X1001" i="2"/>
  <c r="X985" i="2"/>
  <c r="X1003" i="2"/>
  <c r="X988" i="2"/>
  <c r="X1204" i="2"/>
  <c r="X1189" i="2"/>
  <c r="X991" i="2"/>
  <c r="X1203" i="2"/>
  <c r="X990" i="2"/>
  <c r="X1202" i="2"/>
  <c r="X989" i="2"/>
  <c r="X1191" i="2"/>
  <c r="X1205" i="2"/>
  <c r="X1005" i="2"/>
  <c r="X993" i="2"/>
  <c r="X992" i="2"/>
  <c r="X1190" i="2"/>
  <c r="X1004" i="2"/>
  <c r="X1007" i="2"/>
  <c r="X996" i="2"/>
  <c r="X1006" i="2"/>
  <c r="X995" i="2"/>
  <c r="X994" i="2"/>
  <c r="X998" i="2"/>
  <c r="X997" i="2"/>
  <c r="X1009" i="2"/>
  <c r="X999" i="2"/>
  <c r="X1008" i="2"/>
  <c r="X1037" i="2"/>
  <c r="X1040" i="2"/>
  <c r="X1104" i="2"/>
  <c r="X1100" i="2"/>
  <c r="X1039" i="2"/>
  <c r="X1000" i="2"/>
  <c r="X1042" i="2"/>
  <c r="X1038" i="2"/>
  <c r="X1041" i="2"/>
  <c r="X1226" i="2"/>
  <c r="X1106" i="2"/>
  <c r="X1105" i="2"/>
  <c r="X1101" i="2"/>
  <c r="X1043" i="2"/>
  <c r="X1019" i="2"/>
  <c r="X1032" i="2"/>
  <c r="X1031" i="2"/>
  <c r="X1103" i="2"/>
  <c r="X1102" i="2"/>
  <c r="X1020" i="2"/>
  <c r="X1241" i="2"/>
  <c r="X1021" i="2"/>
  <c r="X1242" i="2"/>
  <c r="X1227" i="2"/>
  <c r="X1035" i="2"/>
  <c r="X1034" i="2"/>
  <c r="X1228" i="2"/>
  <c r="X1033" i="2"/>
  <c r="X1245" i="2"/>
  <c r="X1023" i="2"/>
  <c r="X1036" i="2"/>
  <c r="X1022" i="2"/>
  <c r="X1229" i="2"/>
  <c r="X1244" i="2"/>
  <c r="X1243" i="2"/>
  <c r="X1247" i="2"/>
  <c r="X1108" i="2"/>
  <c r="X1107" i="2"/>
  <c r="X1231" i="2"/>
  <c r="X1246" i="2"/>
  <c r="X1230" i="2"/>
  <c r="X1248" i="2"/>
  <c r="X1109" i="2"/>
  <c r="X1141" i="2"/>
  <c r="X1232" i="2"/>
  <c r="X1250" i="2"/>
  <c r="X1234" i="2"/>
  <c r="X1110" i="2"/>
  <c r="X1249" i="2"/>
  <c r="X1233" i="2"/>
  <c r="X1111" i="2"/>
  <c r="X1251" i="2"/>
  <c r="X1235" i="2"/>
  <c r="X1117" i="2"/>
  <c r="X1253" i="2"/>
  <c r="X1113" i="2"/>
  <c r="X1252" i="2"/>
  <c r="X1236" i="2"/>
  <c r="X1112" i="2"/>
  <c r="X1116" i="2"/>
  <c r="X1044" i="2"/>
  <c r="X1115" i="2"/>
  <c r="X1237" i="2"/>
  <c r="X1114" i="2"/>
  <c r="X1142" i="2"/>
  <c r="X1046" i="2"/>
  <c r="X1080" i="2"/>
  <c r="X1045" i="2"/>
  <c r="X1079" i="2"/>
  <c r="X1143" i="2"/>
  <c r="X1084" i="2"/>
  <c r="X1050" i="2"/>
  <c r="X1083" i="2"/>
  <c r="X1049" i="2"/>
  <c r="X1082" i="2"/>
  <c r="X1118" i="2"/>
  <c r="X1048" i="2"/>
  <c r="X1047" i="2"/>
  <c r="X1081" i="2"/>
  <c r="X1163" i="2"/>
  <c r="X1053" i="2"/>
  <c r="X1052" i="2"/>
  <c r="X1120" i="2"/>
  <c r="X1051" i="2"/>
  <c r="X1123" i="2"/>
  <c r="X1144" i="2"/>
  <c r="X1122" i="2"/>
  <c r="X1055" i="2"/>
  <c r="X1054" i="2"/>
  <c r="X1121" i="2"/>
  <c r="X1085" i="2"/>
  <c r="X1056" i="2"/>
  <c r="X1124" i="2"/>
  <c r="X1086" i="2"/>
  <c r="X1146" i="2"/>
  <c r="X1126" i="2"/>
  <c r="X1125" i="2"/>
  <c r="X1057" i="2"/>
  <c r="X1145" i="2"/>
  <c r="X1147" i="2"/>
  <c r="X1129" i="2"/>
  <c r="X1128" i="2"/>
  <c r="X1088" i="2"/>
  <c r="X1059" i="2"/>
  <c r="X1127" i="2"/>
  <c r="X1058" i="2"/>
  <c r="X1090" i="2"/>
  <c r="X1132" i="2"/>
  <c r="X1062" i="2"/>
  <c r="X1131" i="2"/>
  <c r="X1089" i="2"/>
  <c r="X1061" i="2"/>
  <c r="X1130" i="2"/>
  <c r="X1060" i="2"/>
  <c r="X1192" i="2"/>
  <c r="X1193" i="2"/>
  <c r="X1064" i="2"/>
  <c r="X1091" i="2"/>
  <c r="X1134" i="2"/>
  <c r="X1133" i="2"/>
  <c r="X1063" i="2"/>
  <c r="X1149" i="2"/>
  <c r="X1137" i="2"/>
  <c r="X1148" i="2"/>
  <c r="X1092" i="2"/>
  <c r="X1136" i="2"/>
  <c r="X1135" i="2"/>
  <c r="X1094" i="2"/>
  <c r="X1067" i="2"/>
  <c r="X1093" i="2"/>
  <c r="X1138" i="2"/>
  <c r="X1066" i="2"/>
  <c r="X1095" i="2"/>
  <c r="X1070" i="2"/>
  <c r="X1069" i="2"/>
  <c r="X1140" i="2"/>
  <c r="X1150" i="2"/>
  <c r="X1068" i="2"/>
  <c r="X1139" i="2"/>
  <c r="X1065" i="2"/>
  <c r="X1186" i="2"/>
  <c r="X1096" i="2"/>
  <c r="X1073" i="2"/>
  <c r="X1185" i="2"/>
  <c r="X1072" i="2"/>
  <c r="X1179" i="2"/>
  <c r="X1071" i="2"/>
  <c r="X1076" i="2"/>
  <c r="X1181" i="2"/>
  <c r="X1097" i="2"/>
  <c r="X1075" i="2"/>
  <c r="X1074" i="2"/>
  <c r="X1180" i="2"/>
  <c r="X1099" i="2"/>
  <c r="X1182" i="2"/>
  <c r="X1098" i="2"/>
  <c r="X1077" i="2"/>
  <c r="X1219" i="2"/>
  <c r="X1187" i="2"/>
  <c r="X1078" i="2"/>
  <c r="X1188" i="2"/>
  <c r="X1215" i="2"/>
  <c r="X1184" i="2"/>
  <c r="X1214" i="2"/>
  <c r="X1183" i="2"/>
  <c r="X1151" i="2"/>
  <c r="X1221" i="2"/>
  <c r="X1217" i="2"/>
  <c r="X1216" i="2"/>
  <c r="X1220" i="2"/>
  <c r="X1165" i="2"/>
  <c r="X1152" i="2"/>
  <c r="X1222" i="2"/>
  <c r="X1218" i="2"/>
  <c r="X1164" i="2"/>
  <c r="X983" i="2"/>
  <c r="X1166" i="2"/>
  <c r="X977" i="2"/>
  <c r="X981" i="2"/>
  <c r="X976" i="2"/>
  <c r="X1153" i="2"/>
  <c r="X980" i="2"/>
  <c r="X1155" i="2"/>
  <c r="X1156" i="2"/>
  <c r="X1168" i="2"/>
  <c r="X979" i="2"/>
  <c r="X1167" i="2"/>
  <c r="X1154" i="2"/>
  <c r="X982" i="2"/>
  <c r="X978" i="2"/>
  <c r="X984" i="2"/>
  <c r="X1169" i="2"/>
  <c r="X1254" i="2"/>
  <c r="X1171" i="2"/>
  <c r="X1170" i="2"/>
  <c r="X1157" i="2"/>
  <c r="X1255" i="2"/>
  <c r="X1172" i="2"/>
  <c r="X1259" i="2"/>
  <c r="X1158" i="2"/>
  <c r="X1261" i="2"/>
  <c r="X1257" i="2"/>
  <c r="X1160" i="2"/>
  <c r="X1174" i="2"/>
  <c r="X1260" i="2"/>
  <c r="X1256" i="2"/>
  <c r="X1159" i="2"/>
  <c r="X1173" i="2"/>
  <c r="X1262" i="2"/>
  <c r="X1258" i="2"/>
  <c r="X1175" i="2"/>
  <c r="X1162" i="2"/>
  <c r="X1161" i="2"/>
  <c r="X1176" i="2"/>
  <c r="X1177" i="2"/>
  <c r="X1178" i="2"/>
  <c r="X1194" i="2"/>
  <c r="X1195" i="2"/>
  <c r="X1196" i="2"/>
  <c r="X1197" i="2"/>
  <c r="X1198" i="2"/>
  <c r="X1199" i="2"/>
  <c r="X1200" i="2"/>
  <c r="X1201" i="2"/>
  <c r="X1206" i="2"/>
  <c r="X1207" i="2"/>
  <c r="X1208" i="2"/>
  <c r="X1209" i="2"/>
  <c r="X1210" i="2"/>
  <c r="X1211" i="2"/>
  <c r="X1212" i="2"/>
  <c r="X1213" i="2"/>
  <c r="X2553" i="2"/>
  <c r="X634" i="2"/>
  <c r="X635" i="2"/>
  <c r="X362" i="2"/>
  <c r="X371" i="2"/>
  <c r="X625" i="2"/>
  <c r="X626" i="2"/>
  <c r="X623" i="2"/>
  <c r="X624" i="2"/>
  <c r="X619" i="2"/>
  <c r="X620" i="2"/>
  <c r="X621" i="2"/>
  <c r="X363" i="2"/>
  <c r="X364" i="2"/>
  <c r="X365" i="2"/>
  <c r="X366" i="2"/>
  <c r="X367" i="2"/>
  <c r="X368" i="2"/>
  <c r="X370" i="2"/>
  <c r="X372" i="2"/>
  <c r="X373" i="2"/>
  <c r="X374" i="2"/>
  <c r="X375" i="2"/>
  <c r="X632" i="2"/>
  <c r="X629" i="2"/>
  <c r="X631" i="2"/>
  <c r="X633" i="2"/>
  <c r="X618" i="2"/>
  <c r="X628" i="2"/>
  <c r="X630" i="2"/>
  <c r="X369" i="2"/>
  <c r="X627" i="2"/>
  <c r="X622" i="2"/>
  <c r="X617" i="2"/>
  <c r="X600" i="2"/>
  <c r="X616" i="2"/>
  <c r="X599" i="2"/>
  <c r="X615" i="2"/>
  <c r="X598" i="2"/>
  <c r="X597" i="2"/>
  <c r="X614" i="2"/>
  <c r="X613" i="2"/>
  <c r="X596" i="2"/>
  <c r="X612" i="2"/>
  <c r="X595" i="2"/>
  <c r="X550" i="2"/>
  <c r="X582" i="2"/>
  <c r="X549" i="2"/>
  <c r="X581" i="2"/>
  <c r="X580" i="2"/>
  <c r="X528" i="2"/>
  <c r="X520" i="2"/>
  <c r="X519" i="2"/>
  <c r="X527" i="2"/>
  <c r="X526" i="2"/>
  <c r="X525" i="2"/>
  <c r="X524" i="2"/>
  <c r="X518" i="2"/>
  <c r="X523" i="2"/>
  <c r="X522" i="2"/>
  <c r="X521" i="2"/>
  <c r="X517" i="2"/>
  <c r="X514" i="2"/>
  <c r="X513" i="2"/>
  <c r="X516" i="2"/>
  <c r="X512" i="2"/>
  <c r="X515" i="2"/>
  <c r="X511" i="2"/>
  <c r="X611" i="2"/>
  <c r="X594" i="2"/>
  <c r="X610" i="2"/>
  <c r="X609" i="2"/>
  <c r="X593" i="2"/>
  <c r="X608" i="2"/>
  <c r="X592" i="2"/>
  <c r="X607" i="2"/>
  <c r="X591" i="2"/>
  <c r="X606" i="2"/>
  <c r="X590" i="2"/>
  <c r="X605" i="2"/>
  <c r="X589" i="2"/>
  <c r="X579" i="2"/>
  <c r="X548" i="2"/>
  <c r="X578" i="2"/>
  <c r="X547" i="2"/>
  <c r="X577" i="2"/>
  <c r="X576" i="2"/>
  <c r="X546" i="2"/>
  <c r="X574" i="2"/>
  <c r="X575" i="2"/>
  <c r="X545" i="2"/>
  <c r="X544" i="2"/>
  <c r="X573" i="2"/>
  <c r="X572" i="2"/>
  <c r="X543" i="2"/>
  <c r="X571" i="2"/>
  <c r="X570" i="2"/>
  <c r="X542" i="2"/>
  <c r="X569" i="2"/>
  <c r="X541" i="2"/>
  <c r="X568" i="2"/>
  <c r="X567" i="2"/>
  <c r="X540" i="2"/>
  <c r="X566" i="2"/>
  <c r="X565" i="2"/>
  <c r="X539" i="2"/>
  <c r="X564" i="2"/>
  <c r="X563" i="2"/>
  <c r="X538" i="2"/>
  <c r="X562" i="2"/>
  <c r="X537" i="2"/>
  <c r="X561" i="2"/>
  <c r="X536" i="2"/>
  <c r="X560" i="2"/>
  <c r="X361" i="2"/>
  <c r="X359" i="2"/>
  <c r="X360" i="2"/>
  <c r="X358" i="2"/>
  <c r="X357" i="2"/>
  <c r="X346" i="2"/>
  <c r="X356" i="2"/>
  <c r="X345" i="2"/>
  <c r="X355" i="2"/>
  <c r="X354" i="2"/>
  <c r="X344" i="2"/>
  <c r="X353" i="2"/>
  <c r="X343" i="2"/>
  <c r="X352" i="2"/>
  <c r="X351" i="2"/>
  <c r="X342" i="2"/>
  <c r="X350" i="2"/>
  <c r="X341" i="2"/>
  <c r="X349" i="2"/>
  <c r="X348" i="2"/>
  <c r="X340" i="2"/>
  <c r="X339" i="2"/>
  <c r="X347" i="2"/>
  <c r="X604" i="2"/>
  <c r="X588" i="2"/>
  <c r="X603" i="2"/>
  <c r="X587" i="2"/>
  <c r="X586" i="2"/>
  <c r="X602" i="2"/>
  <c r="X585" i="2"/>
  <c r="X584" i="2"/>
  <c r="X601" i="2"/>
  <c r="X583" i="2"/>
  <c r="X535" i="2"/>
  <c r="X559" i="2"/>
  <c r="X558" i="2"/>
  <c r="X534" i="2"/>
  <c r="X557" i="2"/>
  <c r="X556" i="2"/>
  <c r="X553" i="2"/>
  <c r="X555" i="2"/>
  <c r="X533" i="2"/>
  <c r="X554" i="2"/>
  <c r="X532" i="2"/>
  <c r="X552" i="2"/>
  <c r="X531" i="2"/>
  <c r="X530" i="2"/>
  <c r="X551" i="2"/>
  <c r="X529" i="2"/>
  <c r="X470" i="2"/>
  <c r="X510" i="2"/>
  <c r="X509" i="2"/>
  <c r="X469" i="2"/>
  <c r="X468" i="2"/>
  <c r="X508" i="2"/>
  <c r="X467" i="2"/>
  <c r="X507" i="2"/>
  <c r="X506" i="2"/>
  <c r="X466" i="2"/>
  <c r="X505" i="2"/>
  <c r="X465" i="2"/>
  <c r="X464" i="2"/>
  <c r="X504" i="2"/>
  <c r="X463" i="2"/>
  <c r="X503" i="2"/>
  <c r="X462" i="2"/>
  <c r="X338" i="2"/>
  <c r="X302" i="2"/>
  <c r="X337" i="2"/>
  <c r="X301" i="2"/>
  <c r="X336" i="2"/>
  <c r="X335" i="2"/>
  <c r="X334" i="2"/>
  <c r="X333" i="2"/>
  <c r="X332" i="2"/>
  <c r="X300" i="2"/>
  <c r="X331" i="2"/>
  <c r="X330" i="2"/>
  <c r="X329" i="2"/>
  <c r="X328" i="2"/>
  <c r="X299" i="2"/>
  <c r="X327" i="2"/>
  <c r="X326" i="2"/>
  <c r="X325" i="2"/>
  <c r="X502" i="2"/>
  <c r="X461" i="2"/>
  <c r="X460" i="2"/>
  <c r="X459" i="2"/>
  <c r="X501" i="2"/>
  <c r="X458" i="2"/>
  <c r="X457" i="2"/>
  <c r="X456" i="2"/>
  <c r="X455" i="2"/>
  <c r="X500" i="2"/>
  <c r="X454" i="2"/>
  <c r="X499" i="2"/>
  <c r="X453" i="2"/>
  <c r="X498" i="2"/>
  <c r="X452" i="2"/>
  <c r="X451" i="2"/>
  <c r="X497" i="2"/>
  <c r="X450" i="2"/>
  <c r="X496" i="2"/>
  <c r="X449" i="2"/>
  <c r="X495" i="2"/>
  <c r="X448" i="2"/>
  <c r="X447" i="2"/>
  <c r="X494" i="2"/>
  <c r="X446" i="2"/>
  <c r="X493" i="2"/>
  <c r="X445" i="2"/>
  <c r="X492" i="2"/>
  <c r="X444" i="2"/>
  <c r="X443" i="2"/>
  <c r="X491" i="2"/>
  <c r="X442" i="2"/>
  <c r="X490" i="2"/>
  <c r="X441" i="2"/>
  <c r="X440" i="2"/>
  <c r="X489" i="2"/>
  <c r="X439" i="2"/>
  <c r="X488" i="2"/>
  <c r="X438" i="2"/>
  <c r="X437" i="2"/>
  <c r="X487" i="2"/>
  <c r="X436" i="2"/>
  <c r="X486" i="2"/>
  <c r="X435" i="2"/>
  <c r="X434" i="2"/>
  <c r="X485" i="2"/>
  <c r="X484" i="2"/>
  <c r="X433" i="2"/>
  <c r="X483" i="2"/>
  <c r="X432" i="2"/>
  <c r="X482" i="2"/>
  <c r="X431" i="2"/>
  <c r="X430" i="2"/>
  <c r="X481" i="2"/>
  <c r="X429" i="2"/>
  <c r="X480" i="2"/>
  <c r="X428" i="2"/>
  <c r="X478" i="2"/>
  <c r="X427" i="2"/>
  <c r="X479" i="2"/>
  <c r="X426" i="2"/>
  <c r="X324" i="2"/>
  <c r="X298" i="2"/>
  <c r="X323" i="2"/>
  <c r="X297" i="2"/>
  <c r="X322" i="2"/>
  <c r="X321" i="2"/>
  <c r="X296" i="2"/>
  <c r="X320" i="2"/>
  <c r="X319" i="2"/>
  <c r="X318" i="2"/>
  <c r="X295" i="2"/>
  <c r="X317" i="2"/>
  <c r="X316" i="2"/>
  <c r="X315" i="2"/>
  <c r="X294" i="2"/>
  <c r="X314" i="2"/>
  <c r="X313" i="2"/>
  <c r="X293" i="2"/>
  <c r="X312" i="2"/>
  <c r="X311" i="2"/>
  <c r="X292" i="2"/>
  <c r="X310" i="2"/>
  <c r="X309" i="2"/>
  <c r="X291" i="2"/>
  <c r="X308" i="2"/>
  <c r="X307" i="2"/>
  <c r="X290" i="2"/>
  <c r="X306" i="2"/>
  <c r="X305" i="2"/>
  <c r="X289" i="2"/>
  <c r="X304" i="2"/>
  <c r="X303" i="2"/>
  <c r="X477" i="2"/>
  <c r="X425" i="2"/>
  <c r="X476" i="2"/>
  <c r="X424" i="2"/>
  <c r="X475" i="2"/>
  <c r="X423" i="2"/>
  <c r="X474" i="2"/>
  <c r="X473" i="2"/>
  <c r="X422" i="2"/>
  <c r="X421" i="2"/>
  <c r="X472" i="2"/>
  <c r="X420" i="2"/>
  <c r="X471" i="2"/>
  <c r="X398" i="2"/>
  <c r="X419" i="2"/>
  <c r="X418" i="2"/>
  <c r="X417" i="2"/>
  <c r="X416" i="2"/>
  <c r="X415" i="2"/>
  <c r="X414" i="2"/>
  <c r="X413" i="2"/>
  <c r="X412" i="2"/>
  <c r="X411" i="2"/>
  <c r="X410" i="2"/>
  <c r="X409" i="2"/>
  <c r="X408" i="2"/>
  <c r="X407" i="2"/>
  <c r="X406" i="2"/>
  <c r="X405" i="2"/>
  <c r="X404" i="2"/>
  <c r="X403" i="2"/>
  <c r="X402" i="2"/>
  <c r="X401" i="2"/>
  <c r="X400" i="2"/>
  <c r="X399" i="2"/>
  <c r="X397" i="2"/>
  <c r="X396" i="2"/>
  <c r="X395" i="2"/>
  <c r="X394" i="2"/>
  <c r="X393" i="2"/>
  <c r="X392" i="2"/>
  <c r="X391" i="2"/>
  <c r="X390" i="2"/>
  <c r="X389" i="2"/>
  <c r="X388" i="2"/>
  <c r="X387" i="2"/>
  <c r="X386" i="2"/>
  <c r="X385" i="2"/>
  <c r="X384" i="2"/>
  <c r="X383" i="2"/>
  <c r="X382" i="2"/>
  <c r="X381" i="2"/>
  <c r="X380" i="2"/>
  <c r="X379" i="2"/>
  <c r="X378" i="2"/>
  <c r="X377" i="2"/>
  <c r="X376" i="2"/>
  <c r="X238" i="2"/>
  <c r="X239" i="2"/>
  <c r="X227" i="2"/>
  <c r="X226" i="2"/>
  <c r="X224" i="2"/>
  <c r="X223" i="2"/>
  <c r="X236" i="2"/>
  <c r="X221" i="2"/>
  <c r="X234" i="2"/>
  <c r="X222" i="2"/>
  <c r="X235" i="2"/>
  <c r="X233" i="2"/>
  <c r="X220" i="2"/>
  <c r="X218" i="2"/>
  <c r="X232" i="2"/>
  <c r="X219" i="2"/>
  <c r="X203" i="2"/>
  <c r="X204" i="2"/>
  <c r="X202" i="2"/>
  <c r="X187" i="2"/>
  <c r="X201" i="2"/>
  <c r="X188" i="2"/>
  <c r="X284" i="2"/>
  <c r="X288" i="2"/>
  <c r="X199" i="2"/>
  <c r="X185" i="2"/>
  <c r="X282" i="2"/>
  <c r="X286" i="2"/>
  <c r="X200" i="2"/>
  <c r="X186" i="2"/>
  <c r="X283" i="2"/>
  <c r="X287" i="2"/>
  <c r="X184" i="2"/>
  <c r="X285" i="2"/>
  <c r="X198" i="2"/>
  <c r="X281" i="2"/>
  <c r="X183" i="2"/>
  <c r="X196" i="2"/>
  <c r="X197" i="2"/>
  <c r="X280" i="2"/>
  <c r="X195" i="2"/>
  <c r="X10" i="2"/>
  <c r="X4" i="2"/>
  <c r="X8" i="2"/>
  <c r="X180" i="2"/>
  <c r="X193" i="2"/>
  <c r="X5" i="2"/>
  <c r="X194" i="2"/>
  <c r="X181" i="2"/>
  <c r="X182" i="2"/>
  <c r="X6" i="2"/>
  <c r="X179" i="2"/>
  <c r="X2" i="2"/>
  <c r="X7" i="2"/>
  <c r="X3" i="2"/>
  <c r="X192" i="2"/>
  <c r="X9" i="2"/>
  <c r="X190" i="2"/>
  <c r="X244" i="2"/>
  <c r="X248" i="2"/>
  <c r="X178" i="2"/>
  <c r="X191" i="2"/>
  <c r="X246" i="2"/>
  <c r="X242" i="2"/>
  <c r="X243" i="2"/>
  <c r="X247" i="2"/>
  <c r="X177" i="2"/>
  <c r="X209" i="2"/>
  <c r="X240" i="2"/>
  <c r="X210" i="2"/>
  <c r="X241" i="2"/>
  <c r="X214" i="2"/>
  <c r="X104" i="2"/>
  <c r="X213" i="2"/>
  <c r="X245" i="2"/>
  <c r="X103" i="2"/>
  <c r="X124" i="2"/>
  <c r="X208" i="2"/>
  <c r="X125" i="2"/>
  <c r="X206" i="2"/>
  <c r="X100" i="2"/>
  <c r="X101" i="2"/>
  <c r="X123" i="2"/>
  <c r="X207" i="2"/>
  <c r="X102" i="2"/>
  <c r="X97" i="2"/>
  <c r="X205" i="2"/>
  <c r="X98" i="2"/>
  <c r="X211" i="2"/>
  <c r="X99" i="2"/>
  <c r="X122" i="2"/>
  <c r="X212" i="2"/>
  <c r="X91" i="2"/>
  <c r="X165" i="2"/>
  <c r="X176" i="2"/>
  <c r="X94" i="2"/>
  <c r="X166" i="2"/>
  <c r="X95" i="2"/>
  <c r="X96" i="2"/>
  <c r="X121" i="2"/>
  <c r="X92" i="2"/>
  <c r="X164" i="2"/>
  <c r="X119" i="2"/>
  <c r="X93" i="2"/>
  <c r="X120" i="2"/>
  <c r="X161" i="2"/>
  <c r="X162" i="2"/>
  <c r="X174" i="2"/>
  <c r="X118" i="2"/>
  <c r="X163" i="2"/>
  <c r="X175" i="2"/>
  <c r="X89" i="2"/>
  <c r="X159" i="2"/>
  <c r="X160" i="2"/>
  <c r="X117" i="2"/>
  <c r="X90" i="2"/>
  <c r="X225" i="2"/>
  <c r="X237" i="2"/>
  <c r="X86" i="2"/>
  <c r="X156" i="2"/>
  <c r="X87" i="2"/>
  <c r="X115" i="2"/>
  <c r="X157" i="2"/>
  <c r="X88" i="2"/>
  <c r="X158" i="2"/>
  <c r="X116" i="2"/>
  <c r="X84" i="2"/>
  <c r="X153" i="2"/>
  <c r="X85" i="2"/>
  <c r="X114" i="2"/>
  <c r="X154" i="2"/>
  <c r="X155" i="2"/>
  <c r="X173" i="2"/>
  <c r="X83" i="2"/>
  <c r="X171" i="2"/>
  <c r="X151" i="2"/>
  <c r="X152" i="2"/>
  <c r="X172" i="2"/>
  <c r="X112" i="2"/>
  <c r="X150" i="2"/>
  <c r="X82" i="2"/>
  <c r="X111" i="2"/>
  <c r="X147" i="2"/>
  <c r="X80" i="2"/>
  <c r="X81" i="2"/>
  <c r="X148" i="2"/>
  <c r="X170" i="2"/>
  <c r="X149" i="2"/>
  <c r="X77" i="2"/>
  <c r="X146" i="2"/>
  <c r="X78" i="2"/>
  <c r="X79" i="2"/>
  <c r="X189" i="2"/>
  <c r="X107" i="2"/>
  <c r="X73" i="2"/>
  <c r="X74" i="2"/>
  <c r="X144" i="2"/>
  <c r="X108" i="2"/>
  <c r="X109" i="2"/>
  <c r="X75" i="2"/>
  <c r="X76" i="2"/>
  <c r="X110" i="2"/>
  <c r="X169" i="2"/>
  <c r="X105" i="2"/>
  <c r="X71" i="2"/>
  <c r="X106" i="2"/>
  <c r="X72" i="2"/>
  <c r="X168" i="2"/>
  <c r="X140" i="2"/>
  <c r="X263" i="2"/>
  <c r="X141" i="2"/>
  <c r="X70" i="2"/>
  <c r="X142" i="2"/>
  <c r="X138" i="2"/>
  <c r="X262" i="2"/>
  <c r="X278" i="2"/>
  <c r="X139" i="2"/>
  <c r="X279" i="2"/>
  <c r="X143" i="2"/>
  <c r="X261" i="2"/>
  <c r="X277" i="2"/>
  <c r="X137" i="2"/>
  <c r="X259" i="2"/>
  <c r="X275" i="2"/>
  <c r="X136" i="2"/>
  <c r="X260" i="2"/>
  <c r="X276" i="2"/>
  <c r="X258" i="2"/>
  <c r="X167" i="2"/>
  <c r="X135" i="2"/>
  <c r="X274" i="2"/>
  <c r="X256" i="2"/>
  <c r="X272" i="2"/>
  <c r="X257" i="2"/>
  <c r="X133" i="2"/>
  <c r="X134" i="2"/>
  <c r="X273" i="2"/>
  <c r="X269" i="2"/>
  <c r="X270" i="2"/>
  <c r="X255" i="2"/>
  <c r="X48" i="2"/>
  <c r="X62" i="2"/>
  <c r="X49" i="2"/>
  <c r="X271" i="2"/>
  <c r="X59" i="2"/>
  <c r="X254" i="2"/>
  <c r="X60" i="2"/>
  <c r="X61" i="2"/>
  <c r="X253" i="2"/>
  <c r="X268" i="2"/>
  <c r="X47" i="2"/>
  <c r="X267" i="2"/>
  <c r="X46" i="2"/>
  <c r="X128" i="2"/>
  <c r="X129" i="2"/>
  <c r="X57" i="2"/>
  <c r="X58" i="2"/>
  <c r="X45" i="2"/>
  <c r="X69" i="2"/>
  <c r="X127" i="2"/>
  <c r="X131" i="2"/>
  <c r="X132" i="2"/>
  <c r="X252" i="2"/>
  <c r="X67" i="2"/>
  <c r="X64" i="2"/>
  <c r="X68" i="2"/>
  <c r="X26" i="2"/>
  <c r="X65" i="2"/>
  <c r="X126" i="2"/>
  <c r="X130" i="2"/>
  <c r="X66" i="2"/>
  <c r="X63" i="2"/>
  <c r="X34" i="2"/>
  <c r="X25" i="2"/>
  <c r="X35" i="2"/>
  <c r="X23" i="2"/>
  <c r="X24" i="2"/>
  <c r="X20" i="2"/>
  <c r="X21" i="2"/>
  <c r="X32" i="2"/>
  <c r="X22" i="2"/>
  <c r="X33" i="2"/>
  <c r="X30" i="2"/>
  <c r="X216" i="2"/>
  <c r="X18" i="2"/>
  <c r="X19" i="2"/>
  <c r="X31" i="2"/>
  <c r="X231" i="2"/>
  <c r="X217" i="2"/>
  <c r="X15" i="2"/>
  <c r="X228" i="2"/>
  <c r="X16" i="2"/>
  <c r="X229" i="2"/>
  <c r="X17" i="2"/>
  <c r="X215" i="2"/>
  <c r="X230" i="2"/>
  <c r="X14" i="2"/>
  <c r="X29" i="2"/>
  <c r="X11" i="2"/>
  <c r="X27" i="2"/>
  <c r="X12" i="2"/>
  <c r="X28" i="2"/>
  <c r="X13" i="2"/>
  <c r="X44" i="2"/>
  <c r="X265" i="2"/>
  <c r="X251" i="2"/>
  <c r="X266" i="2"/>
  <c r="X56" i="2"/>
  <c r="X250" i="2"/>
  <c r="X113" i="2"/>
  <c r="X249" i="2"/>
  <c r="X264" i="2"/>
  <c r="X42" i="2"/>
  <c r="X43" i="2"/>
  <c r="X55" i="2"/>
  <c r="X52" i="2"/>
  <c r="X40" i="2"/>
  <c r="X41" i="2"/>
  <c r="X53" i="2"/>
  <c r="X54" i="2"/>
  <c r="X39" i="2"/>
  <c r="X145" i="2"/>
  <c r="X36" i="2"/>
  <c r="X50" i="2"/>
  <c r="X37" i="2"/>
  <c r="X38" i="2"/>
  <c r="X51" i="2"/>
  <c r="Q2554" i="2" l="1"/>
  <c r="Q2553" i="2"/>
  <c r="V2553" i="2"/>
  <c r="M2554" i="2"/>
  <c r="M2553" i="2"/>
  <c r="M2555" i="2" s="1"/>
  <c r="V2554" i="2"/>
  <c r="U2554" i="2" l="1"/>
  <c r="U2553" i="2"/>
  <c r="Q2555" i="2"/>
  <c r="V25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F854C9-F917-43F9-977F-A63CF12D82B2}" keepAlive="1" name="Consulta - AUDITORIA" description="Conexão com a consulta 'AUDITORIA' na pasta de trabalho." type="5" refreshedVersion="8" background="1" saveData="1">
    <dbPr connection="Provider=Microsoft.Mashup.OleDb.1;Data Source=$Workbook$;Location=AUDITORIA;Extended Properties=&quot;&quot;" command="SELECT * FROM [AUDITORIA]"/>
  </connection>
</connections>
</file>

<file path=xl/sharedStrings.xml><?xml version="1.0" encoding="utf-8"?>
<sst xmlns="http://schemas.openxmlformats.org/spreadsheetml/2006/main" count="39373" uniqueCount="948">
  <si>
    <t>UBS I</t>
  </si>
  <si>
    <t>Total Geral</t>
  </si>
  <si>
    <t>PESO ETIQUETA</t>
  </si>
  <si>
    <t>LOCAL</t>
  </si>
  <si>
    <t>% Acuracidade</t>
  </si>
  <si>
    <t>Cereal Ouro</t>
  </si>
  <si>
    <t>PCP - Planejamento e Controle de Produção</t>
  </si>
  <si>
    <t>Acompanhamento da Acuraciade dos Estoques de Sementes - 2025</t>
  </si>
  <si>
    <t>CULTIVAR</t>
  </si>
  <si>
    <t>QTD SISTEMA</t>
  </si>
  <si>
    <t>QTD FÍSICA</t>
  </si>
  <si>
    <t>DATA VERIFICAÇÃO</t>
  </si>
  <si>
    <t>UF</t>
  </si>
  <si>
    <t>Filial</t>
  </si>
  <si>
    <t>Deposito</t>
  </si>
  <si>
    <t>LOTE</t>
  </si>
  <si>
    <t>NOME PRODUTO ERP</t>
  </si>
  <si>
    <t>GO</t>
  </si>
  <si>
    <t>0101</t>
  </si>
  <si>
    <t>S2</t>
  </si>
  <si>
    <t>P1</t>
  </si>
  <si>
    <t>P2</t>
  </si>
  <si>
    <t>CAT</t>
  </si>
  <si>
    <t>PEN.</t>
  </si>
  <si>
    <t>CONF.? (SIM/NÃO)</t>
  </si>
  <si>
    <t>MÊS</t>
  </si>
  <si>
    <t>CÓD. PRODUTO</t>
  </si>
  <si>
    <t>ETIQUETA FÍSICA</t>
  </si>
  <si>
    <t>CAT. FÍS.</t>
  </si>
  <si>
    <t>11026756P2234</t>
  </si>
  <si>
    <t>C2810CE</t>
  </si>
  <si>
    <t>C1</t>
  </si>
  <si>
    <t>11026756P1233</t>
  </si>
  <si>
    <t>11026760P2232</t>
  </si>
  <si>
    <t>BSA74483I2X</t>
  </si>
  <si>
    <t>11026760P1231</t>
  </si>
  <si>
    <t>11026760P2230</t>
  </si>
  <si>
    <t>11026760P1228</t>
  </si>
  <si>
    <t>11026760P2229</t>
  </si>
  <si>
    <t>11026760P2227</t>
  </si>
  <si>
    <t>11026760P1226</t>
  </si>
  <si>
    <t>11026760P2225</t>
  </si>
  <si>
    <t>11026760P1223</t>
  </si>
  <si>
    <t>11026760P2224</t>
  </si>
  <si>
    <t>11026760P2222</t>
  </si>
  <si>
    <t>11026760P1221</t>
  </si>
  <si>
    <t>11026760P2220</t>
  </si>
  <si>
    <t>11026760P1218</t>
  </si>
  <si>
    <t>11026760P2219</t>
  </si>
  <si>
    <t>11026760P2216</t>
  </si>
  <si>
    <t>11026760P1217</t>
  </si>
  <si>
    <t>11026760P1214</t>
  </si>
  <si>
    <t>11026760P2215</t>
  </si>
  <si>
    <t>11026273P2213</t>
  </si>
  <si>
    <t>O800 I2X</t>
  </si>
  <si>
    <t>S1</t>
  </si>
  <si>
    <t>11026273P1212</t>
  </si>
  <si>
    <t>11026273P2210</t>
  </si>
  <si>
    <t>11026273P1211</t>
  </si>
  <si>
    <t>11026273P1209</t>
  </si>
  <si>
    <t>11026273P2207</t>
  </si>
  <si>
    <t>11026273P1208</t>
  </si>
  <si>
    <t>11026273P1206</t>
  </si>
  <si>
    <t>11026273P2205</t>
  </si>
  <si>
    <t>11026273P1204</t>
  </si>
  <si>
    <t>11026714P1200</t>
  </si>
  <si>
    <t>O790 IPRO</t>
  </si>
  <si>
    <t>PA154000045</t>
  </si>
  <si>
    <t>SEM SOJA O790 IPRO BG ST</t>
  </si>
  <si>
    <t>11026714P2201</t>
  </si>
  <si>
    <t>11026714P2199</t>
  </si>
  <si>
    <t>11026714P1196</t>
  </si>
  <si>
    <t>11026714P2198</t>
  </si>
  <si>
    <t>11026714P2197</t>
  </si>
  <si>
    <t>11026714P2192</t>
  </si>
  <si>
    <t>11026714P2195</t>
  </si>
  <si>
    <t>11026714P1194</t>
  </si>
  <si>
    <t>11026714P2193</t>
  </si>
  <si>
    <t>11026714P1191</t>
  </si>
  <si>
    <t>11026714P2189</t>
  </si>
  <si>
    <t>11026714P1190</t>
  </si>
  <si>
    <t>11026714P1188</t>
  </si>
  <si>
    <t>11026714P2186</t>
  </si>
  <si>
    <t>11026714P1187</t>
  </si>
  <si>
    <t>11026740P1185</t>
  </si>
  <si>
    <t>NEO771 I2X</t>
  </si>
  <si>
    <t>PA154000523</t>
  </si>
  <si>
    <t>SEM SOJA NEO771 I2X BG ST</t>
  </si>
  <si>
    <t>C2</t>
  </si>
  <si>
    <t>11026740P2184</t>
  </si>
  <si>
    <t>11026740P2182</t>
  </si>
  <si>
    <t>11026740P1183</t>
  </si>
  <si>
    <t>11026740P1181</t>
  </si>
  <si>
    <t>11026740P2180</t>
  </si>
  <si>
    <t>11026740P1178</t>
  </si>
  <si>
    <t>11026740P2179</t>
  </si>
  <si>
    <t>11026740P2177</t>
  </si>
  <si>
    <t>11026740P1176</t>
  </si>
  <si>
    <t>11026740P2174</t>
  </si>
  <si>
    <t>11026740P1175</t>
  </si>
  <si>
    <t>11026740P1173</t>
  </si>
  <si>
    <t>11026740P2172</t>
  </si>
  <si>
    <t>11026740P1171</t>
  </si>
  <si>
    <t>11026740P2170</t>
  </si>
  <si>
    <t>11026740P1169</t>
  </si>
  <si>
    <t>11026715P2168</t>
  </si>
  <si>
    <t>761 I2X</t>
  </si>
  <si>
    <t>PA154000380</t>
  </si>
  <si>
    <t>SEM SOJA 761 I2X BG ST</t>
  </si>
  <si>
    <t>11026715P1167</t>
  </si>
  <si>
    <t>11026715P2166</t>
  </si>
  <si>
    <t>11026715P1161</t>
  </si>
  <si>
    <t>11026715P2165</t>
  </si>
  <si>
    <t>11026715P2164</t>
  </si>
  <si>
    <t>11026715P2163</t>
  </si>
  <si>
    <t>11026715P2162</t>
  </si>
  <si>
    <t>11026715P2160</t>
  </si>
  <si>
    <t>11026715P1156</t>
  </si>
  <si>
    <t>11026715P2159</t>
  </si>
  <si>
    <t>11026715P2158</t>
  </si>
  <si>
    <t>11026715P2157</t>
  </si>
  <si>
    <t>11026715P2155</t>
  </si>
  <si>
    <t>11026715P1153</t>
  </si>
  <si>
    <t>11026715P2154</t>
  </si>
  <si>
    <t>11026715P2152</t>
  </si>
  <si>
    <t>11026715P2151</t>
  </si>
  <si>
    <t>11026740P2148</t>
  </si>
  <si>
    <t>11026740P1150</t>
  </si>
  <si>
    <t>11026740P1149</t>
  </si>
  <si>
    <t>11026740P1147</t>
  </si>
  <si>
    <t>11026740P2143</t>
  </si>
  <si>
    <t>11026740P1146</t>
  </si>
  <si>
    <t>11026740P1145</t>
  </si>
  <si>
    <t>11026740P1144</t>
  </si>
  <si>
    <t>11026740P1142</t>
  </si>
  <si>
    <t>11026740P2141</t>
  </si>
  <si>
    <t>11026740P1140</t>
  </si>
  <si>
    <t>11026740P2139</t>
  </si>
  <si>
    <t>11026740P1138</t>
  </si>
  <si>
    <t>11026740P2136</t>
  </si>
  <si>
    <t>11026740P1137</t>
  </si>
  <si>
    <t>11026740P1135</t>
  </si>
  <si>
    <t>11026740P2134</t>
  </si>
  <si>
    <t>11026740P1133</t>
  </si>
  <si>
    <t>11026740P2132</t>
  </si>
  <si>
    <t>11026740P1131</t>
  </si>
  <si>
    <t>11026740P2129</t>
  </si>
  <si>
    <t>11026740P1130</t>
  </si>
  <si>
    <t>11026740P1128</t>
  </si>
  <si>
    <t>11026740P2127</t>
  </si>
  <si>
    <t>11026740P1126</t>
  </si>
  <si>
    <t>11026740P2125</t>
  </si>
  <si>
    <t>11026740P1124</t>
  </si>
  <si>
    <t>11026740P2122</t>
  </si>
  <si>
    <t>11026740P1123</t>
  </si>
  <si>
    <t>11026740P1121</t>
  </si>
  <si>
    <t>11026740P2120</t>
  </si>
  <si>
    <t>11026740P1119</t>
  </si>
  <si>
    <t>11026740P2117</t>
  </si>
  <si>
    <t>11026740P1118</t>
  </si>
  <si>
    <t>11026740P1116</t>
  </si>
  <si>
    <t>11026740P2115</t>
  </si>
  <si>
    <t>11026740P1114</t>
  </si>
  <si>
    <t>11026740P2112</t>
  </si>
  <si>
    <t>11026740P1113</t>
  </si>
  <si>
    <t>11026740P1111</t>
  </si>
  <si>
    <t>11026740P2110</t>
  </si>
  <si>
    <t>11026740P1109</t>
  </si>
  <si>
    <t>11026740P2108</t>
  </si>
  <si>
    <t>11026740P1107</t>
  </si>
  <si>
    <t>11026740P1105</t>
  </si>
  <si>
    <t>11026740P2106</t>
  </si>
  <si>
    <t>11026740P2104</t>
  </si>
  <si>
    <t>11026740P1103</t>
  </si>
  <si>
    <t>11026740P2102</t>
  </si>
  <si>
    <t>11026740P1101</t>
  </si>
  <si>
    <t>11026740P2099</t>
  </si>
  <si>
    <t>11026740P1100</t>
  </si>
  <si>
    <t>11026740P1098</t>
  </si>
  <si>
    <t>11026740P2097</t>
  </si>
  <si>
    <t>11026740P1096</t>
  </si>
  <si>
    <t>11026740P2095</t>
  </si>
  <si>
    <t>11026740P1094</t>
  </si>
  <si>
    <t>11026740P2059</t>
  </si>
  <si>
    <t>11026740P1093</t>
  </si>
  <si>
    <t>11026740P2092</t>
  </si>
  <si>
    <t>11026740P1058</t>
  </si>
  <si>
    <t>11026715P2091</t>
  </si>
  <si>
    <t>11026715P1090</t>
  </si>
  <si>
    <t>11026715P2089</t>
  </si>
  <si>
    <t>11026715P1087</t>
  </si>
  <si>
    <t>11026715P2088</t>
  </si>
  <si>
    <t>11026715P2086</t>
  </si>
  <si>
    <t>11026715P1083</t>
  </si>
  <si>
    <t>11026715P2085</t>
  </si>
  <si>
    <t>11026715P2084</t>
  </si>
  <si>
    <t>11026715P2082</t>
  </si>
  <si>
    <t>11026715P1079</t>
  </si>
  <si>
    <t>11026715P2081</t>
  </si>
  <si>
    <t>11026715P2080</t>
  </si>
  <si>
    <t>11026715P2078</t>
  </si>
  <si>
    <t>11026715P1076</t>
  </si>
  <si>
    <t>11026715P2077</t>
  </si>
  <si>
    <t>11026715P2075</t>
  </si>
  <si>
    <t>11026715P1073</t>
  </si>
  <si>
    <t>11026715P2074</t>
  </si>
  <si>
    <t>11026715P2072</t>
  </si>
  <si>
    <t>11026715P1069</t>
  </si>
  <si>
    <t>11026715P2071</t>
  </si>
  <si>
    <t>11026715P2070</t>
  </si>
  <si>
    <t>11026715P1067</t>
  </si>
  <si>
    <t>11026715P2068</t>
  </si>
  <si>
    <t>11026715P2066</t>
  </si>
  <si>
    <t>11026715P1063</t>
  </si>
  <si>
    <t>11026715P2065</t>
  </si>
  <si>
    <t>11026715P2064</t>
  </si>
  <si>
    <t>11026715P1061</t>
  </si>
  <si>
    <t>11026715P2062</t>
  </si>
  <si>
    <t>11026715P2060</t>
  </si>
  <si>
    <t>11026740P2057</t>
  </si>
  <si>
    <t>11026740P1056</t>
  </si>
  <si>
    <t>11026740P2055</t>
  </si>
  <si>
    <t>11026740P1054</t>
  </si>
  <si>
    <t>11026740P2053</t>
  </si>
  <si>
    <t>11026740P1052</t>
  </si>
  <si>
    <t>11026740P2051</t>
  </si>
  <si>
    <t>11026740P2049</t>
  </si>
  <si>
    <t>11026740P1050</t>
  </si>
  <si>
    <t>11026740P1048</t>
  </si>
  <si>
    <t>11026740P2047</t>
  </si>
  <si>
    <t>11026740P1046</t>
  </si>
  <si>
    <t>11026740P2045</t>
  </si>
  <si>
    <t>11026739P1043</t>
  </si>
  <si>
    <t>NEO700 I2X</t>
  </si>
  <si>
    <t>11026739P2044</t>
  </si>
  <si>
    <t>11026739P2042</t>
  </si>
  <si>
    <t>11026739P2040</t>
  </si>
  <si>
    <t>11026739P2039</t>
  </si>
  <si>
    <t>11026739P2037</t>
  </si>
  <si>
    <t>11026739P2034</t>
  </si>
  <si>
    <t>11026739P2032</t>
  </si>
  <si>
    <t>11026739P2031</t>
  </si>
  <si>
    <t>11026739P2029</t>
  </si>
  <si>
    <t>11026739P2027</t>
  </si>
  <si>
    <t>11026739P2026</t>
  </si>
  <si>
    <t>11026739P2024</t>
  </si>
  <si>
    <t>11026739P2022</t>
  </si>
  <si>
    <t>11026739P2020</t>
  </si>
  <si>
    <t>11026739P2019</t>
  </si>
  <si>
    <t>11026739P2016</t>
  </si>
  <si>
    <t>11026739P2013</t>
  </si>
  <si>
    <t>11026739P2011</t>
  </si>
  <si>
    <t>11026739P2008</t>
  </si>
  <si>
    <t>11026739P2005</t>
  </si>
  <si>
    <t>11026739P2002</t>
  </si>
  <si>
    <t>11026739P1041</t>
  </si>
  <si>
    <t>11026739P1038</t>
  </si>
  <si>
    <t>11026739P1036</t>
  </si>
  <si>
    <t>11026739P1035</t>
  </si>
  <si>
    <t>11026739P1033</t>
  </si>
  <si>
    <t>11026739P1030</t>
  </si>
  <si>
    <t>11026739P1028</t>
  </si>
  <si>
    <t>11026739P1025</t>
  </si>
  <si>
    <t>11026739P1023</t>
  </si>
  <si>
    <t>11026739P1021</t>
  </si>
  <si>
    <t>11026739P1018</t>
  </si>
  <si>
    <t>11026739P1017</t>
  </si>
  <si>
    <t>11026739P1015</t>
  </si>
  <si>
    <t>11026739P1014</t>
  </si>
  <si>
    <t>11026739P1012</t>
  </si>
  <si>
    <t>11026739P1010</t>
  </si>
  <si>
    <t>11026739P1009</t>
  </si>
  <si>
    <t>11026739P1007</t>
  </si>
  <si>
    <t>11026739P1006</t>
  </si>
  <si>
    <t>11026739P1004</t>
  </si>
  <si>
    <t>11026739P1003</t>
  </si>
  <si>
    <t>11026739P1001</t>
  </si>
  <si>
    <t>VISTO AUDITOR</t>
  </si>
  <si>
    <t>VISTO UBS</t>
  </si>
  <si>
    <t>LPCO</t>
  </si>
  <si>
    <t>11757P1801</t>
  </si>
  <si>
    <t>NEO780 CE</t>
  </si>
  <si>
    <t>PA154001107</t>
  </si>
  <si>
    <t>SEM SOJA NEO780 CE BG ST</t>
  </si>
  <si>
    <t>11715P2743</t>
  </si>
  <si>
    <t>11715P1745</t>
  </si>
  <si>
    <t>11715P1744</t>
  </si>
  <si>
    <t>11715P1742</t>
  </si>
  <si>
    <t>11715P2740</t>
  </si>
  <si>
    <t>11149P1644</t>
  </si>
  <si>
    <t>NEO680 IPRO</t>
  </si>
  <si>
    <t>PA154000037</t>
  </si>
  <si>
    <t>SEM SOJA NEO680 IPRO BG ST</t>
  </si>
  <si>
    <t>11149P2642</t>
  </si>
  <si>
    <t>11715P1741</t>
  </si>
  <si>
    <t>11149P1643</t>
  </si>
  <si>
    <t>11715P1739</t>
  </si>
  <si>
    <t>11715P2738</t>
  </si>
  <si>
    <t>11149P1641</t>
  </si>
  <si>
    <t>11149P2640</t>
  </si>
  <si>
    <t>11715P1737</t>
  </si>
  <si>
    <t>11149P1639</t>
  </si>
  <si>
    <t>11149P2634</t>
  </si>
  <si>
    <t>11715P2736</t>
  </si>
  <si>
    <t>11149P1638</t>
  </si>
  <si>
    <t>11715P1735</t>
  </si>
  <si>
    <t>11149P1637</t>
  </si>
  <si>
    <t>11715P1734</t>
  </si>
  <si>
    <t>11715P2733</t>
  </si>
  <si>
    <t>11149P1636</t>
  </si>
  <si>
    <t>11149P1635</t>
  </si>
  <si>
    <t>11715P1732</t>
  </si>
  <si>
    <t>11715P2731</t>
  </si>
  <si>
    <t>11149P1633</t>
  </si>
  <si>
    <t>11149P2629</t>
  </si>
  <si>
    <t>11715P1730</t>
  </si>
  <si>
    <t>11149P1632</t>
  </si>
  <si>
    <t>11715P2728</t>
  </si>
  <si>
    <t>11715P1729</t>
  </si>
  <si>
    <t>11149P1631</t>
  </si>
  <si>
    <t>11149P1630</t>
  </si>
  <si>
    <t>11715P1727</t>
  </si>
  <si>
    <t>11149P1628</t>
  </si>
  <si>
    <t>11715P2725</t>
  </si>
  <si>
    <t>11149P2625</t>
  </si>
  <si>
    <t>11715P1726</t>
  </si>
  <si>
    <t>11149P1627</t>
  </si>
  <si>
    <t>11715P1724</t>
  </si>
  <si>
    <t>11149P1626</t>
  </si>
  <si>
    <t>11715P2722</t>
  </si>
  <si>
    <t>11149P1624</t>
  </si>
  <si>
    <t>11715P1723</t>
  </si>
  <si>
    <t>11149P2623</t>
  </si>
  <si>
    <t>11715P1721</t>
  </si>
  <si>
    <t>11149P1622</t>
  </si>
  <si>
    <t>11715P2719</t>
  </si>
  <si>
    <t>11149P1621</t>
  </si>
  <si>
    <t>11149P2619</t>
  </si>
  <si>
    <t>11149P1620</t>
  </si>
  <si>
    <t>11715P1720</t>
  </si>
  <si>
    <t>11715P1718</t>
  </si>
  <si>
    <t>11149P1618</t>
  </si>
  <si>
    <t>11715P2716</t>
  </si>
  <si>
    <t>11715P1717</t>
  </si>
  <si>
    <t>11715P1715</t>
  </si>
  <si>
    <t>11149P1617</t>
  </si>
  <si>
    <t>11149P2615</t>
  </si>
  <si>
    <t>11715P2713</t>
  </si>
  <si>
    <t>11715P1714</t>
  </si>
  <si>
    <t>11715P1712</t>
  </si>
  <si>
    <t>11715P2711</t>
  </si>
  <si>
    <t>11149P1616</t>
  </si>
  <si>
    <t>11715P1710</t>
  </si>
  <si>
    <t>11715P2709</t>
  </si>
  <si>
    <t>11149P1614</t>
  </si>
  <si>
    <t>11715P1708</t>
  </si>
  <si>
    <t>11715P1707</t>
  </si>
  <si>
    <t>11149P1613</t>
  </si>
  <si>
    <t>11149P2605</t>
  </si>
  <si>
    <t>11715P2706</t>
  </si>
  <si>
    <t>11715P1705</t>
  </si>
  <si>
    <t>11715P2704</t>
  </si>
  <si>
    <t>11149P1612</t>
  </si>
  <si>
    <t>11715P1703</t>
  </si>
  <si>
    <t>11715P1702</t>
  </si>
  <si>
    <t>11149P1611</t>
  </si>
  <si>
    <t>11715P2701</t>
  </si>
  <si>
    <t>11741P1306</t>
  </si>
  <si>
    <t>NEO801 CE</t>
  </si>
  <si>
    <t>PA154000551</t>
  </si>
  <si>
    <t>SEM SOJA NEO801 CE BG ST</t>
  </si>
  <si>
    <t>11741P2307</t>
  </si>
  <si>
    <t>11714P1130</t>
  </si>
  <si>
    <t>11149P1610</t>
  </si>
  <si>
    <t>11714P2131</t>
  </si>
  <si>
    <t>11149P1609</t>
  </si>
  <si>
    <t>11714P2128</t>
  </si>
  <si>
    <t>11714P1129</t>
  </si>
  <si>
    <t>11149P1607</t>
  </si>
  <si>
    <t>11149P1608</t>
  </si>
  <si>
    <t>11714P2127</t>
  </si>
  <si>
    <t>11714P1126</t>
  </si>
  <si>
    <t>11714P2125</t>
  </si>
  <si>
    <t>11714P1124</t>
  </si>
  <si>
    <t>11149P1606</t>
  </si>
  <si>
    <t>11714P2123</t>
  </si>
  <si>
    <t>11714P1122</t>
  </si>
  <si>
    <t>11714P2121</t>
  </si>
  <si>
    <t>11149P1604</t>
  </si>
  <si>
    <t>11149P2602</t>
  </si>
  <si>
    <t>11714P1120</t>
  </si>
  <si>
    <t>11714P2119</t>
  </si>
  <si>
    <t>11149P1603</t>
  </si>
  <si>
    <t>11149P1601</t>
  </si>
  <si>
    <t>11714P1118</t>
  </si>
  <si>
    <t>11714P2117</t>
  </si>
  <si>
    <t>11714P1116</t>
  </si>
  <si>
    <t>11714P2115</t>
  </si>
  <si>
    <t>11728P1027</t>
  </si>
  <si>
    <t>6930I2X</t>
  </si>
  <si>
    <t>PA154000582</t>
  </si>
  <si>
    <t>SEM SOJA 6930I2X BG ST</t>
  </si>
  <si>
    <t>11728P2026</t>
  </si>
  <si>
    <t>11728P2025</t>
  </si>
  <si>
    <t>11741P2305</t>
  </si>
  <si>
    <t>11728P1018</t>
  </si>
  <si>
    <t>11728P1020</t>
  </si>
  <si>
    <t>11728P1024</t>
  </si>
  <si>
    <t>11728P2023</t>
  </si>
  <si>
    <t>11714P1113</t>
  </si>
  <si>
    <t>11714P2114</t>
  </si>
  <si>
    <t>11714P2112</t>
  </si>
  <si>
    <t>11714P1107</t>
  </si>
  <si>
    <t>11714P2108</t>
  </si>
  <si>
    <t>11714P1111</t>
  </si>
  <si>
    <t>11728P2021</t>
  </si>
  <si>
    <t>11728P1022</t>
  </si>
  <si>
    <t>11714P2110</t>
  </si>
  <si>
    <t>11714P1109</t>
  </si>
  <si>
    <t>11728P2019</t>
  </si>
  <si>
    <t>11728P2017</t>
  </si>
  <si>
    <t>11728P2015</t>
  </si>
  <si>
    <t>11728P2013</t>
  </si>
  <si>
    <t>11728P2011</t>
  </si>
  <si>
    <t>11728P2009</t>
  </si>
  <si>
    <t>11758P1507</t>
  </si>
  <si>
    <t>C2705CE</t>
  </si>
  <si>
    <t>PA154001079</t>
  </si>
  <si>
    <t>SEM SOJA C2705CE BG ST</t>
  </si>
  <si>
    <t>11758P2506</t>
  </si>
  <si>
    <t>11758P1505</t>
  </si>
  <si>
    <t>11758P2504</t>
  </si>
  <si>
    <t>11758P1503</t>
  </si>
  <si>
    <t>11754P1407</t>
  </si>
  <si>
    <t>7222I2X</t>
  </si>
  <si>
    <t>PA154001037</t>
  </si>
  <si>
    <t>SEM SOJA 7222I2X BG ST</t>
  </si>
  <si>
    <t>11754P2406</t>
  </si>
  <si>
    <t>11758P2501</t>
  </si>
  <si>
    <t>11758P1502</t>
  </si>
  <si>
    <t>11754P1405</t>
  </si>
  <si>
    <t>11272P1225</t>
  </si>
  <si>
    <t>690 I2X</t>
  </si>
  <si>
    <t>SEM SOJA 690 I2X BG ST</t>
  </si>
  <si>
    <t>11272P2224</t>
  </si>
  <si>
    <t>PA154000454</t>
  </si>
  <si>
    <t>11754P2404</t>
  </si>
  <si>
    <t>11754P1403</t>
  </si>
  <si>
    <t>11754P2402</t>
  </si>
  <si>
    <t>11272P1223</t>
  </si>
  <si>
    <t>11272P2221</t>
  </si>
  <si>
    <t>11754P1401</t>
  </si>
  <si>
    <t>11272P1222</t>
  </si>
  <si>
    <t>11272P1220</t>
  </si>
  <si>
    <t>11272P2219</t>
  </si>
  <si>
    <t>11272P1218</t>
  </si>
  <si>
    <t>11272P2216</t>
  </si>
  <si>
    <t>11272P1217</t>
  </si>
  <si>
    <t>11272P1215</t>
  </si>
  <si>
    <t>11272P2213</t>
  </si>
  <si>
    <t>11272P1214</t>
  </si>
  <si>
    <t>11272P1212</t>
  </si>
  <si>
    <t>11741P1301</t>
  </si>
  <si>
    <t>11741P1304</t>
  </si>
  <si>
    <t>11272P2210</t>
  </si>
  <si>
    <t>11272P1211</t>
  </si>
  <si>
    <t>11741P2303</t>
  </si>
  <si>
    <t>11272P1209</t>
  </si>
  <si>
    <t>11741P2302</t>
  </si>
  <si>
    <t>11272P2207</t>
  </si>
  <si>
    <t>11272P1208</t>
  </si>
  <si>
    <t>11272P1206</t>
  </si>
  <si>
    <t>11272P1205</t>
  </si>
  <si>
    <t>11272P2204</t>
  </si>
  <si>
    <t>11272P1203</t>
  </si>
  <si>
    <t>11272P2202</t>
  </si>
  <si>
    <t>11272P1201</t>
  </si>
  <si>
    <t>11728P1016</t>
  </si>
  <si>
    <t>11714P2106</t>
  </si>
  <si>
    <t>11714P1105</t>
  </si>
  <si>
    <t>11714P2104</t>
  </si>
  <si>
    <t>11714P1103</t>
  </si>
  <si>
    <t>11714P2102</t>
  </si>
  <si>
    <t>11714P1101</t>
  </si>
  <si>
    <t>11728P1014</t>
  </si>
  <si>
    <t>11728P1012</t>
  </si>
  <si>
    <t>11728P1010</t>
  </si>
  <si>
    <t>11728P1008</t>
  </si>
  <si>
    <t>11728P2007</t>
  </si>
  <si>
    <t>11728P1006</t>
  </si>
  <si>
    <t>11728P2005</t>
  </si>
  <si>
    <t>11728P1004</t>
  </si>
  <si>
    <t>11728P1003</t>
  </si>
  <si>
    <t>11728P2002</t>
  </si>
  <si>
    <t>11728P1001</t>
  </si>
  <si>
    <t>11740P1928</t>
  </si>
  <si>
    <t>11741P2321</t>
  </si>
  <si>
    <t>11741P1320</t>
  </si>
  <si>
    <t>11757P2804</t>
  </si>
  <si>
    <t>11715P2747</t>
  </si>
  <si>
    <t>11715P1748</t>
  </si>
  <si>
    <t>11757P2802</t>
  </si>
  <si>
    <t>11715P1746</t>
  </si>
  <si>
    <t>11715P1752</t>
  </si>
  <si>
    <t>11757P1805</t>
  </si>
  <si>
    <t>11715P2750</t>
  </si>
  <si>
    <t>11715P1751</t>
  </si>
  <si>
    <t>11715P1749</t>
  </si>
  <si>
    <t>11757P1803</t>
  </si>
  <si>
    <t>11715P2756</t>
  </si>
  <si>
    <t>11757P1807</t>
  </si>
  <si>
    <t>11715P2753</t>
  </si>
  <si>
    <t>11715P1754</t>
  </si>
  <si>
    <t>11759P2408</t>
  </si>
  <si>
    <t>NEO811 I2X</t>
  </si>
  <si>
    <t>PA154001121</t>
  </si>
  <si>
    <t>SEM SOJA NEO811 I2X BG ST</t>
  </si>
  <si>
    <t>11757P2806</t>
  </si>
  <si>
    <t>11715P1755</t>
  </si>
  <si>
    <t>11757P2809</t>
  </si>
  <si>
    <t>11759P1410</t>
  </si>
  <si>
    <t>11757P1810</t>
  </si>
  <si>
    <t>11759P1409</t>
  </si>
  <si>
    <t>11757P1808</t>
  </si>
  <si>
    <t>11740P1901</t>
  </si>
  <si>
    <t>11759P2413</t>
  </si>
  <si>
    <t>11759P1414</t>
  </si>
  <si>
    <t>11759P1412</t>
  </si>
  <si>
    <t>11759P2411</t>
  </si>
  <si>
    <t>11740P2904</t>
  </si>
  <si>
    <t>11740P1903</t>
  </si>
  <si>
    <t>11759P2416</t>
  </si>
  <si>
    <t>11759P1415</t>
  </si>
  <si>
    <t>11740P2902</t>
  </si>
  <si>
    <t>11743P2423</t>
  </si>
  <si>
    <t>22213I2X</t>
  </si>
  <si>
    <t>PA154000849</t>
  </si>
  <si>
    <t>SEM SOJA 22213I2X BG ST</t>
  </si>
  <si>
    <t>11740P2906</t>
  </si>
  <si>
    <t>11743P1420</t>
  </si>
  <si>
    <t>11743P2419</t>
  </si>
  <si>
    <t>11743P1417</t>
  </si>
  <si>
    <t>11740P1905</t>
  </si>
  <si>
    <t>11743P2418</t>
  </si>
  <si>
    <t>11740P1910</t>
  </si>
  <si>
    <t>11740P1911</t>
  </si>
  <si>
    <t>11740P2909</t>
  </si>
  <si>
    <t>11743P1424</t>
  </si>
  <si>
    <t>11740P2908</t>
  </si>
  <si>
    <t>11740P1907</t>
  </si>
  <si>
    <t>11743P2421</t>
  </si>
  <si>
    <t>11743P1422</t>
  </si>
  <si>
    <t>11743P2425</t>
  </si>
  <si>
    <t>11740P2912</t>
  </si>
  <si>
    <t>11264P1426</t>
  </si>
  <si>
    <t>O820 IPRO</t>
  </si>
  <si>
    <t>PA154001160</t>
  </si>
  <si>
    <t>SOJA DEST STE O820 IPRO BG ST</t>
  </si>
  <si>
    <t>11740P2915</t>
  </si>
  <si>
    <t>11740P2914</t>
  </si>
  <si>
    <t>11740P1913</t>
  </si>
  <si>
    <t>11264P1428</t>
  </si>
  <si>
    <t>11740P2917</t>
  </si>
  <si>
    <t>11264P2427</t>
  </si>
  <si>
    <t>11740P1916</t>
  </si>
  <si>
    <t>11264P2431</t>
  </si>
  <si>
    <t>11264P1432</t>
  </si>
  <si>
    <t>11740P1920</t>
  </si>
  <si>
    <t>11740P2921</t>
  </si>
  <si>
    <t>11264P2429</t>
  </si>
  <si>
    <t>11264P1430</t>
  </si>
  <si>
    <t>11740P1918</t>
  </si>
  <si>
    <t>11740P2919</t>
  </si>
  <si>
    <t>11264P2433</t>
  </si>
  <si>
    <t>11264P1434</t>
  </si>
  <si>
    <t>11740P2922</t>
  </si>
  <si>
    <t>11740P1925</t>
  </si>
  <si>
    <t>11740P1923</t>
  </si>
  <si>
    <t>11740P2924</t>
  </si>
  <si>
    <t>11740P2926</t>
  </si>
  <si>
    <t>11740P2927</t>
  </si>
  <si>
    <t>11741P1310</t>
  </si>
  <si>
    <t>11741P2308</t>
  </si>
  <si>
    <t>11741P1309</t>
  </si>
  <si>
    <t>11741P1312</t>
  </si>
  <si>
    <t>11741P2311</t>
  </si>
  <si>
    <t>11741P2316</t>
  </si>
  <si>
    <t>11741P1315</t>
  </si>
  <si>
    <t>11741P2313</t>
  </si>
  <si>
    <t>11741P1314</t>
  </si>
  <si>
    <t>11741P2318</t>
  </si>
  <si>
    <t>11741P1317</t>
  </si>
  <si>
    <t>11741P1319</t>
  </si>
  <si>
    <t>11741P1322</t>
  </si>
  <si>
    <t>11741P1324</t>
  </si>
  <si>
    <t>11741P2325</t>
  </si>
  <si>
    <t>11741P2323</t>
  </si>
  <si>
    <t xml:space="preserve">VISTO AUDITOR </t>
  </si>
  <si>
    <t>Renato de Castro</t>
  </si>
  <si>
    <t>Evelyn Ataide</t>
  </si>
  <si>
    <t>Luziano Alves</t>
  </si>
  <si>
    <t>AUDITOR</t>
  </si>
  <si>
    <t xml:space="preserve">AUDITOR </t>
  </si>
  <si>
    <t>RESPONSÁVEL UBS</t>
  </si>
  <si>
    <t>ABR</t>
  </si>
  <si>
    <t>N° Lotes</t>
  </si>
  <si>
    <t>Total</t>
  </si>
  <si>
    <t>11026273P2316</t>
  </si>
  <si>
    <t>11026273P1315</t>
  </si>
  <si>
    <t>11026273P2314</t>
  </si>
  <si>
    <t>11026273P1312</t>
  </si>
  <si>
    <t>11026273P2313</t>
  </si>
  <si>
    <t>11026273P1311</t>
  </si>
  <si>
    <t>11026273P1308</t>
  </si>
  <si>
    <t>11026273P2309</t>
  </si>
  <si>
    <t>11026273P2307</t>
  </si>
  <si>
    <t>11026273P1306</t>
  </si>
  <si>
    <t>11026273P2305</t>
  </si>
  <si>
    <t>11026273P1281</t>
  </si>
  <si>
    <t>11026714P1304</t>
  </si>
  <si>
    <t>11026714P2303</t>
  </si>
  <si>
    <t>11026714P1301</t>
  </si>
  <si>
    <t>11026714P2302</t>
  </si>
  <si>
    <t>11026714P2300</t>
  </si>
  <si>
    <t>11026764P2298</t>
  </si>
  <si>
    <t>NEO791 CE</t>
  </si>
  <si>
    <t>11026764P1299</t>
  </si>
  <si>
    <t>11026764P1294</t>
  </si>
  <si>
    <t>11026764P2297</t>
  </si>
  <si>
    <t>11026764P2296</t>
  </si>
  <si>
    <t>11026764P2295</t>
  </si>
  <si>
    <t>11026764P2293</t>
  </si>
  <si>
    <t>11026764P1290</t>
  </si>
  <si>
    <t>11026764P2292</t>
  </si>
  <si>
    <t>11026764P2291</t>
  </si>
  <si>
    <t>11026764P2289</t>
  </si>
  <si>
    <t>11026757P2287</t>
  </si>
  <si>
    <t>11026757P1288</t>
  </si>
  <si>
    <t>11026757P1286</t>
  </si>
  <si>
    <t>11026757P2284</t>
  </si>
  <si>
    <t>11026757P1285</t>
  </si>
  <si>
    <t>11026757P2283</t>
  </si>
  <si>
    <t>11026757P1282</t>
  </si>
  <si>
    <t>11026273P2280</t>
  </si>
  <si>
    <t>11026273P1278</t>
  </si>
  <si>
    <t>11026273P2279</t>
  </si>
  <si>
    <t>11026273P2277</t>
  </si>
  <si>
    <t>11026273P1276</t>
  </si>
  <si>
    <t>11026273P2275</t>
  </si>
  <si>
    <t>11026273P1274</t>
  </si>
  <si>
    <t>11026273P2273</t>
  </si>
  <si>
    <t>11026273P1272</t>
  </si>
  <si>
    <t>11026273P2271</t>
  </si>
  <si>
    <t>11026273P1270</t>
  </si>
  <si>
    <t>11026273P2269</t>
  </si>
  <si>
    <t>11026273P1268</t>
  </si>
  <si>
    <t>11026714P2267</t>
  </si>
  <si>
    <t>11026714P1266</t>
  </si>
  <si>
    <t>11026714P2265</t>
  </si>
  <si>
    <t>11026714P1263</t>
  </si>
  <si>
    <t>11026714P2264</t>
  </si>
  <si>
    <t>11026714P2262</t>
  </si>
  <si>
    <t>11026714P1261</t>
  </si>
  <si>
    <t>11026714P2258</t>
  </si>
  <si>
    <t>11026714P2260</t>
  </si>
  <si>
    <t>11026714P1259</t>
  </si>
  <si>
    <t>11026714P1256</t>
  </si>
  <si>
    <t>11026714P2257</t>
  </si>
  <si>
    <t>11026714P2255</t>
  </si>
  <si>
    <t>11026714P1253</t>
  </si>
  <si>
    <t>11026714P2254</t>
  </si>
  <si>
    <t>11026714P2252</t>
  </si>
  <si>
    <t>11026714P1251</t>
  </si>
  <si>
    <t>11026714P2250</t>
  </si>
  <si>
    <t>11026714P1248</t>
  </si>
  <si>
    <t>11026714P2249</t>
  </si>
  <si>
    <t>11026714P2247</t>
  </si>
  <si>
    <t>11026714P1245</t>
  </si>
  <si>
    <t>11026714P2246</t>
  </si>
  <si>
    <t>11026714P2244</t>
  </si>
  <si>
    <t>11026714P1242</t>
  </si>
  <si>
    <t>11026714P2243</t>
  </si>
  <si>
    <t>11026714P2241</t>
  </si>
  <si>
    <t>11026714P1240</t>
  </si>
  <si>
    <t>11026714P2239</t>
  </si>
  <si>
    <t>11026714P1238</t>
  </si>
  <si>
    <t>11026714P2237</t>
  </si>
  <si>
    <t>11026714P1203</t>
  </si>
  <si>
    <t>11026714P2202</t>
  </si>
  <si>
    <t>11026756P2236</t>
  </si>
  <si>
    <t>11026756P1235</t>
  </si>
  <si>
    <t>Sergio Mench do Prado</t>
  </si>
  <si>
    <t>Cláudio Mecenas</t>
  </si>
  <si>
    <t>44160002SN</t>
  </si>
  <si>
    <t>44160004SN</t>
  </si>
  <si>
    <t>242504306</t>
  </si>
  <si>
    <t>CRV2I05010</t>
  </si>
  <si>
    <t>46W35015ON</t>
  </si>
  <si>
    <t>46W35016ON</t>
  </si>
  <si>
    <t>46W35006ON</t>
  </si>
  <si>
    <t>46W35008ON</t>
  </si>
  <si>
    <t>44X35501ON</t>
  </si>
  <si>
    <t>44X35505ON</t>
  </si>
  <si>
    <t>44X35506ON</t>
  </si>
  <si>
    <t>CRV2I04002</t>
  </si>
  <si>
    <t>CRV2I04016</t>
  </si>
  <si>
    <t>CRV2I04018</t>
  </si>
  <si>
    <t>CRV2I04020</t>
  </si>
  <si>
    <t>CRV2I04021</t>
  </si>
  <si>
    <t>CRV2I04022</t>
  </si>
  <si>
    <t>CRV2I05007</t>
  </si>
  <si>
    <t>CRV2I05012</t>
  </si>
  <si>
    <t>CRV2I05014</t>
  </si>
  <si>
    <t>CRV2I05016</t>
  </si>
  <si>
    <t>CRV2I410TC</t>
  </si>
  <si>
    <t>24260038SN</t>
  </si>
  <si>
    <t>14260083SN</t>
  </si>
  <si>
    <t>24260037SN</t>
  </si>
  <si>
    <t>24260046SN</t>
  </si>
  <si>
    <t>34Z35501PB</t>
  </si>
  <si>
    <t>14260067SN</t>
  </si>
  <si>
    <t>14260090SN</t>
  </si>
  <si>
    <t>CRV2I04025</t>
  </si>
  <si>
    <t>46W35022ON</t>
  </si>
  <si>
    <t>44X35518ON</t>
  </si>
  <si>
    <t>SX7331 TG</t>
  </si>
  <si>
    <t>CRV2874 PRO4</t>
  </si>
  <si>
    <t>SS183E VIP3</t>
  </si>
  <si>
    <t>R5C</t>
  </si>
  <si>
    <t>C3M</t>
  </si>
  <si>
    <t>R4C</t>
  </si>
  <si>
    <t>R4M</t>
  </si>
  <si>
    <t>C4C</t>
  </si>
  <si>
    <t>R3L</t>
  </si>
  <si>
    <t>C3C</t>
  </si>
  <si>
    <t>C5L</t>
  </si>
  <si>
    <t>C3L</t>
  </si>
  <si>
    <t>C4L</t>
  </si>
  <si>
    <t>R5L</t>
  </si>
  <si>
    <t>C4M</t>
  </si>
  <si>
    <t>C5C</t>
  </si>
  <si>
    <t>UM</t>
  </si>
  <si>
    <t>BG</t>
  </si>
  <si>
    <t>SC</t>
  </si>
  <si>
    <t>CULTURA</t>
  </si>
  <si>
    <t>SOJA</t>
  </si>
  <si>
    <t>MILHO</t>
  </si>
  <si>
    <t>Valores</t>
  </si>
  <si>
    <t>11026755P2340</t>
  </si>
  <si>
    <t>7535I2X</t>
  </si>
  <si>
    <t>11026755P1339</t>
  </si>
  <si>
    <t>11026755P2338</t>
  </si>
  <si>
    <t>11026755P1336</t>
  </si>
  <si>
    <t>11026755P2337</t>
  </si>
  <si>
    <t>11026739P2335</t>
  </si>
  <si>
    <t>11026739P1332</t>
  </si>
  <si>
    <t>11026739P2334</t>
  </si>
  <si>
    <t>11026739P2333</t>
  </si>
  <si>
    <t>11026739P2331</t>
  </si>
  <si>
    <t>11026739P1329</t>
  </si>
  <si>
    <t>11026739P2330</t>
  </si>
  <si>
    <t>11026739P1328</t>
  </si>
  <si>
    <t>11026739P2327</t>
  </si>
  <si>
    <t>11026739P1324</t>
  </si>
  <si>
    <t>11026739P2326</t>
  </si>
  <si>
    <t>11026739P2325</t>
  </si>
  <si>
    <t>11026739P2323</t>
  </si>
  <si>
    <t>11026739P1322</t>
  </si>
  <si>
    <t>11026739P2321</t>
  </si>
  <si>
    <t>11026273P2319</t>
  </si>
  <si>
    <t>11026273P1320</t>
  </si>
  <si>
    <t>11026273P1317</t>
  </si>
  <si>
    <t>11026273P2318</t>
  </si>
  <si>
    <t>11026273P2310</t>
  </si>
  <si>
    <t xml:space="preserve">S2 </t>
  </si>
  <si>
    <t>CÂMARA</t>
  </si>
  <si>
    <t>QUADRA</t>
  </si>
  <si>
    <t>FILEIRA</t>
  </si>
  <si>
    <t>Cam.A</t>
  </si>
  <si>
    <t>QD.31</t>
  </si>
  <si>
    <t>F1</t>
  </si>
  <si>
    <t>F2</t>
  </si>
  <si>
    <t>F3</t>
  </si>
  <si>
    <t>QD.30</t>
  </si>
  <si>
    <t>QD.10</t>
  </si>
  <si>
    <t>QD.27</t>
  </si>
  <si>
    <t>QD.29</t>
  </si>
  <si>
    <t>QD.28</t>
  </si>
  <si>
    <t>QD.26</t>
  </si>
  <si>
    <t>QD.25</t>
  </si>
  <si>
    <t>QD.24</t>
  </si>
  <si>
    <t>QD.23</t>
  </si>
  <si>
    <t>QD.22</t>
  </si>
  <si>
    <t>QD.11</t>
  </si>
  <si>
    <t>F4</t>
  </si>
  <si>
    <t>QD.09</t>
  </si>
  <si>
    <t>QD.08</t>
  </si>
  <si>
    <t>QD.07</t>
  </si>
  <si>
    <t>QD.05</t>
  </si>
  <si>
    <t>QD.06</t>
  </si>
  <si>
    <t>QD.04</t>
  </si>
  <si>
    <t>QD.03</t>
  </si>
  <si>
    <t>QD.02</t>
  </si>
  <si>
    <t>QD.01</t>
  </si>
  <si>
    <t>QD.13</t>
  </si>
  <si>
    <t>QD.12</t>
  </si>
  <si>
    <t>QD.17</t>
  </si>
  <si>
    <t>QD.16</t>
  </si>
  <si>
    <t>QD.15</t>
  </si>
  <si>
    <t>QD.14</t>
  </si>
  <si>
    <t>QD.21</t>
  </si>
  <si>
    <t>QD.20</t>
  </si>
  <si>
    <t>QD.19</t>
  </si>
  <si>
    <t>QD.18</t>
  </si>
  <si>
    <t>Cam.B</t>
  </si>
  <si>
    <t>QD.40</t>
  </si>
  <si>
    <t>QD.41</t>
  </si>
  <si>
    <t>Cam.C</t>
  </si>
  <si>
    <t>CORREDOR</t>
  </si>
  <si>
    <t>(vazio)</t>
  </si>
  <si>
    <t>QD.36</t>
  </si>
  <si>
    <t>QD.32</t>
  </si>
  <si>
    <t>QD.33</t>
  </si>
  <si>
    <t>QD.34</t>
  </si>
  <si>
    <t>QD.35</t>
  </si>
  <si>
    <t>QD.37</t>
  </si>
  <si>
    <t>QD.42</t>
  </si>
  <si>
    <t>QD.38</t>
  </si>
  <si>
    <t>QD.39</t>
  </si>
  <si>
    <t>MAI</t>
  </si>
  <si>
    <t>Givaldo de Marinho</t>
  </si>
  <si>
    <t>Erivanilson de Oliveira</t>
  </si>
  <si>
    <t>Rodrigo de Almeida</t>
  </si>
  <si>
    <t>TOTAL</t>
  </si>
  <si>
    <t>Soma de N° Lotes</t>
  </si>
  <si>
    <t>NEO761 I2X</t>
  </si>
  <si>
    <t>NEO790 IPRO</t>
  </si>
  <si>
    <t>NEO800 I2X</t>
  </si>
  <si>
    <t>SOYTECH 745 I2X</t>
  </si>
  <si>
    <t>M 7535 I2X</t>
  </si>
  <si>
    <t>F5</t>
  </si>
  <si>
    <t>JUN</t>
  </si>
  <si>
    <t>QD.46</t>
  </si>
  <si>
    <t>F6</t>
  </si>
  <si>
    <t>F7</t>
  </si>
  <si>
    <t>QD.45</t>
  </si>
  <si>
    <t>QD.43</t>
  </si>
  <si>
    <t>QD.71</t>
  </si>
  <si>
    <t>QD.72</t>
  </si>
  <si>
    <t>QD.73</t>
  </si>
  <si>
    <t>QD.74</t>
  </si>
  <si>
    <t>QD.75</t>
  </si>
  <si>
    <t>QD.76</t>
  </si>
  <si>
    <t>QD.77</t>
  </si>
  <si>
    <t>QD.78</t>
  </si>
  <si>
    <t>QD.80</t>
  </si>
  <si>
    <t>QD.81</t>
  </si>
  <si>
    <t>QD.82</t>
  </si>
  <si>
    <t>QD.83</t>
  </si>
  <si>
    <t>QD.84</t>
  </si>
  <si>
    <t>QD.85</t>
  </si>
  <si>
    <t>QD.86</t>
  </si>
  <si>
    <t>QD.88</t>
  </si>
  <si>
    <t>QD.89</t>
  </si>
  <si>
    <t>QD.90</t>
  </si>
  <si>
    <t>QD.91</t>
  </si>
  <si>
    <t>QD.92</t>
  </si>
  <si>
    <t>QD.93</t>
  </si>
  <si>
    <t>QD.94</t>
  </si>
  <si>
    <t>QD.101</t>
  </si>
  <si>
    <t>QD.100</t>
  </si>
  <si>
    <t>QD.99</t>
  </si>
  <si>
    <t>QD.98</t>
  </si>
  <si>
    <t>QD.97</t>
  </si>
  <si>
    <t>QD.96</t>
  </si>
  <si>
    <t>QD.57</t>
  </si>
  <si>
    <t>QD.58</t>
  </si>
  <si>
    <t>QD.70</t>
  </si>
  <si>
    <t>QD.61</t>
  </si>
  <si>
    <t>QD.69</t>
  </si>
  <si>
    <t>QD.67</t>
  </si>
  <si>
    <t>QD.65</t>
  </si>
  <si>
    <t>QD.54</t>
  </si>
  <si>
    <t>QD.55</t>
  </si>
  <si>
    <t>QD.56</t>
  </si>
  <si>
    <t>QD.62</t>
  </si>
  <si>
    <t>QD.60</t>
  </si>
  <si>
    <t>QD.47</t>
  </si>
  <si>
    <t>QD.48</t>
  </si>
  <si>
    <t>QD.49</t>
  </si>
  <si>
    <t>QD.51</t>
  </si>
  <si>
    <t>QD.52</t>
  </si>
  <si>
    <t>QD.53</t>
  </si>
  <si>
    <t>QD.95</t>
  </si>
  <si>
    <t>Joselia Soares da Silva</t>
  </si>
  <si>
    <t>Lucas Lima</t>
  </si>
  <si>
    <t>34X35006OG</t>
  </si>
  <si>
    <t>34X35024OG</t>
  </si>
  <si>
    <t>46W35013ON</t>
  </si>
  <si>
    <t>46W35021ON</t>
  </si>
  <si>
    <t xml:space="preserve">SS183E VIP3                             </t>
  </si>
  <si>
    <t>SAMUEL</t>
  </si>
  <si>
    <t xml:space="preserve">SERGIO </t>
  </si>
  <si>
    <t xml:space="preserve">CLAUDIO </t>
  </si>
  <si>
    <t xml:space="preserve">F1 </t>
  </si>
  <si>
    <t>-</t>
  </si>
  <si>
    <t>JUL</t>
  </si>
  <si>
    <t xml:space="preserve"> QD.18 </t>
  </si>
  <si>
    <t xml:space="preserve"> QD.19 </t>
  </si>
  <si>
    <t xml:space="preserve"> F1 </t>
  </si>
  <si>
    <t xml:space="preserve"> QD.20 </t>
  </si>
  <si>
    <t xml:space="preserve"> QD.17 </t>
  </si>
  <si>
    <t xml:space="preserve"> QD.01 </t>
  </si>
  <si>
    <t xml:space="preserve">  F1  </t>
  </si>
  <si>
    <t xml:space="preserve"> QD.04 </t>
  </si>
  <si>
    <t xml:space="preserve"> QD.06 </t>
  </si>
  <si>
    <t xml:space="preserve"> QD.07 </t>
  </si>
  <si>
    <t xml:space="preserve"> QD.08 </t>
  </si>
  <si>
    <t xml:space="preserve"> QD.09 </t>
  </si>
  <si>
    <t xml:space="preserve"> QD.10 </t>
  </si>
  <si>
    <t xml:space="preserve"> QD.11 </t>
  </si>
  <si>
    <t xml:space="preserve"> QD.42 </t>
  </si>
  <si>
    <t xml:space="preserve"> QD.41 </t>
  </si>
  <si>
    <t xml:space="preserve"> QD.39 </t>
  </si>
  <si>
    <t xml:space="preserve"> QD.38 </t>
  </si>
  <si>
    <t xml:space="preserve">  QD.38  </t>
  </si>
  <si>
    <t xml:space="preserve"> QD.37 </t>
  </si>
  <si>
    <t xml:space="preserve"> QD.36 </t>
  </si>
  <si>
    <t xml:space="preserve"> QD.33 </t>
  </si>
  <si>
    <t xml:space="preserve"> QD.32 </t>
  </si>
  <si>
    <t xml:space="preserve"> QD.16 </t>
  </si>
  <si>
    <t xml:space="preserve">Cam.B            </t>
  </si>
  <si>
    <t xml:space="preserve">F1           </t>
  </si>
  <si>
    <t xml:space="preserve">F1          </t>
  </si>
  <si>
    <t xml:space="preserve">F1    </t>
  </si>
  <si>
    <t xml:space="preserve">F1   </t>
  </si>
  <si>
    <t xml:space="preserve">F1  </t>
  </si>
  <si>
    <t xml:space="preserve">F1     </t>
  </si>
  <si>
    <t xml:space="preserve">F1      </t>
  </si>
  <si>
    <t xml:space="preserve">F1       </t>
  </si>
  <si>
    <t xml:space="preserve">F1        </t>
  </si>
  <si>
    <t>QD.44</t>
  </si>
  <si>
    <t>QD.50</t>
  </si>
  <si>
    <t>QD.68</t>
  </si>
  <si>
    <t>QD.79</t>
  </si>
  <si>
    <t>LUCAS</t>
  </si>
  <si>
    <t>MARCELA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</si>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</sst>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"/>
    <numFmt numFmtId="165" formatCode="_(* #,##0_);[Red]_(* \(#,##0\);_(* &quot;-&quot;??_);_(@_)"/>
    <numFmt numFmtId="166" formatCode="_(* #,##0.00_);[Red]_(* \(#,##0.0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pivotButton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vertical="top" wrapText="1"/>
    </xf>
    <xf numFmtId="49" fontId="0" fillId="0" borderId="0" xfId="0" applyNumberFormat="1" applyAlignment="1">
      <alignment horizontal="center"/>
    </xf>
    <xf numFmtId="165" fontId="0" fillId="0" borderId="0" xfId="0" applyNumberFormat="1"/>
    <xf numFmtId="165" fontId="0" fillId="3" borderId="0" xfId="0" applyNumberFormat="1" applyFill="1"/>
    <xf numFmtId="165" fontId="0" fillId="2" borderId="0" xfId="0" applyNumberFormat="1" applyFill="1"/>
    <xf numFmtId="14" fontId="0" fillId="3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166" fontId="0" fillId="3" borderId="0" xfId="0" applyNumberFormat="1" applyFill="1"/>
    <xf numFmtId="165" fontId="3" fillId="4" borderId="4" xfId="0" applyNumberFormat="1" applyFont="1" applyFill="1" applyBorder="1"/>
    <xf numFmtId="0" fontId="0" fillId="0" borderId="3" xfId="0" applyBorder="1" applyAlignment="1">
      <alignment horizontal="center"/>
    </xf>
    <xf numFmtId="165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53">
    <dxf>
      <numFmt numFmtId="19" formatCode="dd/mm/yyyy"/>
    </dxf>
    <dxf>
      <numFmt numFmtId="164" formatCode="mmm"/>
      <fill>
        <patternFill patternType="solid">
          <fgColor indexed="64"/>
          <bgColor theme="5" tint="0.79998168889431442"/>
        </patternFill>
      </fill>
    </dxf>
    <dxf>
      <numFmt numFmtId="19" formatCode="dd/mm/yyyy"/>
    </dxf>
    <dxf>
      <numFmt numFmtId="19" formatCode="dd/mm/yyyy"/>
      <fill>
        <patternFill patternType="solid">
          <fgColor indexed="64"/>
          <bgColor rgb="FFFFFFCC"/>
        </patternFill>
      </fill>
    </dxf>
    <dxf>
      <numFmt numFmtId="165" formatCode="_(* #,##0_);[Red]_(* \(#,##0\);_(* &quot;-&quot;??_);_(@_)"/>
    </dxf>
    <dxf>
      <numFmt numFmtId="165" formatCode="_(* #,##0_);[Red]_(* \(#,##0\);_(* &quot;-&quot;??_);_(@_)"/>
      <fill>
        <patternFill patternType="solid">
          <fgColor indexed="64"/>
          <bgColor theme="5" tint="0.79998168889431442"/>
        </patternFill>
      </fill>
    </dxf>
    <dxf>
      <numFmt numFmtId="165" formatCode="_(* #,##0_);[Red]_(* \(#,##0\);_(* &quot;-&quot;??_);_(@_)"/>
      <fill>
        <patternFill patternType="solid">
          <fgColor indexed="64"/>
          <bgColor theme="5" tint="0.79998168889431442"/>
        </patternFill>
      </fill>
    </dxf>
    <dxf>
      <numFmt numFmtId="165" formatCode="_(* #,##0_);[Red]_(* \(#,##0\);_(* &quot;-&quot;??_);_(@_)"/>
    </dxf>
    <dxf>
      <numFmt numFmtId="165" formatCode="_(* #,##0_);[Red]_(* \(#,##0\);_(* &quot;-&quot;??_);_(@_)"/>
      <fill>
        <patternFill patternType="solid">
          <fgColor indexed="64"/>
          <bgColor rgb="FFFFFFCC"/>
        </patternFill>
      </fill>
    </dxf>
    <dxf>
      <numFmt numFmtId="165" formatCode="_(* #,##0_);[Red]_(* \(#,##0\);_(* &quot;-&quot;??_);_(@_)"/>
    </dxf>
    <dxf>
      <numFmt numFmtId="165" formatCode="_(* #,##0_);[Red]_(* \(#,##0\);_(* &quot;-&quot;??_);_(@_)"/>
      <fill>
        <patternFill patternType="solid">
          <fgColor indexed="64"/>
          <bgColor rgb="FFFFFFCC"/>
        </patternFill>
      </fill>
    </dxf>
    <dxf>
      <numFmt numFmtId="165" formatCode="_(* #,##0_);[Red]_(* \(#,##0\);_(* &quot;-&quot;??_);_(@_)"/>
    </dxf>
    <dxf>
      <numFmt numFmtId="165" formatCode="_(* #,##0_);[Red]_(* \(#,##0\);_(* &quot;-&quot;??_);_(@_)"/>
      <fill>
        <patternFill patternType="solid">
          <fgColor indexed="64"/>
          <bgColor rgb="FFFFFFCC"/>
        </patternFill>
      </fill>
    </dxf>
    <dxf>
      <numFmt numFmtId="165" formatCode="_(* #,##0_);[Red]_(* \(#,##0\);_(* &quot;-&quot;??_);_(@_)"/>
    </dxf>
    <dxf>
      <numFmt numFmtId="165" formatCode="_(* #,##0_);[Red]_(* \(#,##0\);_(* &quot;-&quot;??_);_(@_)"/>
      <fill>
        <patternFill patternType="solid">
          <fgColor indexed="64"/>
          <bgColor rgb="FFFFFFCC"/>
        </patternFill>
      </fill>
    </dxf>
    <dxf>
      <numFmt numFmtId="165" formatCode="_(* #,##0_);[Red]_(* \(#,##0\);_(* &quot;-&quot;??_);_(@_)"/>
      <fill>
        <patternFill patternType="solid">
          <fgColor indexed="64"/>
          <bgColor rgb="FFFFFFCC"/>
        </patternFill>
      </fill>
    </dxf>
    <dxf>
      <numFmt numFmtId="165" formatCode="_(* #,##0_);[Red]_(* \(#,##0\);_(* &quot;-&quot;??_);_(@_)"/>
      <fill>
        <patternFill patternType="solid">
          <fgColor indexed="64"/>
          <bgColor rgb="FFFFFFCC"/>
        </patternFill>
      </fill>
    </dxf>
    <dxf>
      <numFmt numFmtId="165" formatCode="_(* #,##0_);[Red]_(* \(#,##0\);_(* &quot;-&quot;??_);_(@_)"/>
      <fill>
        <patternFill patternType="none">
          <fgColor indexed="64"/>
          <bgColor indexed="65"/>
        </patternFill>
      </fill>
    </dxf>
    <dxf>
      <numFmt numFmtId="165" formatCode="_(* #,##0_);[Red]_(* \(#,##0\);_(* &quot;-&quot;??_);_(@_)"/>
    </dxf>
    <dxf>
      <numFmt numFmtId="165" formatCode="_(* #,##0_);[Red]_(* \(#,##0\);_(* &quot;-&quot;??_);_(@_)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ck">
          <color theme="1"/>
        </top>
        <bottom style="thick">
          <color theme="1"/>
        </bottom>
      </border>
    </dxf>
    <dxf>
      <font>
        <b/>
        <color theme="1"/>
      </font>
      <border>
        <top style="thick">
          <color theme="1"/>
        </top>
        <bottom style="thick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ck">
          <color theme="1"/>
        </top>
        <bottom style="thick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color theme="1"/>
      </font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color theme="1"/>
      </font>
      <fill>
        <patternFill patternType="solid">
          <fgColor theme="5" tint="0.59999389629810485"/>
          <bgColor theme="5" tint="0.59999389629810485"/>
        </patternFill>
      </fill>
    </dxf>
    <dxf>
      <font>
        <b/>
        <color theme="1"/>
      </font>
      <border>
        <left style="medium">
          <color theme="5" tint="0.59999389629810485"/>
        </left>
        <right style="medium">
          <color theme="5" tint="0.59999389629810485"/>
        </right>
        <top style="medium">
          <color theme="5" tint="0.59999389629810485"/>
        </top>
        <bottom style="medium">
          <color theme="5" tint="0.59999389629810485"/>
        </bottom>
      </border>
    </dxf>
    <dxf>
      <border>
        <left style="thin">
          <color theme="5" tint="0.39997558519241921"/>
        </left>
        <right style="thin">
          <color theme="5" tint="0.39997558519241921"/>
        </right>
      </border>
    </dxf>
    <dxf>
      <border>
        <top style="thin">
          <color theme="5" tint="0.39997558519241921"/>
        </top>
        <bottom style="thin">
          <color theme="5" tint="0.39997558519241921"/>
        </bottom>
        <horizontal style="thin">
          <color theme="5" tint="0.39997558519241921"/>
        </horizontal>
      </border>
    </dxf>
    <dxf>
      <font>
        <b/>
        <color theme="1"/>
      </font>
      <border>
        <top style="thin">
          <color theme="5" tint="-0.249977111117893"/>
        </top>
        <bottom style="medium">
          <color theme="5" tint="-0.249977111117893"/>
        </bottom>
      </border>
    </dxf>
    <dxf>
      <font>
        <b/>
        <i val="0"/>
        <color auto="1"/>
      </font>
      <fill>
        <patternFill patternType="solid">
          <fgColor theme="5"/>
          <bgColor theme="5"/>
        </patternFill>
      </fill>
      <border>
        <top style="medium">
          <color theme="5" tint="-0.249977111117893"/>
        </top>
      </border>
    </dxf>
    <dxf>
      <font>
        <color theme="1"/>
      </font>
    </dxf>
  </dxfs>
  <tableStyles count="2" defaultTableStyle="TableStyleMedium2" defaultPivotStyle="PivotStyleLight16">
    <tableStyle name="PivotStyleMedium10 2 2" table="0" count="11" xr9:uid="{992D1916-CA1C-4E42-99AF-751028538C0D}">
      <tableStyleElement type="wholeTable" dxfId="52"/>
      <tableStyleElement type="headerRow" dxfId="51"/>
      <tableStyleElement type="totalRow" dxfId="50"/>
      <tableStyleElement type="firstRowStripe" dxfId="49"/>
      <tableStyleElement type="firstColumnStripe" dxfId="48"/>
      <tableStyleElement type="firstSubtotalColumn" dxfId="47"/>
      <tableStyleElement type="firstSubtotalRow" dxfId="46"/>
      <tableStyleElement type="secondSubtotalRow" dxfId="45"/>
      <tableStyleElement type="firstRowSubheading" dxfId="44"/>
      <tableStyleElement type="pageFieldLabels" dxfId="43"/>
      <tableStyleElement type="pageFieldValues" dxfId="42"/>
    </tableStyle>
    <tableStyle name="TableStyleLight1 2" pivot="0" count="7" xr9:uid="{EA45D597-DA52-4E7B-B9CD-402D7EE0ADD8}">
      <tableStyleElement type="wholeTable" dxfId="41"/>
      <tableStyleElement type="headerRow" dxfId="40"/>
      <tableStyleElement type="totalRow" dxfId="39"/>
      <tableStyleElement type="firstColumn" dxfId="38"/>
      <tableStyleElement type="lastColumn" dxfId="37"/>
      <tableStyleElement type="firstRowStripe" dxfId="36"/>
      <tableStyleElement type="firstColumnStripe" dxfId="35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[2026 - Indicador de Acuracidade.xlsx]Resumo!Tabela dinâmica3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Indicador de Acuracidade do Estoque de Sementes - Safra 25/26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innerShdw blurRad="63500" dist="50800" dir="135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843369758149844E-2"/>
          <c:y val="0.18502132279485639"/>
          <c:w val="0.95981947363086739"/>
          <c:h val="0.646843643732405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Resumo!$C$7:$C$9</c:f>
              <c:strCache>
                <c:ptCount val="1"/>
                <c:pt idx="0">
                  <c:v>LPCO - Soma de N° Lotes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Resumo!$B$10:$B$14</c:f>
              <c:strCache>
                <c:ptCount val="4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</c:strCache>
            </c:strRef>
          </c:cat>
          <c:val>
            <c:numRef>
              <c:f>Resumo!$C$10:$C$14</c:f>
              <c:numCache>
                <c:formatCode>General</c:formatCode>
                <c:ptCount val="4"/>
                <c:pt idx="0">
                  <c:v>287</c:v>
                </c:pt>
                <c:pt idx="1">
                  <c:v>287</c:v>
                </c:pt>
                <c:pt idx="2">
                  <c:v>287</c:v>
                </c:pt>
                <c:pt idx="3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E-4A9E-9149-89303B78B2C4}"/>
            </c:ext>
          </c:extLst>
        </c:ser>
        <c:ser>
          <c:idx val="2"/>
          <c:order val="2"/>
          <c:tx>
            <c:strRef>
              <c:f>Resumo!$E$7:$E$9</c:f>
              <c:strCache>
                <c:ptCount val="1"/>
                <c:pt idx="0">
                  <c:v>UBS I - Soma de N° Lotes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Resumo!$B$10:$B$14</c:f>
              <c:strCache>
                <c:ptCount val="4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</c:strCache>
            </c:strRef>
          </c:cat>
          <c:val>
            <c:numRef>
              <c:f>Resumo!$E$10:$E$14</c:f>
              <c:numCache>
                <c:formatCode>General</c:formatCode>
                <c:ptCount val="4"/>
                <c:pt idx="0">
                  <c:v>347</c:v>
                </c:pt>
                <c:pt idx="1">
                  <c:v>340</c:v>
                </c:pt>
                <c:pt idx="2">
                  <c:v>376</c:v>
                </c:pt>
                <c:pt idx="3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6CB-4ABF-A60D-6BBDDFE443D6}"/>
            </c:ext>
          </c:extLst>
        </c:ser>
        <c:ser>
          <c:idx val="1"/>
          <c:order val="1"/>
          <c:tx>
            <c:strRef>
              <c:f>Resumo!$D$7:$D$9</c:f>
              <c:strCache>
                <c:ptCount val="1"/>
                <c:pt idx="0">
                  <c:v>LPCO - % Acuracidade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Resumo!$B$10:$B$14</c:f>
              <c:strCache>
                <c:ptCount val="4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</c:strCache>
            </c:strRef>
          </c:cat>
          <c:val>
            <c:numRef>
              <c:f>Resumo!$D$10:$D$14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0.99501753090976197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CB-4ABF-A60D-6BBDDFE443D6}"/>
            </c:ext>
          </c:extLst>
        </c:ser>
        <c:ser>
          <c:idx val="3"/>
          <c:order val="3"/>
          <c:tx>
            <c:strRef>
              <c:f>Resumo!$F$7:$F$9</c:f>
              <c:strCache>
                <c:ptCount val="1"/>
                <c:pt idx="0">
                  <c:v>UBS I - % Acuracidade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Resumo!$B$10:$B$14</c:f>
              <c:strCache>
                <c:ptCount val="4"/>
                <c:pt idx="0">
                  <c:v>ABR</c:v>
                </c:pt>
                <c:pt idx="1">
                  <c:v>MAI</c:v>
                </c:pt>
                <c:pt idx="2">
                  <c:v>JUN</c:v>
                </c:pt>
                <c:pt idx="3">
                  <c:v>JUL</c:v>
                </c:pt>
              </c:strCache>
            </c:strRef>
          </c:cat>
          <c:val>
            <c:numRef>
              <c:f>Resumo!$F$10:$F$14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0.9995146304257384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EE-41FC-A88C-59162084B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5260576"/>
        <c:axId val="595269696"/>
      </c:barChart>
      <c:catAx>
        <c:axId val="59526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5269696"/>
        <c:crosses val="autoZero"/>
        <c:auto val="1"/>
        <c:lblAlgn val="ctr"/>
        <c:lblOffset val="100"/>
        <c:noMultiLvlLbl val="0"/>
      </c:catAx>
      <c:valAx>
        <c:axId val="59526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526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25680194005236"/>
          <c:y val="1.2033067450082941E-3"/>
          <c:w val="0.16362418236375509"/>
          <c:h val="0.29650594109575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6</xdr:row>
      <xdr:rowOff>131445</xdr:rowOff>
    </xdr:from>
    <xdr:to>
      <xdr:col>25</xdr:col>
      <xdr:colOff>209550</xdr:colOff>
      <xdr:row>26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A4D708-7318-287E-2954-FE0BC6A52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320040</xdr:colOff>
      <xdr:row>6</xdr:row>
      <xdr:rowOff>140970</xdr:rowOff>
    </xdr:from>
    <xdr:to>
      <xdr:col>28</xdr:col>
      <xdr:colOff>320040</xdr:colOff>
      <xdr:row>21</xdr:row>
      <xdr:rowOff>5715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ULTURA">
              <a:extLst>
                <a:ext uri="{FF2B5EF4-FFF2-40B4-BE49-F238E27FC236}">
                  <a16:creationId xmlns:a16="http://schemas.microsoft.com/office/drawing/2014/main" id="{1ED098C3-A08C-B987-4C02-01072DEFBA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LTU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58950" y="1224915"/>
              <a:ext cx="1828800" cy="2583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04%20-%20Gerencia%20de%20UBS/Safra%2025-26/0101_10%20-%20UBS%20I/UBS%20-%20NOVO%20MAPA%20C&#194;MARA%20UBS%20I%20-2026.xlsx" TargetMode="External"/><Relationship Id="rId2" Type="http://schemas.openxmlformats.org/officeDocument/2006/relationships/externalLinkPath" Target="https://cerealouroagricola.sharepoint.com/sites/ARQUIVOS-DIROP/Documentos%20Compartilhados/04%20-%20Gerencia%20de%20UBS/Safra%2025-26/0101_10%20-%20UBS%20I/UBS%20-%20NOVO%20MAPA%20C&#194;MARA%20UBS%20I%20-2026.xlsx" TargetMode="External"/><Relationship Id="rId1" Type="http://schemas.openxmlformats.org/officeDocument/2006/relationships/externalLinkPath" Target="/sites/ARQUIVOS-DIROP/Documentos%20Compartilhados/04%20-%20Gerencia%20de%20UBS/Safra%2025-26/0101_10%20-%20UBS%20I/UBS%20-%20NOVO%20MAPA%20C&#194;MARA%20UBS%20I%20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uel.oliveira\Downloads\lotes.xlsx" TargetMode="External"/><Relationship Id="rId1" Type="http://schemas.openxmlformats.org/officeDocument/2006/relationships/externalLinkPath" Target="file:///C:\Users\samuel.oliveira\Downloads\lo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O"/>
      <sheetName val="FICHA CÂMARA"/>
      <sheetName val="ENDEREÇAMENTO"/>
      <sheetName val="CÂMARA A"/>
      <sheetName val="CÂMARA B"/>
      <sheetName val="CÂMARA C"/>
      <sheetName val="CULTIVAR"/>
      <sheetName val="VALIDAÇÕES"/>
      <sheetName val="REL. LOTES PRODUÇÃO"/>
    </sheetNames>
    <sheetDataSet>
      <sheetData sheetId="0"/>
      <sheetData sheetId="1"/>
      <sheetData sheetId="2">
        <row r="2">
          <cell r="C2" t="str">
            <v>11026739P1001</v>
          </cell>
          <cell r="D2" t="str">
            <v>PA154000537</v>
          </cell>
          <cell r="E2" t="str">
            <v>SOJA</v>
          </cell>
          <cell r="F2" t="str">
            <v>NEO700 I2X</v>
          </cell>
          <cell r="G2" t="str">
            <v>P1</v>
          </cell>
          <cell r="H2" t="str">
            <v>C2</v>
          </cell>
          <cell r="I2">
            <v>923</v>
          </cell>
          <cell r="J2" t="str">
            <v>Cam.C</v>
          </cell>
        </row>
        <row r="3">
          <cell r="C3" t="str">
            <v>11026739P1003</v>
          </cell>
          <cell r="D3" t="str">
            <v>PA154000537</v>
          </cell>
          <cell r="E3" t="str">
            <v>SOJA</v>
          </cell>
          <cell r="F3" t="str">
            <v>NEO700 I2X</v>
          </cell>
          <cell r="G3" t="str">
            <v>P1</v>
          </cell>
          <cell r="H3" t="str">
            <v>C2</v>
          </cell>
          <cell r="I3">
            <v>868</v>
          </cell>
          <cell r="J3" t="str">
            <v>Cam.C</v>
          </cell>
        </row>
        <row r="4">
          <cell r="C4" t="str">
            <v>11026739P1004</v>
          </cell>
          <cell r="D4" t="str">
            <v>PA154000537</v>
          </cell>
          <cell r="E4" t="str">
            <v>SOJA</v>
          </cell>
          <cell r="F4" t="str">
            <v>NEO700 I2X</v>
          </cell>
          <cell r="G4" t="str">
            <v>P1</v>
          </cell>
          <cell r="H4" t="str">
            <v>C2</v>
          </cell>
          <cell r="I4">
            <v>782</v>
          </cell>
          <cell r="J4" t="str">
            <v>Cam.C</v>
          </cell>
        </row>
        <row r="5">
          <cell r="C5" t="str">
            <v>11026739P2005</v>
          </cell>
          <cell r="D5" t="str">
            <v>PA154000537</v>
          </cell>
          <cell r="E5" t="str">
            <v>SOJA</v>
          </cell>
          <cell r="F5" t="str">
            <v>NEO700 I2X</v>
          </cell>
          <cell r="G5" t="str">
            <v>P2</v>
          </cell>
          <cell r="H5" t="str">
            <v>C2</v>
          </cell>
          <cell r="I5">
            <v>964</v>
          </cell>
          <cell r="J5" t="str">
            <v>Cam.C</v>
          </cell>
        </row>
        <row r="6">
          <cell r="C6" t="str">
            <v>11026739P2002</v>
          </cell>
          <cell r="D6" t="str">
            <v>PA154000537</v>
          </cell>
          <cell r="E6" t="str">
            <v>SOJA</v>
          </cell>
          <cell r="F6" t="str">
            <v>NEO700 I2X</v>
          </cell>
          <cell r="G6" t="str">
            <v>P2</v>
          </cell>
          <cell r="H6" t="str">
            <v>C2</v>
          </cell>
          <cell r="I6">
            <v>1127</v>
          </cell>
          <cell r="J6" t="str">
            <v>Cam.C</v>
          </cell>
        </row>
        <row r="7">
          <cell r="C7" t="str">
            <v>11026739P1006</v>
          </cell>
          <cell r="D7" t="str">
            <v>PA154000537</v>
          </cell>
          <cell r="E7" t="str">
            <v>SOJA</v>
          </cell>
          <cell r="F7" t="str">
            <v>NEO700 I2X</v>
          </cell>
          <cell r="G7" t="str">
            <v>P1</v>
          </cell>
          <cell r="H7" t="str">
            <v>C2</v>
          </cell>
          <cell r="I7">
            <v>795</v>
          </cell>
          <cell r="J7" t="str">
            <v>Cam.C</v>
          </cell>
        </row>
        <row r="8">
          <cell r="C8" t="str">
            <v>11026739P1007</v>
          </cell>
          <cell r="D8" t="str">
            <v>PA154000537</v>
          </cell>
          <cell r="E8" t="str">
            <v>SOJA</v>
          </cell>
          <cell r="F8" t="str">
            <v>NEO700 I2X</v>
          </cell>
          <cell r="G8" t="str">
            <v>P1</v>
          </cell>
          <cell r="H8" t="str">
            <v>C2</v>
          </cell>
          <cell r="I8">
            <v>790</v>
          </cell>
          <cell r="J8" t="str">
            <v>Cam.C</v>
          </cell>
        </row>
        <row r="9">
          <cell r="C9" t="str">
            <v>11026739P2008</v>
          </cell>
          <cell r="D9" t="str">
            <v>PA154000537</v>
          </cell>
          <cell r="E9" t="str">
            <v>SOJA</v>
          </cell>
          <cell r="F9" t="str">
            <v>NEO700 I2X</v>
          </cell>
          <cell r="G9" t="str">
            <v>P2</v>
          </cell>
          <cell r="H9" t="str">
            <v>C2</v>
          </cell>
          <cell r="I9">
            <v>946</v>
          </cell>
          <cell r="J9" t="str">
            <v>Cam.C</v>
          </cell>
        </row>
        <row r="10">
          <cell r="C10" t="str">
            <v>11026739P1009</v>
          </cell>
          <cell r="D10" t="str">
            <v>PA154000537</v>
          </cell>
          <cell r="E10" t="str">
            <v>SOJA</v>
          </cell>
          <cell r="F10" t="str">
            <v>NEO700 I2X</v>
          </cell>
          <cell r="G10" t="str">
            <v>P1</v>
          </cell>
          <cell r="H10" t="str">
            <v>C2</v>
          </cell>
          <cell r="I10">
            <v>791</v>
          </cell>
          <cell r="J10" t="str">
            <v>Cam.C</v>
          </cell>
        </row>
        <row r="11">
          <cell r="C11" t="str">
            <v>11026739P1010</v>
          </cell>
          <cell r="D11" t="str">
            <v>PA154000537</v>
          </cell>
          <cell r="E11" t="str">
            <v>SOJA</v>
          </cell>
          <cell r="F11" t="str">
            <v>NEO700 I2X</v>
          </cell>
          <cell r="G11" t="str">
            <v>P1</v>
          </cell>
          <cell r="H11" t="str">
            <v>C2</v>
          </cell>
          <cell r="I11">
            <v>790</v>
          </cell>
          <cell r="J11" t="str">
            <v>Cam.C</v>
          </cell>
        </row>
        <row r="12">
          <cell r="C12" t="str">
            <v>11026739P2011</v>
          </cell>
          <cell r="D12" t="str">
            <v>PA154000537</v>
          </cell>
          <cell r="E12" t="str">
            <v>SOJA</v>
          </cell>
          <cell r="F12" t="str">
            <v>NEO700 I2X</v>
          </cell>
          <cell r="G12" t="str">
            <v>P2</v>
          </cell>
          <cell r="H12" t="str">
            <v>C2</v>
          </cell>
          <cell r="I12">
            <v>955</v>
          </cell>
          <cell r="J12" t="str">
            <v>Cam.C</v>
          </cell>
        </row>
        <row r="13">
          <cell r="C13" t="str">
            <v>11026739P1012</v>
          </cell>
          <cell r="D13" t="str">
            <v>PA154000537</v>
          </cell>
          <cell r="E13" t="str">
            <v>SOJA</v>
          </cell>
          <cell r="F13" t="str">
            <v>NEO700 I2X</v>
          </cell>
          <cell r="G13" t="str">
            <v>P1</v>
          </cell>
          <cell r="H13" t="str">
            <v>C2</v>
          </cell>
          <cell r="I13">
            <v>775</v>
          </cell>
          <cell r="J13" t="str">
            <v>Cam.C</v>
          </cell>
        </row>
        <row r="14">
          <cell r="C14" t="str">
            <v>11026739P2013</v>
          </cell>
          <cell r="D14" t="str">
            <v>PA154000537</v>
          </cell>
          <cell r="E14" t="str">
            <v>SOJA</v>
          </cell>
          <cell r="F14" t="str">
            <v>NEO700 I2X</v>
          </cell>
          <cell r="G14" t="str">
            <v>P2</v>
          </cell>
          <cell r="H14" t="str">
            <v>C2</v>
          </cell>
          <cell r="I14">
            <v>964</v>
          </cell>
          <cell r="J14" t="str">
            <v>Cam.C</v>
          </cell>
        </row>
        <row r="15">
          <cell r="C15" t="str">
            <v>11026739P1014</v>
          </cell>
          <cell r="D15" t="str">
            <v>PA154000537</v>
          </cell>
          <cell r="E15" t="str">
            <v>SOJA</v>
          </cell>
          <cell r="F15" t="str">
            <v>NEO700 I2X</v>
          </cell>
          <cell r="G15" t="str">
            <v>P1</v>
          </cell>
          <cell r="H15" t="str">
            <v>C2</v>
          </cell>
          <cell r="I15">
            <v>800</v>
          </cell>
          <cell r="J15" t="str">
            <v>Cam.C</v>
          </cell>
        </row>
        <row r="16">
          <cell r="C16" t="str">
            <v>11026739P1015</v>
          </cell>
          <cell r="D16" t="str">
            <v>PA154000537</v>
          </cell>
          <cell r="E16" t="str">
            <v>SOJA</v>
          </cell>
          <cell r="F16" t="str">
            <v>NEO700 I2X</v>
          </cell>
          <cell r="G16" t="str">
            <v>P1</v>
          </cell>
          <cell r="H16" t="str">
            <v>C2</v>
          </cell>
          <cell r="I16">
            <v>787</v>
          </cell>
          <cell r="J16" t="str">
            <v>Cam.C</v>
          </cell>
        </row>
        <row r="17">
          <cell r="C17" t="str">
            <v>11026739P1018</v>
          </cell>
          <cell r="D17" t="str">
            <v>PA154000537</v>
          </cell>
          <cell r="E17" t="str">
            <v>SOJA</v>
          </cell>
          <cell r="F17" t="str">
            <v>NEO700 I2X</v>
          </cell>
          <cell r="G17" t="str">
            <v>P1</v>
          </cell>
          <cell r="H17" t="str">
            <v>C2</v>
          </cell>
          <cell r="I17">
            <v>804</v>
          </cell>
          <cell r="J17" t="str">
            <v>Cam.C</v>
          </cell>
        </row>
        <row r="18">
          <cell r="C18" t="str">
            <v>11026739P2019</v>
          </cell>
          <cell r="D18" t="str">
            <v>PA154000537</v>
          </cell>
          <cell r="E18" t="str">
            <v>SOJA</v>
          </cell>
          <cell r="F18" t="str">
            <v>NEO700 I2X</v>
          </cell>
          <cell r="G18" t="str">
            <v>P2</v>
          </cell>
          <cell r="H18" t="str">
            <v>C2</v>
          </cell>
          <cell r="I18">
            <v>973</v>
          </cell>
          <cell r="J18" t="str">
            <v>Cam.C</v>
          </cell>
        </row>
        <row r="19">
          <cell r="C19" t="str">
            <v>11026739P2016</v>
          </cell>
          <cell r="D19" t="str">
            <v>PA154000537</v>
          </cell>
          <cell r="E19" t="str">
            <v>SOJA</v>
          </cell>
          <cell r="F19" t="str">
            <v>NEO700 I2X</v>
          </cell>
          <cell r="G19" t="str">
            <v>P2</v>
          </cell>
          <cell r="H19" t="str">
            <v>C2</v>
          </cell>
          <cell r="I19">
            <v>949</v>
          </cell>
          <cell r="J19" t="str">
            <v>Cam.C</v>
          </cell>
        </row>
        <row r="20">
          <cell r="C20"/>
          <cell r="D20"/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/>
        </row>
        <row r="21">
          <cell r="C21" t="str">
            <v>11026739P2020</v>
          </cell>
          <cell r="D21" t="str">
            <v>PA154000537</v>
          </cell>
          <cell r="E21" t="str">
            <v>SOJA</v>
          </cell>
          <cell r="F21" t="str">
            <v>NEO700 I2X</v>
          </cell>
          <cell r="G21" t="str">
            <v>P2</v>
          </cell>
          <cell r="H21" t="str">
            <v>C2</v>
          </cell>
          <cell r="I21">
            <v>998</v>
          </cell>
          <cell r="J21" t="str">
            <v>Cam.C</v>
          </cell>
        </row>
        <row r="22">
          <cell r="C22"/>
          <cell r="D22"/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/>
        </row>
        <row r="23">
          <cell r="C23" t="str">
            <v>11026739P2022</v>
          </cell>
          <cell r="D23" t="str">
            <v>PA154000537</v>
          </cell>
          <cell r="E23" t="str">
            <v>SOJA</v>
          </cell>
          <cell r="F23" t="str">
            <v>NEO700 I2X</v>
          </cell>
          <cell r="G23" t="str">
            <v>P2</v>
          </cell>
          <cell r="H23" t="str">
            <v>C2</v>
          </cell>
          <cell r="I23">
            <v>969</v>
          </cell>
          <cell r="J23" t="str">
            <v>Cam.C</v>
          </cell>
        </row>
        <row r="24">
          <cell r="C24" t="str">
            <v>11026739P1023</v>
          </cell>
          <cell r="D24" t="str">
            <v>PA154000537</v>
          </cell>
          <cell r="E24" t="str">
            <v>SOJA</v>
          </cell>
          <cell r="F24" t="str">
            <v>NEO700 I2X</v>
          </cell>
          <cell r="G24" t="str">
            <v>P1</v>
          </cell>
          <cell r="H24" t="str">
            <v>C2</v>
          </cell>
          <cell r="I24">
            <v>813</v>
          </cell>
          <cell r="J24" t="str">
            <v>Cam.C</v>
          </cell>
        </row>
        <row r="25">
          <cell r="C25" t="str">
            <v>11026739P2024</v>
          </cell>
          <cell r="D25" t="str">
            <v>PA154000537</v>
          </cell>
          <cell r="E25" t="str">
            <v>SOJA</v>
          </cell>
          <cell r="F25" t="str">
            <v>NEO700 I2X</v>
          </cell>
          <cell r="G25" t="str">
            <v>P2</v>
          </cell>
          <cell r="H25" t="str">
            <v>C2</v>
          </cell>
          <cell r="I25">
            <v>964</v>
          </cell>
          <cell r="J25" t="str">
            <v>Cam.C</v>
          </cell>
        </row>
        <row r="26">
          <cell r="C26" t="str">
            <v>11026739P1025</v>
          </cell>
          <cell r="D26" t="str">
            <v>PA154000537</v>
          </cell>
          <cell r="E26" t="str">
            <v>SOJA</v>
          </cell>
          <cell r="F26" t="str">
            <v>NEO700 I2X</v>
          </cell>
          <cell r="G26" t="str">
            <v>P1</v>
          </cell>
          <cell r="H26" t="str">
            <v>C2</v>
          </cell>
          <cell r="I26">
            <v>806</v>
          </cell>
          <cell r="J26" t="str">
            <v>Cam.C</v>
          </cell>
        </row>
        <row r="27">
          <cell r="C27" t="str">
            <v>11026739P2026</v>
          </cell>
          <cell r="D27" t="str">
            <v>PA154000537</v>
          </cell>
          <cell r="E27" t="str">
            <v>SOJA</v>
          </cell>
          <cell r="F27" t="str">
            <v>NEO700 I2X</v>
          </cell>
          <cell r="G27" t="str">
            <v>P2</v>
          </cell>
          <cell r="H27" t="str">
            <v>C2</v>
          </cell>
          <cell r="I27">
            <v>956</v>
          </cell>
          <cell r="J27" t="str">
            <v>Cam.C</v>
          </cell>
        </row>
        <row r="28">
          <cell r="C28" t="str">
            <v>11026739P2027</v>
          </cell>
          <cell r="D28" t="str">
            <v>PA154000537</v>
          </cell>
          <cell r="E28" t="str">
            <v>SOJA</v>
          </cell>
          <cell r="F28" t="str">
            <v>NEO700 I2X</v>
          </cell>
          <cell r="G28" t="str">
            <v>P2</v>
          </cell>
          <cell r="H28" t="str">
            <v>C2</v>
          </cell>
          <cell r="I28">
            <v>963</v>
          </cell>
          <cell r="J28" t="str">
            <v>Cam.C</v>
          </cell>
        </row>
        <row r="29">
          <cell r="C29" t="str">
            <v>11026739P1028</v>
          </cell>
          <cell r="D29" t="str">
            <v>PA154000537</v>
          </cell>
          <cell r="E29" t="str">
            <v>SOJA</v>
          </cell>
          <cell r="F29" t="str">
            <v>NEO700 I2X</v>
          </cell>
          <cell r="G29" t="str">
            <v>P1</v>
          </cell>
          <cell r="H29" t="str">
            <v>C2</v>
          </cell>
          <cell r="I29">
            <v>805</v>
          </cell>
          <cell r="J29" t="str">
            <v>Cam.C</v>
          </cell>
        </row>
        <row r="30">
          <cell r="C30" t="str">
            <v>11026739P2029</v>
          </cell>
          <cell r="D30" t="str">
            <v>PA154000537</v>
          </cell>
          <cell r="E30" t="str">
            <v>SOJA</v>
          </cell>
          <cell r="F30" t="str">
            <v>NEO700 I2X</v>
          </cell>
          <cell r="G30" t="str">
            <v>P2</v>
          </cell>
          <cell r="H30" t="str">
            <v>C2</v>
          </cell>
          <cell r="I30">
            <v>958</v>
          </cell>
          <cell r="J30" t="str">
            <v>Cam.C</v>
          </cell>
        </row>
        <row r="31">
          <cell r="C31" t="str">
            <v>11026739P1030</v>
          </cell>
          <cell r="D31" t="str">
            <v>PA154000537</v>
          </cell>
          <cell r="E31" t="str">
            <v>SOJA</v>
          </cell>
          <cell r="F31" t="str">
            <v>NEO700 I2X</v>
          </cell>
          <cell r="G31" t="str">
            <v>P1</v>
          </cell>
          <cell r="H31" t="str">
            <v>C2</v>
          </cell>
          <cell r="I31">
            <v>803</v>
          </cell>
          <cell r="J31" t="str">
            <v>Cam.C</v>
          </cell>
        </row>
        <row r="32">
          <cell r="C32" t="str">
            <v>11026739P2031</v>
          </cell>
          <cell r="D32" t="str">
            <v>PA154000537</v>
          </cell>
          <cell r="E32" t="str">
            <v>SOJA</v>
          </cell>
          <cell r="F32" t="str">
            <v>NEO700 I2X</v>
          </cell>
          <cell r="G32" t="str">
            <v>P2</v>
          </cell>
          <cell r="H32" t="str">
            <v>C2</v>
          </cell>
          <cell r="I32">
            <v>940</v>
          </cell>
          <cell r="J32" t="str">
            <v>Cam.C</v>
          </cell>
        </row>
        <row r="33">
          <cell r="C33" t="str">
            <v>11026739P2032</v>
          </cell>
          <cell r="D33" t="str">
            <v>PA154000537</v>
          </cell>
          <cell r="E33" t="str">
            <v>SOJA</v>
          </cell>
          <cell r="F33" t="str">
            <v>NEO700 I2X</v>
          </cell>
          <cell r="G33" t="str">
            <v>P2</v>
          </cell>
          <cell r="H33" t="str">
            <v>C2</v>
          </cell>
          <cell r="I33">
            <v>956</v>
          </cell>
          <cell r="J33" t="str">
            <v>Cam.C</v>
          </cell>
        </row>
        <row r="34">
          <cell r="C34" t="str">
            <v>11026739P1033</v>
          </cell>
          <cell r="D34" t="str">
            <v>PA154000537</v>
          </cell>
          <cell r="E34" t="str">
            <v>SOJA</v>
          </cell>
          <cell r="F34" t="str">
            <v>NEO700 I2X</v>
          </cell>
          <cell r="G34" t="str">
            <v>P1</v>
          </cell>
          <cell r="H34" t="str">
            <v>C2</v>
          </cell>
          <cell r="I34">
            <v>829</v>
          </cell>
          <cell r="J34" t="str">
            <v>Cam.C</v>
          </cell>
        </row>
        <row r="35">
          <cell r="C35" t="str">
            <v>11026739P2034</v>
          </cell>
          <cell r="D35" t="str">
            <v>PA154000537</v>
          </cell>
          <cell r="E35" t="str">
            <v>SOJA</v>
          </cell>
          <cell r="F35" t="str">
            <v>NEO700 I2X</v>
          </cell>
          <cell r="G35" t="str">
            <v>P2</v>
          </cell>
          <cell r="H35" t="str">
            <v>C2</v>
          </cell>
          <cell r="I35">
            <v>937</v>
          </cell>
          <cell r="J35" t="str">
            <v>Cam.C</v>
          </cell>
        </row>
        <row r="36">
          <cell r="C36" t="str">
            <v>11026739P1035</v>
          </cell>
          <cell r="D36" t="str">
            <v>PA154000537</v>
          </cell>
          <cell r="E36" t="str">
            <v>SOJA</v>
          </cell>
          <cell r="F36" t="str">
            <v>NEO700 I2X</v>
          </cell>
          <cell r="G36" t="str">
            <v>P1</v>
          </cell>
          <cell r="H36" t="str">
            <v>C2</v>
          </cell>
          <cell r="I36">
            <v>782</v>
          </cell>
          <cell r="J36" t="str">
            <v>Cam.C</v>
          </cell>
        </row>
        <row r="37">
          <cell r="C37" t="str">
            <v>11026739P1036</v>
          </cell>
          <cell r="D37" t="str">
            <v>PA154000537</v>
          </cell>
          <cell r="E37" t="str">
            <v>SOJA</v>
          </cell>
          <cell r="F37" t="str">
            <v>NEO700 I2X</v>
          </cell>
          <cell r="G37" t="str">
            <v>P1</v>
          </cell>
          <cell r="H37" t="str">
            <v>C2</v>
          </cell>
          <cell r="I37">
            <v>782</v>
          </cell>
          <cell r="J37" t="str">
            <v>Cam.C</v>
          </cell>
        </row>
        <row r="38">
          <cell r="C38" t="str">
            <v>11026739P2037</v>
          </cell>
          <cell r="D38" t="str">
            <v>PA154000537</v>
          </cell>
          <cell r="E38" t="str">
            <v>SOJA</v>
          </cell>
          <cell r="F38" t="str">
            <v>NEO700 I2X</v>
          </cell>
          <cell r="G38" t="str">
            <v>P2</v>
          </cell>
          <cell r="H38" t="str">
            <v>C2</v>
          </cell>
          <cell r="I38">
            <v>931</v>
          </cell>
          <cell r="J38" t="str">
            <v>Cam.C</v>
          </cell>
        </row>
        <row r="39">
          <cell r="C39" t="str">
            <v>11026739P1038</v>
          </cell>
          <cell r="D39" t="str">
            <v>PA154000537</v>
          </cell>
          <cell r="E39" t="str">
            <v>SOJA</v>
          </cell>
          <cell r="F39" t="str">
            <v>NEO700 I2X</v>
          </cell>
          <cell r="G39" t="str">
            <v>P1</v>
          </cell>
          <cell r="H39" t="str">
            <v>C2</v>
          </cell>
          <cell r="I39">
            <v>793</v>
          </cell>
          <cell r="J39" t="str">
            <v>Cam.C</v>
          </cell>
        </row>
        <row r="40">
          <cell r="C40" t="str">
            <v>11026739P2039</v>
          </cell>
          <cell r="D40" t="str">
            <v>PA154000537</v>
          </cell>
          <cell r="E40" t="str">
            <v>SOJA</v>
          </cell>
          <cell r="F40" t="str">
            <v>NEO700 I2X</v>
          </cell>
          <cell r="G40" t="str">
            <v>P2</v>
          </cell>
          <cell r="H40" t="str">
            <v>C2</v>
          </cell>
          <cell r="I40">
            <v>948</v>
          </cell>
          <cell r="J40" t="str">
            <v>Cam.C</v>
          </cell>
        </row>
        <row r="41">
          <cell r="C41" t="str">
            <v>11026739P2040</v>
          </cell>
          <cell r="D41" t="str">
            <v>PA154000537</v>
          </cell>
          <cell r="E41" t="str">
            <v>SOJA</v>
          </cell>
          <cell r="F41" t="str">
            <v>NEO700 I2X</v>
          </cell>
          <cell r="G41" t="str">
            <v>P2</v>
          </cell>
          <cell r="H41" t="str">
            <v>C2</v>
          </cell>
          <cell r="I41">
            <v>950</v>
          </cell>
          <cell r="J41" t="str">
            <v>Cam.C</v>
          </cell>
        </row>
        <row r="42">
          <cell r="C42" t="str">
            <v>11026739P1041</v>
          </cell>
          <cell r="D42" t="str">
            <v>PA154000537</v>
          </cell>
          <cell r="E42" t="str">
            <v>SOJA</v>
          </cell>
          <cell r="F42" t="str">
            <v>NEO700 I2X</v>
          </cell>
          <cell r="G42" t="str">
            <v>P1</v>
          </cell>
          <cell r="H42" t="str">
            <v>C2</v>
          </cell>
          <cell r="I42">
            <v>814</v>
          </cell>
          <cell r="J42" t="str">
            <v>Cam.C</v>
          </cell>
        </row>
        <row r="43">
          <cell r="C43" t="str">
            <v>11026739P2042</v>
          </cell>
          <cell r="D43" t="str">
            <v>PA154000537</v>
          </cell>
          <cell r="E43" t="str">
            <v>SOJA</v>
          </cell>
          <cell r="F43" t="str">
            <v>NEO700 I2X</v>
          </cell>
          <cell r="G43" t="str">
            <v>P2</v>
          </cell>
          <cell r="H43" t="str">
            <v>C2</v>
          </cell>
          <cell r="I43">
            <v>981</v>
          </cell>
          <cell r="J43" t="str">
            <v>Cam.C</v>
          </cell>
        </row>
        <row r="44">
          <cell r="C44" t="str">
            <v>11026739P1043</v>
          </cell>
          <cell r="D44" t="str">
            <v>PA154000537</v>
          </cell>
          <cell r="E44" t="str">
            <v>SOJA</v>
          </cell>
          <cell r="F44" t="str">
            <v>NEO700 I2X</v>
          </cell>
          <cell r="G44" t="str">
            <v>P1</v>
          </cell>
          <cell r="H44" t="str">
            <v>C2</v>
          </cell>
          <cell r="I44">
            <v>820</v>
          </cell>
          <cell r="J44" t="str">
            <v>Cam.C</v>
          </cell>
        </row>
        <row r="45">
          <cell r="C45" t="str">
            <v>11026739P2044</v>
          </cell>
          <cell r="D45" t="str">
            <v>PA154000537</v>
          </cell>
          <cell r="E45" t="str">
            <v>SOJA</v>
          </cell>
          <cell r="F45" t="str">
            <v>NEO700 I2X</v>
          </cell>
          <cell r="G45" t="str">
            <v>P2</v>
          </cell>
          <cell r="H45" t="str">
            <v>C2</v>
          </cell>
          <cell r="I45">
            <v>977</v>
          </cell>
          <cell r="J45" t="str">
            <v>Cam.C</v>
          </cell>
        </row>
        <row r="46">
          <cell r="C46" t="str">
            <v>11026740P2045</v>
          </cell>
          <cell r="D46" t="str">
            <v>PA154000523</v>
          </cell>
          <cell r="E46" t="str">
            <v>SOJA</v>
          </cell>
          <cell r="F46" t="str">
            <v>NEO771 I2X</v>
          </cell>
          <cell r="G46" t="str">
            <v>P2</v>
          </cell>
          <cell r="H46" t="str">
            <v>C2</v>
          </cell>
          <cell r="I46">
            <v>834</v>
          </cell>
          <cell r="J46" t="str">
            <v>Cam.A</v>
          </cell>
        </row>
        <row r="47">
          <cell r="C47" t="str">
            <v>11026740P1046</v>
          </cell>
          <cell r="D47" t="str">
            <v>PA154000523</v>
          </cell>
          <cell r="E47" t="str">
            <v>SOJA</v>
          </cell>
          <cell r="F47" t="str">
            <v>NEO771 I2X</v>
          </cell>
          <cell r="G47" t="str">
            <v>P1</v>
          </cell>
          <cell r="H47" t="str">
            <v>C2</v>
          </cell>
          <cell r="I47">
            <v>684</v>
          </cell>
          <cell r="J47" t="str">
            <v>Cam.A</v>
          </cell>
        </row>
        <row r="48">
          <cell r="C48" t="str">
            <v>11026740P2047</v>
          </cell>
          <cell r="D48" t="str">
            <v>PA154000523</v>
          </cell>
          <cell r="E48" t="str">
            <v>SOJA</v>
          </cell>
          <cell r="F48" t="str">
            <v>NEO771 I2X</v>
          </cell>
          <cell r="G48" t="str">
            <v>P2</v>
          </cell>
          <cell r="H48" t="str">
            <v>C2</v>
          </cell>
          <cell r="I48">
            <v>856</v>
          </cell>
          <cell r="J48" t="str">
            <v>Cam.A</v>
          </cell>
        </row>
        <row r="49">
          <cell r="C49" t="str">
            <v>11026740P1048</v>
          </cell>
          <cell r="D49" t="str">
            <v>PA154000523</v>
          </cell>
          <cell r="E49" t="str">
            <v>SOJA</v>
          </cell>
          <cell r="F49" t="str">
            <v>NEO771 I2X</v>
          </cell>
          <cell r="G49" t="str">
            <v>P1</v>
          </cell>
          <cell r="H49" t="str">
            <v>C2</v>
          </cell>
          <cell r="I49">
            <v>693</v>
          </cell>
          <cell r="J49" t="str">
            <v>Cam.A</v>
          </cell>
        </row>
        <row r="50">
          <cell r="C50" t="str">
            <v>11026740P2049</v>
          </cell>
          <cell r="D50" t="str">
            <v>PA154000523</v>
          </cell>
          <cell r="E50" t="str">
            <v>SOJA</v>
          </cell>
          <cell r="F50" t="str">
            <v>NEO771 I2X</v>
          </cell>
          <cell r="G50" t="str">
            <v>P2</v>
          </cell>
          <cell r="H50" t="str">
            <v>C2</v>
          </cell>
          <cell r="I50">
            <v>872</v>
          </cell>
          <cell r="J50" t="str">
            <v>Cam.A</v>
          </cell>
        </row>
        <row r="51">
          <cell r="C51" t="str">
            <v>11026740P1050</v>
          </cell>
          <cell r="D51" t="str">
            <v>PA154000523</v>
          </cell>
          <cell r="E51" t="str">
            <v>SOJA</v>
          </cell>
          <cell r="F51" t="str">
            <v>NEO771 I2X</v>
          </cell>
          <cell r="G51" t="str">
            <v>P1</v>
          </cell>
          <cell r="H51" t="str">
            <v>C2</v>
          </cell>
          <cell r="I51">
            <v>697</v>
          </cell>
          <cell r="J51" t="str">
            <v>Cam.A</v>
          </cell>
        </row>
        <row r="52">
          <cell r="C52" t="str">
            <v>11026740P2051</v>
          </cell>
          <cell r="D52" t="str">
            <v>PA154000523</v>
          </cell>
          <cell r="E52" t="str">
            <v>SOJA</v>
          </cell>
          <cell r="F52" t="str">
            <v>NEO771 I2X</v>
          </cell>
          <cell r="G52" t="str">
            <v>P2</v>
          </cell>
          <cell r="H52" t="str">
            <v>C2</v>
          </cell>
          <cell r="I52">
            <v>876</v>
          </cell>
          <cell r="J52" t="str">
            <v>Cam.A</v>
          </cell>
        </row>
        <row r="53">
          <cell r="C53" t="str">
            <v>11026740P1052</v>
          </cell>
          <cell r="D53" t="str">
            <v>PA154000523</v>
          </cell>
          <cell r="E53" t="str">
            <v>SOJA</v>
          </cell>
          <cell r="F53" t="str">
            <v>NEO771 I2X</v>
          </cell>
          <cell r="G53" t="str">
            <v>P1</v>
          </cell>
          <cell r="H53" t="str">
            <v>C2</v>
          </cell>
          <cell r="I53">
            <v>696</v>
          </cell>
          <cell r="J53" t="str">
            <v>Cam.A</v>
          </cell>
        </row>
        <row r="54">
          <cell r="C54" t="str">
            <v>11026740P2053</v>
          </cell>
          <cell r="D54" t="str">
            <v>PA154000523</v>
          </cell>
          <cell r="E54" t="str">
            <v>SOJA</v>
          </cell>
          <cell r="F54" t="str">
            <v>NEO771 I2X</v>
          </cell>
          <cell r="G54" t="str">
            <v>P2</v>
          </cell>
          <cell r="H54" t="str">
            <v>C2</v>
          </cell>
          <cell r="I54">
            <v>852</v>
          </cell>
          <cell r="J54" t="str">
            <v>Cam.A</v>
          </cell>
        </row>
        <row r="55">
          <cell r="C55" t="str">
            <v>11026740P1054</v>
          </cell>
          <cell r="D55" t="str">
            <v>PA154000523</v>
          </cell>
          <cell r="E55" t="str">
            <v>SOJA</v>
          </cell>
          <cell r="F55" t="str">
            <v>NEO771 I2X</v>
          </cell>
          <cell r="G55" t="str">
            <v>P1</v>
          </cell>
          <cell r="H55" t="str">
            <v>C2</v>
          </cell>
          <cell r="I55">
            <v>698</v>
          </cell>
          <cell r="J55" t="str">
            <v>Cam.A</v>
          </cell>
        </row>
        <row r="56">
          <cell r="C56" t="str">
            <v>11026740P2055</v>
          </cell>
          <cell r="D56" t="str">
            <v>PA154000523</v>
          </cell>
          <cell r="E56" t="str">
            <v>SOJA</v>
          </cell>
          <cell r="F56" t="str">
            <v>NEO771 I2X</v>
          </cell>
          <cell r="G56" t="str">
            <v>P2</v>
          </cell>
          <cell r="H56" t="str">
            <v>C2</v>
          </cell>
          <cell r="I56">
            <v>854</v>
          </cell>
          <cell r="J56" t="str">
            <v>Cam.B</v>
          </cell>
        </row>
        <row r="57">
          <cell r="C57" t="str">
            <v>11026740P1056</v>
          </cell>
          <cell r="D57" t="str">
            <v>PA154000523</v>
          </cell>
          <cell r="E57" t="str">
            <v>SOJA</v>
          </cell>
          <cell r="F57" t="str">
            <v>NEO771 I2X</v>
          </cell>
          <cell r="G57" t="str">
            <v>P1</v>
          </cell>
          <cell r="H57" t="str">
            <v>C2</v>
          </cell>
          <cell r="I57">
            <v>699</v>
          </cell>
          <cell r="J57" t="str">
            <v>Cam.A</v>
          </cell>
        </row>
        <row r="58">
          <cell r="C58" t="str">
            <v>11026740P2057</v>
          </cell>
          <cell r="D58" t="str">
            <v>PA154000523</v>
          </cell>
          <cell r="E58" t="str">
            <v>SOJA</v>
          </cell>
          <cell r="F58" t="str">
            <v>NEO771 I2X</v>
          </cell>
          <cell r="G58" t="str">
            <v>P2</v>
          </cell>
          <cell r="H58" t="str">
            <v>C2</v>
          </cell>
          <cell r="I58">
            <v>883</v>
          </cell>
          <cell r="J58" t="str">
            <v>Cam.B</v>
          </cell>
        </row>
        <row r="59">
          <cell r="C59" t="str">
            <v>11026715P2060</v>
          </cell>
          <cell r="D59" t="str">
            <v>PA154000380</v>
          </cell>
          <cell r="E59" t="str">
            <v>SOJA</v>
          </cell>
          <cell r="F59" t="str">
            <v>NEO761 I2X</v>
          </cell>
          <cell r="G59" t="str">
            <v>P2</v>
          </cell>
          <cell r="H59" t="str">
            <v>S2</v>
          </cell>
          <cell r="I59">
            <v>1033</v>
          </cell>
          <cell r="J59" t="str">
            <v>Cam.C</v>
          </cell>
        </row>
        <row r="60">
          <cell r="C60" t="str">
            <v>11026715P1061</v>
          </cell>
          <cell r="D60" t="str">
            <v>PA154000380</v>
          </cell>
          <cell r="E60" t="str">
            <v>SOJA</v>
          </cell>
          <cell r="F60" t="str">
            <v>NEO761 I2X</v>
          </cell>
          <cell r="G60" t="str">
            <v>P1</v>
          </cell>
          <cell r="H60" t="str">
            <v>S2</v>
          </cell>
          <cell r="I60">
            <v>814</v>
          </cell>
          <cell r="J60" t="str">
            <v>Cam.C</v>
          </cell>
        </row>
        <row r="61">
          <cell r="C61" t="str">
            <v>11026715P2062</v>
          </cell>
          <cell r="D61" t="str">
            <v>PA154000380</v>
          </cell>
          <cell r="E61" t="str">
            <v>SOJA</v>
          </cell>
          <cell r="F61" t="str">
            <v>NEO761 I2X</v>
          </cell>
          <cell r="G61" t="str">
            <v>P2</v>
          </cell>
          <cell r="H61" t="str">
            <v>S2</v>
          </cell>
          <cell r="I61">
            <v>1014</v>
          </cell>
          <cell r="J61" t="str">
            <v>Cam.C</v>
          </cell>
        </row>
        <row r="62">
          <cell r="C62" t="str">
            <v>11026715P1063</v>
          </cell>
          <cell r="D62" t="str">
            <v>PA154000380</v>
          </cell>
          <cell r="E62" t="str">
            <v>SOJA</v>
          </cell>
          <cell r="F62" t="str">
            <v>NEO761 I2X</v>
          </cell>
          <cell r="G62" t="str">
            <v>P1</v>
          </cell>
          <cell r="H62" t="str">
            <v>S2</v>
          </cell>
          <cell r="I62">
            <v>824</v>
          </cell>
          <cell r="J62" t="str">
            <v>Cam.C</v>
          </cell>
        </row>
        <row r="63">
          <cell r="C63" t="str">
            <v>11026715P2064</v>
          </cell>
          <cell r="D63" t="str">
            <v>PA154000380</v>
          </cell>
          <cell r="E63" t="str">
            <v>SOJA</v>
          </cell>
          <cell r="F63" t="str">
            <v>NEO761 I2X</v>
          </cell>
          <cell r="G63" t="str">
            <v>P2</v>
          </cell>
          <cell r="H63" t="str">
            <v>S2</v>
          </cell>
          <cell r="I63">
            <v>1015</v>
          </cell>
          <cell r="J63" t="str">
            <v>Cam.C</v>
          </cell>
        </row>
        <row r="64">
          <cell r="C64" t="str">
            <v>11026715P2065</v>
          </cell>
          <cell r="D64" t="str">
            <v>PA154000380</v>
          </cell>
          <cell r="E64" t="str">
            <v>SOJA</v>
          </cell>
          <cell r="F64" t="str">
            <v>NEO761 I2X</v>
          </cell>
          <cell r="G64" t="str">
            <v>P2</v>
          </cell>
          <cell r="H64" t="str">
            <v>S2</v>
          </cell>
          <cell r="I64">
            <v>1000</v>
          </cell>
          <cell r="J64" t="str">
            <v>Cam.C</v>
          </cell>
        </row>
        <row r="65">
          <cell r="C65" t="str">
            <v>11026715P2066</v>
          </cell>
          <cell r="D65" t="str">
            <v>PA154000380</v>
          </cell>
          <cell r="E65" t="str">
            <v>SOJA</v>
          </cell>
          <cell r="F65" t="str">
            <v>NEO761 I2X</v>
          </cell>
          <cell r="G65" t="str">
            <v>P2</v>
          </cell>
          <cell r="H65" t="str">
            <v>S2</v>
          </cell>
          <cell r="I65">
            <v>992</v>
          </cell>
          <cell r="J65" t="str">
            <v>Cam.C</v>
          </cell>
        </row>
        <row r="66">
          <cell r="C66" t="str">
            <v>11026715P1067</v>
          </cell>
          <cell r="D66" t="str">
            <v>PA154000380</v>
          </cell>
          <cell r="E66" t="str">
            <v>SOJA</v>
          </cell>
          <cell r="F66" t="str">
            <v>NEO761 I2X</v>
          </cell>
          <cell r="G66" t="str">
            <v>P1</v>
          </cell>
          <cell r="H66" t="str">
            <v>S2</v>
          </cell>
          <cell r="I66">
            <v>810</v>
          </cell>
          <cell r="J66" t="str">
            <v>Cam.C</v>
          </cell>
        </row>
        <row r="67">
          <cell r="C67" t="str">
            <v>11026715P2068</v>
          </cell>
          <cell r="D67" t="str">
            <v>PA154000380</v>
          </cell>
          <cell r="E67" t="str">
            <v>SOJA</v>
          </cell>
          <cell r="F67" t="str">
            <v>NEO761 I2X</v>
          </cell>
          <cell r="G67" t="str">
            <v>P2</v>
          </cell>
          <cell r="H67" t="str">
            <v>S2</v>
          </cell>
          <cell r="I67">
            <v>1018</v>
          </cell>
          <cell r="J67" t="str">
            <v>Cam.C</v>
          </cell>
        </row>
        <row r="68">
          <cell r="C68" t="str">
            <v>11026715P2070</v>
          </cell>
          <cell r="D68" t="str">
            <v>PA154000380</v>
          </cell>
          <cell r="E68" t="str">
            <v>SOJA</v>
          </cell>
          <cell r="F68" t="str">
            <v>NEO761 I2X</v>
          </cell>
          <cell r="G68" t="str">
            <v>P2</v>
          </cell>
          <cell r="H68" t="str">
            <v>S2</v>
          </cell>
          <cell r="I68">
            <v>1016</v>
          </cell>
          <cell r="J68" t="str">
            <v>Cam.C</v>
          </cell>
        </row>
        <row r="69">
          <cell r="C69" t="str">
            <v>11026715P2071</v>
          </cell>
          <cell r="D69" t="str">
            <v>PA154000380</v>
          </cell>
          <cell r="E69" t="str">
            <v>SOJA</v>
          </cell>
          <cell r="F69" t="str">
            <v>NEO761 I2X</v>
          </cell>
          <cell r="G69" t="str">
            <v>P2</v>
          </cell>
          <cell r="H69" t="str">
            <v>S2</v>
          </cell>
          <cell r="I69">
            <v>1002</v>
          </cell>
          <cell r="J69" t="str">
            <v>Cam.C</v>
          </cell>
        </row>
        <row r="70">
          <cell r="C70" t="str">
            <v>11026715P1069</v>
          </cell>
          <cell r="D70" t="str">
            <v>PA154000380</v>
          </cell>
          <cell r="E70" t="str">
            <v>SOJA</v>
          </cell>
          <cell r="F70" t="str">
            <v>NEO761 I2X</v>
          </cell>
          <cell r="G70" t="str">
            <v>P1</v>
          </cell>
          <cell r="H70" t="str">
            <v>S2</v>
          </cell>
          <cell r="I70">
            <v>819</v>
          </cell>
          <cell r="J70" t="str">
            <v>Cam.C</v>
          </cell>
        </row>
        <row r="71">
          <cell r="C71" t="str">
            <v>11026715P2072</v>
          </cell>
          <cell r="D71" t="str">
            <v>PA154000380</v>
          </cell>
          <cell r="E71" t="str">
            <v>SOJA</v>
          </cell>
          <cell r="F71" t="str">
            <v>NEO761 I2X</v>
          </cell>
          <cell r="G71" t="str">
            <v>P2</v>
          </cell>
          <cell r="H71" t="str">
            <v>S2</v>
          </cell>
          <cell r="I71">
            <v>1028</v>
          </cell>
          <cell r="J71" t="str">
            <v>Cam.C</v>
          </cell>
        </row>
        <row r="72">
          <cell r="C72" t="str">
            <v>11026715P1073</v>
          </cell>
          <cell r="D72" t="str">
            <v>PA154000380</v>
          </cell>
          <cell r="E72" t="str">
            <v>SOJA</v>
          </cell>
          <cell r="F72" t="str">
            <v>NEO761 I2X</v>
          </cell>
          <cell r="G72" t="str">
            <v>P1</v>
          </cell>
          <cell r="H72" t="str">
            <v>S2</v>
          </cell>
          <cell r="I72">
            <v>823</v>
          </cell>
          <cell r="J72" t="str">
            <v>Cam.C</v>
          </cell>
        </row>
        <row r="73">
          <cell r="C73" t="str">
            <v>11026715P2074</v>
          </cell>
          <cell r="D73" t="str">
            <v>PA154000380</v>
          </cell>
          <cell r="E73" t="str">
            <v>SOJA</v>
          </cell>
          <cell r="F73" t="str">
            <v>NEO761 I2X</v>
          </cell>
          <cell r="G73" t="str">
            <v>P2</v>
          </cell>
          <cell r="H73" t="str">
            <v>S2</v>
          </cell>
          <cell r="I73">
            <v>998</v>
          </cell>
          <cell r="J73" t="str">
            <v>Cam.C</v>
          </cell>
        </row>
        <row r="74">
          <cell r="C74" t="str">
            <v>11026715P2075</v>
          </cell>
          <cell r="D74" t="str">
            <v>PA154000380</v>
          </cell>
          <cell r="E74" t="str">
            <v>SOJA</v>
          </cell>
          <cell r="F74" t="str">
            <v>NEO761 I2X</v>
          </cell>
          <cell r="G74" t="str">
            <v>P2</v>
          </cell>
          <cell r="H74" t="str">
            <v>S2</v>
          </cell>
          <cell r="I74">
            <v>993</v>
          </cell>
          <cell r="J74" t="str">
            <v>Cam.C</v>
          </cell>
        </row>
        <row r="75">
          <cell r="C75" t="str">
            <v>11026715P1076</v>
          </cell>
          <cell r="D75" t="str">
            <v>PA154000380</v>
          </cell>
          <cell r="E75" t="str">
            <v>SOJA</v>
          </cell>
          <cell r="F75" t="str">
            <v>NEO761 I2X</v>
          </cell>
          <cell r="G75" t="str">
            <v>P1</v>
          </cell>
          <cell r="H75" t="str">
            <v>S2</v>
          </cell>
          <cell r="I75">
            <v>804</v>
          </cell>
          <cell r="J75" t="str">
            <v>Cam.C</v>
          </cell>
        </row>
        <row r="76">
          <cell r="C76" t="str">
            <v>11026715P2077</v>
          </cell>
          <cell r="D76" t="str">
            <v>PA154000380</v>
          </cell>
          <cell r="E76" t="str">
            <v>SOJA</v>
          </cell>
          <cell r="F76" t="str">
            <v>NEO761 I2X</v>
          </cell>
          <cell r="G76" t="str">
            <v>P2</v>
          </cell>
          <cell r="H76" t="str">
            <v>S2</v>
          </cell>
          <cell r="I76">
            <v>999</v>
          </cell>
          <cell r="J76" t="str">
            <v>Cam.C</v>
          </cell>
        </row>
        <row r="77">
          <cell r="C77" t="str">
            <v>11026715P2078</v>
          </cell>
          <cell r="D77" t="str">
            <v>PA154000380</v>
          </cell>
          <cell r="E77" t="str">
            <v>SOJA</v>
          </cell>
          <cell r="F77" t="str">
            <v>NEO761 I2X</v>
          </cell>
          <cell r="G77" t="str">
            <v>P2</v>
          </cell>
          <cell r="H77" t="str">
            <v>S2</v>
          </cell>
          <cell r="I77">
            <v>1023</v>
          </cell>
          <cell r="J77" t="str">
            <v>Cam.C</v>
          </cell>
        </row>
        <row r="78">
          <cell r="C78" t="str">
            <v>11026715P1079</v>
          </cell>
          <cell r="D78" t="str">
            <v>PA154000380</v>
          </cell>
          <cell r="E78" t="str">
            <v>SOJA</v>
          </cell>
          <cell r="F78" t="str">
            <v>NEO761 I2X</v>
          </cell>
          <cell r="G78" t="str">
            <v>P1</v>
          </cell>
          <cell r="H78" t="str">
            <v>S2</v>
          </cell>
          <cell r="I78">
            <v>814</v>
          </cell>
          <cell r="J78" t="str">
            <v>Cam.C</v>
          </cell>
        </row>
        <row r="79">
          <cell r="C79" t="str">
            <v>11026715P2080</v>
          </cell>
          <cell r="D79" t="str">
            <v>PA154000380</v>
          </cell>
          <cell r="E79" t="str">
            <v>SOJA</v>
          </cell>
          <cell r="F79" t="str">
            <v>NEO761 I2X</v>
          </cell>
          <cell r="G79" t="str">
            <v>P2</v>
          </cell>
          <cell r="H79" t="str">
            <v>S2</v>
          </cell>
          <cell r="I79">
            <v>1021</v>
          </cell>
          <cell r="J79" t="str">
            <v>Cam.C</v>
          </cell>
        </row>
        <row r="80">
          <cell r="C80" t="str">
            <v>11026715P2081</v>
          </cell>
          <cell r="D80" t="str">
            <v>PA154000380</v>
          </cell>
          <cell r="E80" t="str">
            <v>SOJA</v>
          </cell>
          <cell r="F80" t="str">
            <v>NEO761 I2X</v>
          </cell>
          <cell r="G80" t="str">
            <v>P2</v>
          </cell>
          <cell r="H80" t="str">
            <v>S2</v>
          </cell>
          <cell r="I80">
            <v>977</v>
          </cell>
          <cell r="J80" t="str">
            <v>Cam.C</v>
          </cell>
        </row>
        <row r="81">
          <cell r="C81" t="str">
            <v>11026715P2082</v>
          </cell>
          <cell r="D81" t="str">
            <v>PA154000380</v>
          </cell>
          <cell r="E81" t="str">
            <v>SOJA</v>
          </cell>
          <cell r="F81" t="str">
            <v>NEO761 I2X</v>
          </cell>
          <cell r="G81" t="str">
            <v>P2</v>
          </cell>
          <cell r="H81" t="str">
            <v>S2</v>
          </cell>
          <cell r="I81">
            <v>981</v>
          </cell>
          <cell r="J81" t="str">
            <v>Cam.C</v>
          </cell>
        </row>
        <row r="82">
          <cell r="C82" t="str">
            <v>11026715P2084</v>
          </cell>
          <cell r="D82" t="str">
            <v>PA154000380</v>
          </cell>
          <cell r="E82" t="str">
            <v>SOJA</v>
          </cell>
          <cell r="F82" t="str">
            <v>NEO761 I2X</v>
          </cell>
          <cell r="G82" t="str">
            <v>P2</v>
          </cell>
          <cell r="H82" t="str">
            <v>S2</v>
          </cell>
          <cell r="I82">
            <v>996</v>
          </cell>
          <cell r="J82" t="str">
            <v>Cam.C</v>
          </cell>
        </row>
        <row r="83">
          <cell r="C83" t="str">
            <v>11026715P2085</v>
          </cell>
          <cell r="D83" t="str">
            <v>PA154000380</v>
          </cell>
          <cell r="E83" t="str">
            <v>SOJA</v>
          </cell>
          <cell r="F83" t="str">
            <v>NEO761 I2X</v>
          </cell>
          <cell r="G83" t="str">
            <v>P2</v>
          </cell>
          <cell r="H83" t="str">
            <v>S2</v>
          </cell>
          <cell r="I83">
            <v>995</v>
          </cell>
          <cell r="J83" t="str">
            <v>Cam.C</v>
          </cell>
        </row>
        <row r="84">
          <cell r="C84" t="str">
            <v>11026715P1083</v>
          </cell>
          <cell r="D84" t="str">
            <v>PA154000380</v>
          </cell>
          <cell r="E84" t="str">
            <v>SOJA</v>
          </cell>
          <cell r="F84" t="str">
            <v>NEO761 I2X</v>
          </cell>
          <cell r="G84" t="str">
            <v>P1</v>
          </cell>
          <cell r="H84" t="str">
            <v>S2</v>
          </cell>
          <cell r="I84">
            <v>793</v>
          </cell>
          <cell r="J84" t="str">
            <v>Cam.C</v>
          </cell>
        </row>
        <row r="85">
          <cell r="C85" t="str">
            <v>11026715P2086</v>
          </cell>
          <cell r="D85" t="str">
            <v>PA154000380</v>
          </cell>
          <cell r="E85" t="str">
            <v>SOJA</v>
          </cell>
          <cell r="F85" t="str">
            <v>NEO761 I2X</v>
          </cell>
          <cell r="G85" t="str">
            <v>P2</v>
          </cell>
          <cell r="H85" t="str">
            <v>C1</v>
          </cell>
          <cell r="I85">
            <v>1037</v>
          </cell>
          <cell r="J85" t="str">
            <v>Cam.C</v>
          </cell>
        </row>
        <row r="86">
          <cell r="C86" t="str">
            <v>11026715P1087</v>
          </cell>
          <cell r="D86" t="str">
            <v>PA154000380</v>
          </cell>
          <cell r="E86" t="str">
            <v>SOJA</v>
          </cell>
          <cell r="F86" t="str">
            <v>NEO761 I2X</v>
          </cell>
          <cell r="G86" t="str">
            <v>P1</v>
          </cell>
          <cell r="H86" t="str">
            <v>C1</v>
          </cell>
          <cell r="I86">
            <v>825</v>
          </cell>
          <cell r="J86" t="str">
            <v>Cam.C</v>
          </cell>
        </row>
        <row r="87">
          <cell r="C87" t="str">
            <v>11026715P2088</v>
          </cell>
          <cell r="D87" t="str">
            <v>PA154000380</v>
          </cell>
          <cell r="E87" t="str">
            <v>SOJA</v>
          </cell>
          <cell r="F87" t="str">
            <v>NEO761 I2X</v>
          </cell>
          <cell r="G87" t="str">
            <v>P2</v>
          </cell>
          <cell r="H87" t="str">
            <v>C1</v>
          </cell>
          <cell r="I87">
            <v>1024</v>
          </cell>
          <cell r="J87" t="str">
            <v>Cam.C</v>
          </cell>
        </row>
        <row r="88">
          <cell r="C88" t="str">
            <v>11026715P2089</v>
          </cell>
          <cell r="D88" t="str">
            <v>PA154000380</v>
          </cell>
          <cell r="E88" t="str">
            <v>SOJA</v>
          </cell>
          <cell r="F88" t="str">
            <v>NEO761 I2X</v>
          </cell>
          <cell r="G88" t="str">
            <v>P2</v>
          </cell>
          <cell r="H88" t="str">
            <v>C1</v>
          </cell>
          <cell r="I88">
            <v>1009</v>
          </cell>
          <cell r="J88" t="str">
            <v>Cam.C</v>
          </cell>
        </row>
        <row r="89">
          <cell r="C89" t="str">
            <v>11026715P1090</v>
          </cell>
          <cell r="D89" t="str">
            <v>PA154000380</v>
          </cell>
          <cell r="E89" t="str">
            <v>SOJA</v>
          </cell>
          <cell r="F89" t="str">
            <v>NEO761 I2X</v>
          </cell>
          <cell r="G89" t="str">
            <v>P1</v>
          </cell>
          <cell r="H89" t="str">
            <v>C1</v>
          </cell>
          <cell r="I89">
            <v>804</v>
          </cell>
          <cell r="J89" t="str">
            <v>Cam.C</v>
          </cell>
        </row>
        <row r="90">
          <cell r="C90" t="str">
            <v>11026715P2091</v>
          </cell>
          <cell r="D90" t="str">
            <v>PA154000380</v>
          </cell>
          <cell r="E90" t="str">
            <v>SOJA</v>
          </cell>
          <cell r="F90" t="str">
            <v>NEO761 I2X</v>
          </cell>
          <cell r="G90" t="str">
            <v>P2</v>
          </cell>
          <cell r="H90" t="str">
            <v>C1</v>
          </cell>
          <cell r="I90">
            <v>1006</v>
          </cell>
          <cell r="J90" t="str">
            <v>Cam.C</v>
          </cell>
        </row>
        <row r="91">
          <cell r="C91" t="str">
            <v>11026740P2092</v>
          </cell>
          <cell r="D91" t="str">
            <v>PA154000523</v>
          </cell>
          <cell r="E91" t="str">
            <v>SOJA</v>
          </cell>
          <cell r="F91" t="str">
            <v>NEO771 I2X</v>
          </cell>
          <cell r="G91" t="str">
            <v>P2</v>
          </cell>
          <cell r="H91" t="str">
            <v>C2</v>
          </cell>
          <cell r="I91">
            <v>881</v>
          </cell>
          <cell r="J91" t="str">
            <v>Cam.A</v>
          </cell>
        </row>
        <row r="92">
          <cell r="C92" t="str">
            <v>11026740P1093</v>
          </cell>
          <cell r="D92" t="str">
            <v>PA154000523</v>
          </cell>
          <cell r="E92" t="str">
            <v>SOJA</v>
          </cell>
          <cell r="F92" t="str">
            <v>NEO771 I2X</v>
          </cell>
          <cell r="G92" t="str">
            <v>P1</v>
          </cell>
          <cell r="H92" t="str">
            <v>C2</v>
          </cell>
          <cell r="I92">
            <v>708</v>
          </cell>
          <cell r="J92" t="str">
            <v>Cam.A</v>
          </cell>
        </row>
        <row r="93">
          <cell r="C93" t="str">
            <v>11026740P1094</v>
          </cell>
          <cell r="D93" t="str">
            <v>PA154000523</v>
          </cell>
          <cell r="E93" t="str">
            <v>SOJA</v>
          </cell>
          <cell r="F93" t="str">
            <v>NEO771 I2X</v>
          </cell>
          <cell r="G93" t="str">
            <v>P1</v>
          </cell>
          <cell r="H93" t="str">
            <v>C2</v>
          </cell>
          <cell r="I93">
            <v>715</v>
          </cell>
          <cell r="J93" t="str">
            <v>Cam.A</v>
          </cell>
        </row>
        <row r="94">
          <cell r="C94" t="str">
            <v>11026740P1058</v>
          </cell>
          <cell r="D94" t="str">
            <v>PA154000523</v>
          </cell>
          <cell r="E94" t="str">
            <v>SOJA</v>
          </cell>
          <cell r="F94" t="str">
            <v>NEO771 I2X</v>
          </cell>
          <cell r="G94" t="str">
            <v>P1</v>
          </cell>
          <cell r="H94" t="str">
            <v>C2</v>
          </cell>
          <cell r="I94">
            <v>696</v>
          </cell>
          <cell r="J94" t="str">
            <v>Cam.A</v>
          </cell>
        </row>
        <row r="95">
          <cell r="C95" t="str">
            <v>11026740P2059</v>
          </cell>
          <cell r="D95" t="str">
            <v>PA154000523</v>
          </cell>
          <cell r="E95" t="str">
            <v>SOJA</v>
          </cell>
          <cell r="F95" t="str">
            <v>NEO771 I2X</v>
          </cell>
          <cell r="G95" t="str">
            <v>P2</v>
          </cell>
          <cell r="H95" t="str">
            <v>C2</v>
          </cell>
          <cell r="I95">
            <v>868</v>
          </cell>
          <cell r="J95" t="str">
            <v>Cam.A</v>
          </cell>
        </row>
        <row r="96">
          <cell r="C96" t="str">
            <v>11026740P2095</v>
          </cell>
          <cell r="D96" t="str">
            <v>PA154000523</v>
          </cell>
          <cell r="E96" t="str">
            <v>SOJA</v>
          </cell>
          <cell r="F96" t="str">
            <v>NEO771 I2X</v>
          </cell>
          <cell r="G96" t="str">
            <v>P2</v>
          </cell>
          <cell r="H96" t="str">
            <v>C2</v>
          </cell>
          <cell r="I96">
            <v>862</v>
          </cell>
          <cell r="J96" t="str">
            <v>Cam.A</v>
          </cell>
        </row>
        <row r="97">
          <cell r="C97" t="str">
            <v>11026740P1096</v>
          </cell>
          <cell r="D97" t="str">
            <v>PA154000523</v>
          </cell>
          <cell r="E97" t="str">
            <v>SOJA</v>
          </cell>
          <cell r="F97" t="str">
            <v>NEO771 I2X</v>
          </cell>
          <cell r="G97" t="str">
            <v>P1</v>
          </cell>
          <cell r="H97" t="str">
            <v>C2</v>
          </cell>
          <cell r="I97">
            <v>699</v>
          </cell>
          <cell r="J97" t="str">
            <v>Cam.A</v>
          </cell>
        </row>
        <row r="98">
          <cell r="C98" t="str">
            <v>11026740P2097</v>
          </cell>
          <cell r="D98" t="str">
            <v>PA154000523</v>
          </cell>
          <cell r="E98" t="str">
            <v>SOJA</v>
          </cell>
          <cell r="F98" t="str">
            <v>NEO771 I2X</v>
          </cell>
          <cell r="G98" t="str">
            <v>P2</v>
          </cell>
          <cell r="H98" t="str">
            <v>C2</v>
          </cell>
          <cell r="I98">
            <v>896</v>
          </cell>
          <cell r="J98" t="str">
            <v>Cam.A</v>
          </cell>
        </row>
        <row r="99">
          <cell r="C99" t="str">
            <v>11026740P1098</v>
          </cell>
          <cell r="D99" t="str">
            <v>PA154000523</v>
          </cell>
          <cell r="E99" t="str">
            <v>SOJA</v>
          </cell>
          <cell r="F99" t="str">
            <v>NEO771 I2X</v>
          </cell>
          <cell r="G99" t="str">
            <v>P1</v>
          </cell>
          <cell r="H99" t="str">
            <v>C2</v>
          </cell>
          <cell r="I99">
            <v>712</v>
          </cell>
          <cell r="J99" t="str">
            <v>Cam.A</v>
          </cell>
        </row>
        <row r="100">
          <cell r="C100" t="str">
            <v>11026740P2099</v>
          </cell>
          <cell r="D100" t="str">
            <v>PA154000523</v>
          </cell>
          <cell r="E100" t="str">
            <v>SOJA</v>
          </cell>
          <cell r="F100" t="str">
            <v>NEO771 I2X</v>
          </cell>
          <cell r="G100" t="str">
            <v>P2</v>
          </cell>
          <cell r="H100" t="str">
            <v>C2</v>
          </cell>
          <cell r="I100">
            <v>904</v>
          </cell>
          <cell r="J100" t="str">
            <v>Cam.A</v>
          </cell>
        </row>
        <row r="101">
          <cell r="C101" t="str">
            <v>11026740P1100</v>
          </cell>
          <cell r="D101" t="str">
            <v>PA154000523</v>
          </cell>
          <cell r="E101" t="str">
            <v>SOJA</v>
          </cell>
          <cell r="F101" t="str">
            <v>NEO771 I2X</v>
          </cell>
          <cell r="G101" t="str">
            <v>P1</v>
          </cell>
          <cell r="H101" t="str">
            <v>C2</v>
          </cell>
          <cell r="I101">
            <v>712</v>
          </cell>
          <cell r="J101" t="str">
            <v>Cam.B</v>
          </cell>
        </row>
        <row r="102">
          <cell r="C102" t="str">
            <v>11026740P1101</v>
          </cell>
          <cell r="D102" t="str">
            <v>PA154000523</v>
          </cell>
          <cell r="E102" t="str">
            <v>SOJA</v>
          </cell>
          <cell r="F102" t="str">
            <v>NEO771 I2X</v>
          </cell>
          <cell r="G102" t="str">
            <v>P1</v>
          </cell>
          <cell r="H102" t="str">
            <v>C2</v>
          </cell>
          <cell r="I102">
            <v>714</v>
          </cell>
          <cell r="J102" t="str">
            <v>Cam.A</v>
          </cell>
        </row>
        <row r="103">
          <cell r="C103" t="str">
            <v>11026740P2102</v>
          </cell>
          <cell r="D103" t="str">
            <v>PA154000523</v>
          </cell>
          <cell r="E103" t="str">
            <v>SOJA</v>
          </cell>
          <cell r="F103" t="str">
            <v>NEO771 I2X</v>
          </cell>
          <cell r="G103" t="str">
            <v>P2</v>
          </cell>
          <cell r="H103" t="str">
            <v>C2</v>
          </cell>
          <cell r="I103">
            <v>882</v>
          </cell>
          <cell r="J103" t="str">
            <v>Cam.A</v>
          </cell>
        </row>
        <row r="104">
          <cell r="C104" t="str">
            <v>11026740P1103</v>
          </cell>
          <cell r="D104" t="str">
            <v>PA154000523</v>
          </cell>
          <cell r="E104" t="str">
            <v>SOJA</v>
          </cell>
          <cell r="F104" t="str">
            <v>NEO771 I2X</v>
          </cell>
          <cell r="G104" t="str">
            <v>P1</v>
          </cell>
          <cell r="H104" t="str">
            <v>C2</v>
          </cell>
          <cell r="I104">
            <v>718</v>
          </cell>
          <cell r="J104" t="str">
            <v>Cam.A</v>
          </cell>
        </row>
        <row r="105">
          <cell r="C105" t="str">
            <v>11026740P2104</v>
          </cell>
          <cell r="D105" t="str">
            <v>PA154000523</v>
          </cell>
          <cell r="E105" t="str">
            <v>SOJA</v>
          </cell>
          <cell r="F105" t="str">
            <v>NEO771 I2X</v>
          </cell>
          <cell r="G105" t="str">
            <v>P2</v>
          </cell>
          <cell r="H105" t="str">
            <v>C2</v>
          </cell>
          <cell r="I105">
            <v>882</v>
          </cell>
          <cell r="J105" t="str">
            <v>Cam.A</v>
          </cell>
        </row>
        <row r="106">
          <cell r="C106" t="str">
            <v>11026740P1105</v>
          </cell>
          <cell r="D106" t="str">
            <v>PA154000523</v>
          </cell>
          <cell r="E106" t="str">
            <v>SOJA</v>
          </cell>
          <cell r="F106" t="str">
            <v>NEO771 I2X</v>
          </cell>
          <cell r="G106" t="str">
            <v>P1</v>
          </cell>
          <cell r="H106" t="str">
            <v>C2</v>
          </cell>
          <cell r="I106">
            <v>721</v>
          </cell>
          <cell r="J106" t="str">
            <v>Cam.A</v>
          </cell>
        </row>
        <row r="107">
          <cell r="C107" t="str">
            <v>11026740P2106</v>
          </cell>
          <cell r="D107" t="str">
            <v>PA154000523</v>
          </cell>
          <cell r="E107" t="str">
            <v>SOJA</v>
          </cell>
          <cell r="F107" t="str">
            <v>NEO771 I2X</v>
          </cell>
          <cell r="G107" t="str">
            <v>P2</v>
          </cell>
          <cell r="H107" t="str">
            <v>C2</v>
          </cell>
          <cell r="I107">
            <v>904</v>
          </cell>
          <cell r="J107" t="str">
            <v>Cam.A</v>
          </cell>
        </row>
        <row r="108">
          <cell r="C108" t="str">
            <v>11026740P1107</v>
          </cell>
          <cell r="D108" t="str">
            <v>PA154000523</v>
          </cell>
          <cell r="E108" t="str">
            <v>SOJA</v>
          </cell>
          <cell r="F108" t="str">
            <v>NEO771 I2X</v>
          </cell>
          <cell r="G108" t="str">
            <v>P1</v>
          </cell>
          <cell r="H108" t="str">
            <v>C2</v>
          </cell>
          <cell r="I108">
            <v>718</v>
          </cell>
          <cell r="J108" t="str">
            <v>Cam.A</v>
          </cell>
        </row>
        <row r="109">
          <cell r="C109" t="str">
            <v>11026740P2108</v>
          </cell>
          <cell r="D109" t="str">
            <v>PA154000523</v>
          </cell>
          <cell r="E109" t="str">
            <v>SOJA</v>
          </cell>
          <cell r="F109" t="str">
            <v>NEO771 I2X</v>
          </cell>
          <cell r="G109" t="str">
            <v>P2</v>
          </cell>
          <cell r="H109" t="str">
            <v>C2</v>
          </cell>
          <cell r="I109">
            <v>897</v>
          </cell>
          <cell r="J109" t="str">
            <v>Cam.A</v>
          </cell>
        </row>
        <row r="110">
          <cell r="C110" t="str">
            <v>11026740P1109</v>
          </cell>
          <cell r="D110" t="str">
            <v>PA154000523</v>
          </cell>
          <cell r="E110" t="str">
            <v>SOJA</v>
          </cell>
          <cell r="F110" t="str">
            <v>NEO771 I2X</v>
          </cell>
          <cell r="G110" t="str">
            <v>P1</v>
          </cell>
          <cell r="H110" t="str">
            <v>C2</v>
          </cell>
          <cell r="I110">
            <v>721</v>
          </cell>
          <cell r="J110" t="str">
            <v>Cam.A</v>
          </cell>
        </row>
        <row r="111">
          <cell r="C111" t="str">
            <v>11026740P2110</v>
          </cell>
          <cell r="D111" t="str">
            <v>PA154000523</v>
          </cell>
          <cell r="E111" t="str">
            <v>SOJA</v>
          </cell>
          <cell r="F111" t="str">
            <v>NEO771 I2X</v>
          </cell>
          <cell r="G111" t="str">
            <v>P2</v>
          </cell>
          <cell r="H111" t="str">
            <v>C2</v>
          </cell>
          <cell r="I111">
            <v>876</v>
          </cell>
          <cell r="J111" t="str">
            <v>Cam.A</v>
          </cell>
        </row>
        <row r="112">
          <cell r="C112" t="str">
            <v>11026740P1111</v>
          </cell>
          <cell r="D112" t="str">
            <v>PA154000523</v>
          </cell>
          <cell r="E112" t="str">
            <v>SOJA</v>
          </cell>
          <cell r="F112" t="str">
            <v>NEO771 I2X</v>
          </cell>
          <cell r="G112" t="str">
            <v>P1</v>
          </cell>
          <cell r="H112" t="str">
            <v>C2</v>
          </cell>
          <cell r="I112">
            <v>728</v>
          </cell>
          <cell r="J112" t="str">
            <v>Cam.A</v>
          </cell>
        </row>
        <row r="113">
          <cell r="C113" t="str">
            <v>11026740P2112</v>
          </cell>
          <cell r="D113" t="str">
            <v>PA154000523</v>
          </cell>
          <cell r="E113" t="str">
            <v>SOJA</v>
          </cell>
          <cell r="F113" t="str">
            <v>NEO771 I2X</v>
          </cell>
          <cell r="G113" t="str">
            <v>P2</v>
          </cell>
          <cell r="H113" t="str">
            <v>C2</v>
          </cell>
          <cell r="I113">
            <v>866</v>
          </cell>
          <cell r="J113" t="str">
            <v>Cam.A</v>
          </cell>
        </row>
        <row r="114">
          <cell r="C114" t="str">
            <v>11026740P1113</v>
          </cell>
          <cell r="D114" t="str">
            <v>PA154000523</v>
          </cell>
          <cell r="E114" t="str">
            <v>SOJA</v>
          </cell>
          <cell r="F114" t="str">
            <v>NEO771 I2X</v>
          </cell>
          <cell r="G114" t="str">
            <v>P1</v>
          </cell>
          <cell r="H114" t="str">
            <v>C2</v>
          </cell>
          <cell r="I114">
            <v>710</v>
          </cell>
          <cell r="J114" t="str">
            <v>Cam.A</v>
          </cell>
        </row>
        <row r="115">
          <cell r="C115" t="str">
            <v>11026740P1114</v>
          </cell>
          <cell r="D115" t="str">
            <v>PA154000523</v>
          </cell>
          <cell r="E115" t="str">
            <v>SOJA</v>
          </cell>
          <cell r="F115" t="str">
            <v>NEO771 I2X</v>
          </cell>
          <cell r="G115" t="str">
            <v>P1</v>
          </cell>
          <cell r="H115" t="str">
            <v>C2</v>
          </cell>
          <cell r="I115">
            <v>715</v>
          </cell>
          <cell r="J115" t="str">
            <v>Cam.A</v>
          </cell>
        </row>
        <row r="116">
          <cell r="C116" t="str">
            <v>11026740P2115</v>
          </cell>
          <cell r="D116" t="str">
            <v>PA154000523</v>
          </cell>
          <cell r="E116" t="str">
            <v>SOJA</v>
          </cell>
          <cell r="F116" t="str">
            <v>NEO771 I2X</v>
          </cell>
          <cell r="G116" t="str">
            <v>P2</v>
          </cell>
          <cell r="H116" t="str">
            <v>C2</v>
          </cell>
          <cell r="I116">
            <v>876</v>
          </cell>
          <cell r="J116" t="str">
            <v>Cam.A</v>
          </cell>
        </row>
        <row r="117">
          <cell r="C117" t="str">
            <v>11026740P1116</v>
          </cell>
          <cell r="D117" t="str">
            <v>PA154000523</v>
          </cell>
          <cell r="E117" t="str">
            <v>SOJA</v>
          </cell>
          <cell r="F117" t="str">
            <v>NEO771 I2X</v>
          </cell>
          <cell r="G117" t="str">
            <v>P1</v>
          </cell>
          <cell r="H117" t="str">
            <v>C2</v>
          </cell>
          <cell r="I117">
            <v>709</v>
          </cell>
          <cell r="J117" t="str">
            <v>Cam.A</v>
          </cell>
        </row>
        <row r="118">
          <cell r="C118" t="str">
            <v>11026740P2117</v>
          </cell>
          <cell r="D118" t="str">
            <v>PA154000523</v>
          </cell>
          <cell r="E118" t="str">
            <v>SOJA</v>
          </cell>
          <cell r="F118" t="str">
            <v>NEO771 I2X</v>
          </cell>
          <cell r="G118" t="str">
            <v>P2</v>
          </cell>
          <cell r="H118" t="str">
            <v>C2</v>
          </cell>
          <cell r="I118">
            <v>884</v>
          </cell>
          <cell r="J118" t="str">
            <v>Cam.A</v>
          </cell>
        </row>
        <row r="119">
          <cell r="C119" t="str">
            <v>11026740P1118</v>
          </cell>
          <cell r="D119" t="str">
            <v>PA154000523</v>
          </cell>
          <cell r="E119" t="str">
            <v>SOJA</v>
          </cell>
          <cell r="F119" t="str">
            <v>NEO771 I2X</v>
          </cell>
          <cell r="G119" t="str">
            <v>P1</v>
          </cell>
          <cell r="H119" t="str">
            <v>C2</v>
          </cell>
          <cell r="I119">
            <v>705</v>
          </cell>
          <cell r="J119" t="str">
            <v>Cam.A</v>
          </cell>
        </row>
        <row r="120">
          <cell r="C120" t="str">
            <v>11026740P1119</v>
          </cell>
          <cell r="D120" t="str">
            <v>PA154000523</v>
          </cell>
          <cell r="E120" t="str">
            <v>SOJA</v>
          </cell>
          <cell r="F120" t="str">
            <v>NEO771 I2X</v>
          </cell>
          <cell r="G120" t="str">
            <v>P1</v>
          </cell>
          <cell r="H120" t="str">
            <v>C2</v>
          </cell>
          <cell r="I120">
            <v>702</v>
          </cell>
          <cell r="J120" t="str">
            <v>Cam.A</v>
          </cell>
        </row>
        <row r="121">
          <cell r="C121" t="str">
            <v>11026740P2120</v>
          </cell>
          <cell r="D121" t="str">
            <v>PA154000523</v>
          </cell>
          <cell r="E121" t="str">
            <v>SOJA</v>
          </cell>
          <cell r="F121" t="str">
            <v>NEO771 I2X</v>
          </cell>
          <cell r="G121" t="str">
            <v>P2</v>
          </cell>
          <cell r="H121" t="str">
            <v>C2</v>
          </cell>
          <cell r="I121">
            <v>832</v>
          </cell>
          <cell r="J121" t="str">
            <v>Cam.A</v>
          </cell>
        </row>
        <row r="122">
          <cell r="C122" t="str">
            <v>11026740P1121</v>
          </cell>
          <cell r="D122" t="str">
            <v>PA154000523</v>
          </cell>
          <cell r="E122" t="str">
            <v>SOJA</v>
          </cell>
          <cell r="F122" t="str">
            <v>NEO771 I2X</v>
          </cell>
          <cell r="G122" t="str">
            <v>P1</v>
          </cell>
          <cell r="H122" t="str">
            <v>C2</v>
          </cell>
          <cell r="I122">
            <v>694</v>
          </cell>
          <cell r="J122" t="str">
            <v>Cam.A</v>
          </cell>
        </row>
        <row r="123">
          <cell r="C123" t="str">
            <v>11026740P1123</v>
          </cell>
          <cell r="D123" t="str">
            <v>PA154000523</v>
          </cell>
          <cell r="E123" t="str">
            <v>SOJA</v>
          </cell>
          <cell r="F123" t="str">
            <v>NEO771 I2X</v>
          </cell>
          <cell r="G123" t="str">
            <v>P1</v>
          </cell>
          <cell r="H123" t="str">
            <v>C2</v>
          </cell>
          <cell r="I123">
            <v>705</v>
          </cell>
          <cell r="J123" t="str">
            <v>Cam.A</v>
          </cell>
        </row>
        <row r="124">
          <cell r="C124" t="str">
            <v>11026740P1124</v>
          </cell>
          <cell r="D124" t="str">
            <v>PA154000523</v>
          </cell>
          <cell r="E124" t="str">
            <v>SOJA</v>
          </cell>
          <cell r="F124" t="str">
            <v>NEO771 I2X</v>
          </cell>
          <cell r="G124" t="str">
            <v>P1</v>
          </cell>
          <cell r="H124" t="str">
            <v>C2</v>
          </cell>
          <cell r="I124">
            <v>708</v>
          </cell>
          <cell r="J124" t="str">
            <v>Cam.A</v>
          </cell>
        </row>
        <row r="125">
          <cell r="C125" t="str">
            <v>11026740P2125</v>
          </cell>
          <cell r="D125" t="str">
            <v>PA154000523</v>
          </cell>
          <cell r="E125" t="str">
            <v>SOJA</v>
          </cell>
          <cell r="F125" t="str">
            <v>NEO771 I2X</v>
          </cell>
          <cell r="G125" t="str">
            <v>P2</v>
          </cell>
          <cell r="H125" t="str">
            <v>C2</v>
          </cell>
          <cell r="I125">
            <v>877</v>
          </cell>
          <cell r="J125" t="str">
            <v>Cam.A</v>
          </cell>
        </row>
        <row r="126">
          <cell r="C126" t="str">
            <v>11026740P1126</v>
          </cell>
          <cell r="D126" t="str">
            <v>PA154000523</v>
          </cell>
          <cell r="E126" t="str">
            <v>SOJA</v>
          </cell>
          <cell r="F126" t="str">
            <v>NEO771 I2X</v>
          </cell>
          <cell r="G126" t="str">
            <v>P1</v>
          </cell>
          <cell r="H126" t="str">
            <v>C2</v>
          </cell>
          <cell r="I126">
            <v>713</v>
          </cell>
          <cell r="J126" t="str">
            <v>Cam.A</v>
          </cell>
        </row>
        <row r="127">
          <cell r="C127" t="str">
            <v>11026740P2127</v>
          </cell>
          <cell r="D127" t="str">
            <v>PA154000523</v>
          </cell>
          <cell r="E127" t="str">
            <v>SOJA</v>
          </cell>
          <cell r="F127" t="str">
            <v>NEO771 I2X</v>
          </cell>
          <cell r="G127" t="str">
            <v>P2</v>
          </cell>
          <cell r="H127" t="str">
            <v>C2</v>
          </cell>
          <cell r="I127">
            <v>892</v>
          </cell>
          <cell r="J127" t="str">
            <v>Cam.A</v>
          </cell>
        </row>
        <row r="128">
          <cell r="C128" t="str">
            <v>11026740P1128</v>
          </cell>
          <cell r="D128" t="str">
            <v>PA154000523</v>
          </cell>
          <cell r="E128" t="str">
            <v>SOJA</v>
          </cell>
          <cell r="F128" t="str">
            <v>NEO771 I2X</v>
          </cell>
          <cell r="G128" t="str">
            <v>P1</v>
          </cell>
          <cell r="H128" t="str">
            <v>C2</v>
          </cell>
          <cell r="I128">
            <v>718</v>
          </cell>
          <cell r="J128" t="str">
            <v>Cam.A</v>
          </cell>
        </row>
        <row r="129">
          <cell r="C129" t="str">
            <v>11026740P2129</v>
          </cell>
          <cell r="D129" t="str">
            <v>PA154000523</v>
          </cell>
          <cell r="E129" t="str">
            <v>SOJA</v>
          </cell>
          <cell r="F129" t="str">
            <v>NEO771 I2X</v>
          </cell>
          <cell r="G129" t="str">
            <v>P2</v>
          </cell>
          <cell r="H129" t="str">
            <v>C2</v>
          </cell>
          <cell r="I129">
            <v>883</v>
          </cell>
          <cell r="J129" t="str">
            <v>Cam.A</v>
          </cell>
        </row>
        <row r="130">
          <cell r="C130" t="str">
            <v>11026740P1130</v>
          </cell>
          <cell r="D130" t="str">
            <v>PA154000523</v>
          </cell>
          <cell r="E130" t="str">
            <v>SOJA</v>
          </cell>
          <cell r="F130" t="str">
            <v>NEO771 I2X</v>
          </cell>
          <cell r="G130" t="str">
            <v>P1</v>
          </cell>
          <cell r="H130" t="str">
            <v>C2</v>
          </cell>
          <cell r="I130">
            <v>710</v>
          </cell>
          <cell r="J130" t="str">
            <v>Cam.A</v>
          </cell>
        </row>
        <row r="131">
          <cell r="C131" t="str">
            <v>11026740P1131</v>
          </cell>
          <cell r="D131" t="str">
            <v>PA154000523</v>
          </cell>
          <cell r="E131" t="str">
            <v>SOJA</v>
          </cell>
          <cell r="F131" t="str">
            <v>NEO771 I2X</v>
          </cell>
          <cell r="G131" t="str">
            <v>P1</v>
          </cell>
          <cell r="H131" t="str">
            <v>C2</v>
          </cell>
          <cell r="I131">
            <v>712</v>
          </cell>
          <cell r="J131" t="str">
            <v>Cam.A</v>
          </cell>
        </row>
        <row r="132">
          <cell r="C132" t="str">
            <v>11026740P2132</v>
          </cell>
          <cell r="D132" t="str">
            <v>PA154000523</v>
          </cell>
          <cell r="E132" t="str">
            <v>SOJA</v>
          </cell>
          <cell r="F132" t="str">
            <v>NEO771 I2X</v>
          </cell>
          <cell r="G132" t="str">
            <v>P2</v>
          </cell>
          <cell r="H132" t="str">
            <v>C2</v>
          </cell>
          <cell r="I132">
            <v>883</v>
          </cell>
          <cell r="J132" t="str">
            <v>Cam.B</v>
          </cell>
        </row>
        <row r="133">
          <cell r="C133" t="str">
            <v>11026740P2122</v>
          </cell>
          <cell r="D133" t="str">
            <v>PA154000523</v>
          </cell>
          <cell r="E133" t="str">
            <v>SOJA</v>
          </cell>
          <cell r="F133" t="str">
            <v>NEO771 I2X</v>
          </cell>
          <cell r="G133" t="str">
            <v>P2</v>
          </cell>
          <cell r="H133" t="str">
            <v>C2</v>
          </cell>
          <cell r="I133">
            <v>848</v>
          </cell>
          <cell r="J133" t="str">
            <v>Cam.A</v>
          </cell>
        </row>
        <row r="134">
          <cell r="C134" t="str">
            <v>11026740P1133</v>
          </cell>
          <cell r="D134" t="str">
            <v>PA154000523</v>
          </cell>
          <cell r="E134" t="str">
            <v>SOJA</v>
          </cell>
          <cell r="F134" t="str">
            <v>NEO771 I2X</v>
          </cell>
          <cell r="G134" t="str">
            <v>P1</v>
          </cell>
          <cell r="H134" t="str">
            <v>C2</v>
          </cell>
          <cell r="I134">
            <v>713</v>
          </cell>
          <cell r="J134" t="str">
            <v>Cam.A</v>
          </cell>
        </row>
        <row r="135">
          <cell r="C135" t="str">
            <v>11026740P2134</v>
          </cell>
          <cell r="D135" t="str">
            <v>PA154000523</v>
          </cell>
          <cell r="E135" t="str">
            <v>SOJA</v>
          </cell>
          <cell r="F135" t="str">
            <v>NEO771 I2X</v>
          </cell>
          <cell r="G135" t="str">
            <v>P2</v>
          </cell>
          <cell r="H135" t="str">
            <v>C2</v>
          </cell>
          <cell r="I135">
            <v>867</v>
          </cell>
          <cell r="J135" t="str">
            <v>Cam.A</v>
          </cell>
        </row>
        <row r="136">
          <cell r="C136" t="str">
            <v>11026740P1135</v>
          </cell>
          <cell r="D136" t="str">
            <v>PA154000523</v>
          </cell>
          <cell r="E136" t="str">
            <v>SOJA</v>
          </cell>
          <cell r="F136" t="str">
            <v>NEO771 I2X</v>
          </cell>
          <cell r="G136" t="str">
            <v>P1</v>
          </cell>
          <cell r="H136" t="str">
            <v>C2</v>
          </cell>
          <cell r="I136">
            <v>712</v>
          </cell>
          <cell r="J136" t="str">
            <v>Cam.A</v>
          </cell>
        </row>
        <row r="137">
          <cell r="C137" t="str">
            <v>11026740P2136</v>
          </cell>
          <cell r="D137" t="str">
            <v>PA154000523</v>
          </cell>
          <cell r="E137" t="str">
            <v>SOJA</v>
          </cell>
          <cell r="F137" t="str">
            <v>NEO771 I2X</v>
          </cell>
          <cell r="G137" t="str">
            <v>P2</v>
          </cell>
          <cell r="H137" t="str">
            <v>C2</v>
          </cell>
          <cell r="I137">
            <v>852</v>
          </cell>
          <cell r="J137" t="str">
            <v>Cam.A</v>
          </cell>
        </row>
        <row r="138">
          <cell r="C138" t="str">
            <v>11026740P1137</v>
          </cell>
          <cell r="D138" t="str">
            <v>PA154000523</v>
          </cell>
          <cell r="E138" t="str">
            <v>SOJA</v>
          </cell>
          <cell r="F138" t="str">
            <v>NEO771 I2X</v>
          </cell>
          <cell r="G138" t="str">
            <v>P1</v>
          </cell>
          <cell r="H138" t="str">
            <v>C2</v>
          </cell>
          <cell r="I138">
            <v>710</v>
          </cell>
          <cell r="J138" t="str">
            <v>Cam.A</v>
          </cell>
        </row>
        <row r="139">
          <cell r="C139" t="str">
            <v>11026740P1138</v>
          </cell>
          <cell r="D139" t="str">
            <v>PA154000523</v>
          </cell>
          <cell r="E139" t="str">
            <v>SOJA</v>
          </cell>
          <cell r="F139" t="str">
            <v>NEO771 I2X</v>
          </cell>
          <cell r="G139" t="str">
            <v>P1</v>
          </cell>
          <cell r="H139" t="str">
            <v>C2</v>
          </cell>
          <cell r="I139">
            <v>713</v>
          </cell>
          <cell r="J139" t="str">
            <v>Cam.A</v>
          </cell>
        </row>
        <row r="140">
          <cell r="C140" t="str">
            <v>11026740P2139</v>
          </cell>
          <cell r="D140" t="str">
            <v>PA154000523</v>
          </cell>
          <cell r="E140" t="str">
            <v>SOJA</v>
          </cell>
          <cell r="F140" t="str">
            <v>NEO771 I2X</v>
          </cell>
          <cell r="G140" t="str">
            <v>P2</v>
          </cell>
          <cell r="H140" t="str">
            <v>C2</v>
          </cell>
          <cell r="I140">
            <v>879</v>
          </cell>
          <cell r="J140" t="str">
            <v>Cam.A</v>
          </cell>
        </row>
        <row r="141">
          <cell r="C141" t="str">
            <v>11026740P1140</v>
          </cell>
          <cell r="D141" t="str">
            <v>PA154000523</v>
          </cell>
          <cell r="E141" t="str">
            <v>SOJA</v>
          </cell>
          <cell r="F141" t="str">
            <v>NEO771 I2X</v>
          </cell>
          <cell r="G141" t="str">
            <v>P1</v>
          </cell>
          <cell r="H141" t="str">
            <v>C2</v>
          </cell>
          <cell r="I141">
            <v>723</v>
          </cell>
          <cell r="J141" t="str">
            <v>Cam.A</v>
          </cell>
        </row>
        <row r="142">
          <cell r="C142" t="str">
            <v>11026740P2141</v>
          </cell>
          <cell r="D142" t="str">
            <v>PA154000523</v>
          </cell>
          <cell r="E142" t="str">
            <v>SOJA</v>
          </cell>
          <cell r="F142" t="str">
            <v>NEO771 I2X</v>
          </cell>
          <cell r="G142" t="str">
            <v>P2</v>
          </cell>
          <cell r="H142" t="str">
            <v>C2</v>
          </cell>
          <cell r="I142">
            <v>861</v>
          </cell>
          <cell r="J142" t="str">
            <v>Cam.A</v>
          </cell>
        </row>
        <row r="143">
          <cell r="C143" t="str">
            <v>11026740P1142</v>
          </cell>
          <cell r="D143" t="str">
            <v>PA154000523</v>
          </cell>
          <cell r="E143" t="str">
            <v>SOJA</v>
          </cell>
          <cell r="F143" t="str">
            <v>NEO771 I2X</v>
          </cell>
          <cell r="G143" t="str">
            <v>P1</v>
          </cell>
          <cell r="H143" t="str">
            <v>C2</v>
          </cell>
          <cell r="I143">
            <v>705</v>
          </cell>
          <cell r="J143" t="str">
            <v>Cam.A</v>
          </cell>
        </row>
        <row r="144">
          <cell r="C144" t="str">
            <v>11026740P2143</v>
          </cell>
          <cell r="D144" t="str">
            <v>PA154000523</v>
          </cell>
          <cell r="E144" t="str">
            <v>SOJA</v>
          </cell>
          <cell r="F144" t="str">
            <v>NEO771 I2X</v>
          </cell>
          <cell r="G144" t="str">
            <v>P2</v>
          </cell>
          <cell r="H144" t="str">
            <v>C2</v>
          </cell>
          <cell r="I144">
            <v>853</v>
          </cell>
          <cell r="J144" t="str">
            <v>Cam.A</v>
          </cell>
        </row>
        <row r="145">
          <cell r="C145" t="str">
            <v>11026740P1144</v>
          </cell>
          <cell r="D145" t="str">
            <v>PA154000523</v>
          </cell>
          <cell r="E145" t="str">
            <v>SOJA</v>
          </cell>
          <cell r="F145" t="str">
            <v>NEO771 I2X</v>
          </cell>
          <cell r="G145" t="str">
            <v>P1</v>
          </cell>
          <cell r="H145" t="str">
            <v>C2</v>
          </cell>
          <cell r="I145">
            <v>697</v>
          </cell>
          <cell r="J145" t="str">
            <v>Cam.A</v>
          </cell>
        </row>
        <row r="146">
          <cell r="C146" t="str">
            <v>11026740P1145</v>
          </cell>
          <cell r="D146" t="str">
            <v>PA154000523</v>
          </cell>
          <cell r="E146" t="str">
            <v>SOJA</v>
          </cell>
          <cell r="F146" t="str">
            <v>NEO771 I2X</v>
          </cell>
          <cell r="G146" t="str">
            <v>P1</v>
          </cell>
          <cell r="H146" t="str">
            <v>C2</v>
          </cell>
          <cell r="I146">
            <v>708</v>
          </cell>
          <cell r="J146" t="str">
            <v>Cam.A</v>
          </cell>
        </row>
        <row r="147">
          <cell r="C147" t="str">
            <v>11026740P1146</v>
          </cell>
          <cell r="D147" t="str">
            <v>PA154000523</v>
          </cell>
          <cell r="E147" t="str">
            <v>SOJA</v>
          </cell>
          <cell r="F147" t="str">
            <v>NEO771 I2X</v>
          </cell>
          <cell r="G147" t="str">
            <v>P1</v>
          </cell>
          <cell r="H147" t="str">
            <v>C2</v>
          </cell>
          <cell r="I147">
            <v>683</v>
          </cell>
          <cell r="J147" t="str">
            <v>Cam.B</v>
          </cell>
        </row>
        <row r="148">
          <cell r="C148" t="str">
            <v>11026740P1147</v>
          </cell>
          <cell r="D148" t="str">
            <v>PA154000523</v>
          </cell>
          <cell r="E148" t="str">
            <v>SOJA</v>
          </cell>
          <cell r="F148" t="str">
            <v>NEO771 I2X</v>
          </cell>
          <cell r="G148" t="str">
            <v>P1</v>
          </cell>
          <cell r="H148" t="str">
            <v>C2</v>
          </cell>
          <cell r="I148">
            <v>690</v>
          </cell>
          <cell r="J148" t="str">
            <v>Cam.A</v>
          </cell>
        </row>
        <row r="149">
          <cell r="C149" t="str">
            <v>11026740P2148</v>
          </cell>
          <cell r="D149" t="str">
            <v>PA154000523</v>
          </cell>
          <cell r="E149" t="str">
            <v>SOJA</v>
          </cell>
          <cell r="F149" t="str">
            <v>NEO771 I2X</v>
          </cell>
          <cell r="G149" t="str">
            <v>P2</v>
          </cell>
          <cell r="H149" t="str">
            <v>C2</v>
          </cell>
          <cell r="I149">
            <v>820</v>
          </cell>
          <cell r="J149" t="str">
            <v>Cam.A</v>
          </cell>
        </row>
        <row r="150">
          <cell r="C150" t="str">
            <v>11026740P1149</v>
          </cell>
          <cell r="D150" t="str">
            <v>PA154000523</v>
          </cell>
          <cell r="E150" t="str">
            <v>SOJA</v>
          </cell>
          <cell r="F150" t="str">
            <v>NEO771 I2X</v>
          </cell>
          <cell r="G150" t="str">
            <v>P1</v>
          </cell>
          <cell r="H150" t="str">
            <v>C2</v>
          </cell>
          <cell r="I150">
            <v>704</v>
          </cell>
          <cell r="J150" t="str">
            <v>Cam.A</v>
          </cell>
        </row>
        <row r="151">
          <cell r="C151" t="str">
            <v>11026740P1150</v>
          </cell>
          <cell r="D151" t="str">
            <v>PA154000523</v>
          </cell>
          <cell r="E151" t="str">
            <v>SOJA</v>
          </cell>
          <cell r="F151" t="str">
            <v>NEO771 I2X</v>
          </cell>
          <cell r="G151" t="str">
            <v>P1</v>
          </cell>
          <cell r="H151" t="str">
            <v>C2</v>
          </cell>
          <cell r="I151">
            <v>705</v>
          </cell>
          <cell r="J151" t="str">
            <v>Cam.A</v>
          </cell>
        </row>
        <row r="152">
          <cell r="C152" t="str">
            <v>11026715P2151</v>
          </cell>
          <cell r="D152" t="str">
            <v>PA154000380</v>
          </cell>
          <cell r="E152" t="str">
            <v>SOJA</v>
          </cell>
          <cell r="F152" t="str">
            <v>NEO761 I2X</v>
          </cell>
          <cell r="G152" t="str">
            <v>P2</v>
          </cell>
          <cell r="H152" t="str">
            <v>C1</v>
          </cell>
          <cell r="I152">
            <v>1045</v>
          </cell>
          <cell r="J152" t="str">
            <v>Cam.A</v>
          </cell>
        </row>
        <row r="153">
          <cell r="C153" t="str">
            <v>11026715P2152</v>
          </cell>
          <cell r="D153" t="str">
            <v>PA154000380</v>
          </cell>
          <cell r="E153" t="str">
            <v>SOJA</v>
          </cell>
          <cell r="F153" t="str">
            <v>NEO761 I2X</v>
          </cell>
          <cell r="G153" t="str">
            <v>P2</v>
          </cell>
          <cell r="H153" t="str">
            <v>C1</v>
          </cell>
          <cell r="I153">
            <v>1075</v>
          </cell>
          <cell r="J153" t="str">
            <v>Cam.A</v>
          </cell>
        </row>
        <row r="154">
          <cell r="C154" t="str">
            <v>11026715P1153</v>
          </cell>
          <cell r="D154" t="str">
            <v>PA154000380</v>
          </cell>
          <cell r="E154" t="str">
            <v>SOJA</v>
          </cell>
          <cell r="F154" t="str">
            <v>NEO761 I2X</v>
          </cell>
          <cell r="G154" t="str">
            <v>P1</v>
          </cell>
          <cell r="H154" t="str">
            <v>C1</v>
          </cell>
          <cell r="I154">
            <v>828</v>
          </cell>
          <cell r="J154" t="str">
            <v>Cam.C</v>
          </cell>
        </row>
        <row r="155">
          <cell r="C155" t="str">
            <v>11026715P2154</v>
          </cell>
          <cell r="D155" t="str">
            <v>PA154000380</v>
          </cell>
          <cell r="E155" t="str">
            <v>SOJA</v>
          </cell>
          <cell r="F155" t="str">
            <v>NEO761 I2X</v>
          </cell>
          <cell r="G155" t="str">
            <v>P2</v>
          </cell>
          <cell r="H155" t="str">
            <v>S2</v>
          </cell>
          <cell r="I155">
            <v>1061</v>
          </cell>
          <cell r="J155" t="str">
            <v>Cam.A</v>
          </cell>
        </row>
        <row r="156">
          <cell r="C156" t="str">
            <v>11026715P2155</v>
          </cell>
          <cell r="D156" t="str">
            <v>PA154000380</v>
          </cell>
          <cell r="E156" t="str">
            <v>SOJA</v>
          </cell>
          <cell r="F156" t="str">
            <v>NEO761 I2X</v>
          </cell>
          <cell r="G156" t="str">
            <v>P2</v>
          </cell>
          <cell r="H156" t="str">
            <v>S2</v>
          </cell>
          <cell r="I156">
            <v>995</v>
          </cell>
          <cell r="J156" t="str">
            <v>Cam.B</v>
          </cell>
        </row>
        <row r="157">
          <cell r="C157" t="str">
            <v>11026715P1156</v>
          </cell>
          <cell r="D157" t="str">
            <v>PA154000380</v>
          </cell>
          <cell r="E157" t="str">
            <v>SOJA</v>
          </cell>
          <cell r="F157" t="str">
            <v>NEO761 I2X</v>
          </cell>
          <cell r="G157" t="str">
            <v>P1</v>
          </cell>
          <cell r="H157" t="str">
            <v>S2</v>
          </cell>
          <cell r="I157">
            <v>804</v>
          </cell>
          <cell r="J157" t="str">
            <v>Cam.C</v>
          </cell>
        </row>
        <row r="158">
          <cell r="C158" t="str">
            <v>11026715P2157</v>
          </cell>
          <cell r="D158" t="str">
            <v>PA154000380</v>
          </cell>
          <cell r="E158" t="str">
            <v>SOJA</v>
          </cell>
          <cell r="F158" t="str">
            <v>NEO761 I2X</v>
          </cell>
          <cell r="G158" t="str">
            <v>P2</v>
          </cell>
          <cell r="H158" t="str">
            <v>S2</v>
          </cell>
          <cell r="I158">
            <v>1049</v>
          </cell>
          <cell r="J158" t="str">
            <v>Cam.B</v>
          </cell>
        </row>
        <row r="159">
          <cell r="C159" t="str">
            <v>11026715P2158</v>
          </cell>
          <cell r="D159" t="str">
            <v>PA154000380</v>
          </cell>
          <cell r="E159" t="str">
            <v>SOJA</v>
          </cell>
          <cell r="F159" t="str">
            <v>NEO761 I2X</v>
          </cell>
          <cell r="G159" t="str">
            <v>P2</v>
          </cell>
          <cell r="H159" t="str">
            <v>S2</v>
          </cell>
          <cell r="I159">
            <v>1050</v>
          </cell>
          <cell r="J159" t="str">
            <v>Cam.A</v>
          </cell>
        </row>
        <row r="160">
          <cell r="C160" t="str">
            <v>11026715P2160</v>
          </cell>
          <cell r="D160" t="str">
            <v>PA154000380</v>
          </cell>
          <cell r="E160" t="str">
            <v>SOJA</v>
          </cell>
          <cell r="F160" t="str">
            <v>NEO761 I2X</v>
          </cell>
          <cell r="G160" t="str">
            <v>P2</v>
          </cell>
          <cell r="H160" t="str">
            <v>S2</v>
          </cell>
          <cell r="I160">
            <v>1032</v>
          </cell>
          <cell r="J160" t="str">
            <v>Cam.A</v>
          </cell>
        </row>
        <row r="161">
          <cell r="C161" t="str">
            <v>11026715P1161</v>
          </cell>
          <cell r="D161" t="str">
            <v>PA154000380</v>
          </cell>
          <cell r="E161" t="str">
            <v>SOJA</v>
          </cell>
          <cell r="F161" t="str">
            <v>NEO761 I2X</v>
          </cell>
          <cell r="G161" t="str">
            <v>P1</v>
          </cell>
          <cell r="H161" t="str">
            <v>S2</v>
          </cell>
          <cell r="I161">
            <v>823</v>
          </cell>
          <cell r="J161" t="str">
            <v>Cam.A</v>
          </cell>
        </row>
        <row r="162">
          <cell r="C162" t="str">
            <v>11026715P2162</v>
          </cell>
          <cell r="D162" t="str">
            <v>PA154000380</v>
          </cell>
          <cell r="E162" t="str">
            <v>SOJA</v>
          </cell>
          <cell r="F162" t="str">
            <v>NEO761 I2X</v>
          </cell>
          <cell r="G162" t="str">
            <v>P2</v>
          </cell>
          <cell r="H162" t="str">
            <v>S2</v>
          </cell>
          <cell r="I162">
            <v>1048</v>
          </cell>
          <cell r="J162" t="str">
            <v>Cam.A</v>
          </cell>
        </row>
        <row r="163">
          <cell r="C163" t="str">
            <v>11026715P2163</v>
          </cell>
          <cell r="D163" t="str">
            <v>PA154000380</v>
          </cell>
          <cell r="E163" t="str">
            <v>SOJA</v>
          </cell>
          <cell r="F163" t="str">
            <v>NEO761 I2X</v>
          </cell>
          <cell r="G163" t="str">
            <v>P2</v>
          </cell>
          <cell r="H163" t="str">
            <v>S2</v>
          </cell>
          <cell r="I163">
            <v>1064</v>
          </cell>
          <cell r="J163" t="str">
            <v>Cam.A</v>
          </cell>
        </row>
        <row r="164">
          <cell r="C164" t="str">
            <v>11026715P2164</v>
          </cell>
          <cell r="D164" t="str">
            <v>PA154000380</v>
          </cell>
          <cell r="E164" t="str">
            <v>SOJA</v>
          </cell>
          <cell r="F164" t="str">
            <v>NEO761 I2X</v>
          </cell>
          <cell r="G164" t="str">
            <v>P2</v>
          </cell>
          <cell r="H164" t="str">
            <v>S2</v>
          </cell>
          <cell r="I164">
            <v>1078</v>
          </cell>
          <cell r="J164" t="str">
            <v>Cam.A</v>
          </cell>
        </row>
        <row r="165">
          <cell r="C165" t="str">
            <v>11026715P2165</v>
          </cell>
          <cell r="D165" t="str">
            <v>PA154000380</v>
          </cell>
          <cell r="E165" t="str">
            <v>SOJA</v>
          </cell>
          <cell r="F165" t="str">
            <v>NEO761 I2X</v>
          </cell>
          <cell r="G165" t="str">
            <v>P2</v>
          </cell>
          <cell r="H165" t="str">
            <v>S2</v>
          </cell>
          <cell r="I165">
            <v>1073</v>
          </cell>
          <cell r="J165" t="str">
            <v>Cam.A</v>
          </cell>
        </row>
        <row r="166">
          <cell r="C166" t="str">
            <v>11026715P2166</v>
          </cell>
          <cell r="D166" t="str">
            <v>PA154000380</v>
          </cell>
          <cell r="E166" t="str">
            <v>SOJA</v>
          </cell>
          <cell r="F166" t="str">
            <v>NEO761 I2X</v>
          </cell>
          <cell r="G166" t="str">
            <v>P2</v>
          </cell>
          <cell r="H166" t="str">
            <v>S2</v>
          </cell>
          <cell r="I166">
            <v>1065</v>
          </cell>
          <cell r="J166" t="str">
            <v>Cam.A</v>
          </cell>
        </row>
        <row r="167">
          <cell r="C167" t="str">
            <v>11026715P1167</v>
          </cell>
          <cell r="D167" t="str">
            <v>PA154000380</v>
          </cell>
          <cell r="E167" t="str">
            <v>SOJA</v>
          </cell>
          <cell r="F167" t="str">
            <v>NEO761 I2X</v>
          </cell>
          <cell r="G167" t="str">
            <v>P1</v>
          </cell>
          <cell r="H167" t="str">
            <v>S2</v>
          </cell>
          <cell r="I167">
            <v>817</v>
          </cell>
          <cell r="J167" t="str">
            <v>Cam.C</v>
          </cell>
        </row>
        <row r="168">
          <cell r="C168" t="str">
            <v>11026715P2168</v>
          </cell>
          <cell r="D168" t="str">
            <v>PA154000380</v>
          </cell>
          <cell r="E168" t="str">
            <v>SOJA</v>
          </cell>
          <cell r="F168" t="str">
            <v>NEO761 I2X</v>
          </cell>
          <cell r="G168" t="str">
            <v>P2</v>
          </cell>
          <cell r="H168" t="str">
            <v>S2</v>
          </cell>
          <cell r="I168">
            <v>1077</v>
          </cell>
          <cell r="J168" t="str">
            <v>Cam.A</v>
          </cell>
        </row>
        <row r="169">
          <cell r="C169" t="str">
            <v>11026740P1169</v>
          </cell>
          <cell r="D169" t="str">
            <v>PA154000523</v>
          </cell>
          <cell r="E169" t="str">
            <v>SOJA</v>
          </cell>
          <cell r="F169" t="str">
            <v>NEO771 I2X</v>
          </cell>
          <cell r="G169" t="str">
            <v>P1</v>
          </cell>
          <cell r="H169" t="str">
            <v>C2</v>
          </cell>
          <cell r="I169">
            <v>735</v>
          </cell>
          <cell r="J169" t="str">
            <v>Cam.A</v>
          </cell>
        </row>
        <row r="170">
          <cell r="C170" t="str">
            <v>11026740P2170</v>
          </cell>
          <cell r="D170" t="str">
            <v>PA154000523</v>
          </cell>
          <cell r="E170" t="str">
            <v>SOJA</v>
          </cell>
          <cell r="F170" t="str">
            <v>NEO771 I2X</v>
          </cell>
          <cell r="G170" t="str">
            <v>P2</v>
          </cell>
          <cell r="H170" t="str">
            <v>C2</v>
          </cell>
          <cell r="I170">
            <v>878</v>
          </cell>
          <cell r="J170" t="str">
            <v>Cam.B</v>
          </cell>
        </row>
        <row r="171">
          <cell r="C171" t="str">
            <v>11026740P1171</v>
          </cell>
          <cell r="D171" t="str">
            <v>PA154000523</v>
          </cell>
          <cell r="E171" t="str">
            <v>SOJA</v>
          </cell>
          <cell r="F171" t="str">
            <v>NEO771 I2X</v>
          </cell>
          <cell r="G171" t="str">
            <v>P1</v>
          </cell>
          <cell r="H171" t="str">
            <v>C2</v>
          </cell>
          <cell r="I171">
            <v>732</v>
          </cell>
          <cell r="J171" t="str">
            <v>Cam.A</v>
          </cell>
        </row>
        <row r="172">
          <cell r="C172" t="str">
            <v>11026740P2172</v>
          </cell>
          <cell r="D172" t="str">
            <v>PA154000523</v>
          </cell>
          <cell r="E172" t="str">
            <v>SOJA</v>
          </cell>
          <cell r="F172" t="str">
            <v>NEO771 I2X</v>
          </cell>
          <cell r="G172" t="str">
            <v>P2</v>
          </cell>
          <cell r="H172" t="str">
            <v>C2</v>
          </cell>
          <cell r="I172">
            <v>859</v>
          </cell>
          <cell r="J172" t="str">
            <v>Cam.A</v>
          </cell>
        </row>
        <row r="173">
          <cell r="C173" t="str">
            <v>11026740P1173</v>
          </cell>
          <cell r="D173" t="str">
            <v>PA154000523</v>
          </cell>
          <cell r="E173" t="str">
            <v>SOJA</v>
          </cell>
          <cell r="F173" t="str">
            <v>NEO771 I2X</v>
          </cell>
          <cell r="G173" t="str">
            <v>P1</v>
          </cell>
          <cell r="H173" t="str">
            <v>C2</v>
          </cell>
          <cell r="I173">
            <v>716</v>
          </cell>
          <cell r="J173" t="str">
            <v>Cam.A</v>
          </cell>
        </row>
        <row r="174">
          <cell r="C174" t="str">
            <v>11026740P2174</v>
          </cell>
          <cell r="D174" t="str">
            <v>PA154000523</v>
          </cell>
          <cell r="E174" t="str">
            <v>SOJA</v>
          </cell>
          <cell r="F174" t="str">
            <v>NEO771 I2X</v>
          </cell>
          <cell r="G174" t="str">
            <v>P2</v>
          </cell>
          <cell r="H174" t="str">
            <v>C2</v>
          </cell>
          <cell r="I174">
            <v>879</v>
          </cell>
          <cell r="J174" t="str">
            <v>Cam.B</v>
          </cell>
        </row>
        <row r="175">
          <cell r="C175" t="str">
            <v>11026740P1175</v>
          </cell>
          <cell r="D175" t="str">
            <v>PA154000523</v>
          </cell>
          <cell r="E175" t="str">
            <v>SOJA</v>
          </cell>
          <cell r="F175" t="str">
            <v>NEO771 I2X</v>
          </cell>
          <cell r="G175" t="str">
            <v>P1</v>
          </cell>
          <cell r="H175" t="str">
            <v>C2</v>
          </cell>
          <cell r="I175">
            <v>741</v>
          </cell>
          <cell r="J175" t="str">
            <v>Cam.A</v>
          </cell>
        </row>
        <row r="176">
          <cell r="C176" t="str">
            <v>11026740P1176</v>
          </cell>
          <cell r="D176" t="str">
            <v>PA154000523</v>
          </cell>
          <cell r="E176" t="str">
            <v>SOJA</v>
          </cell>
          <cell r="F176" t="str">
            <v>NEO771 I2X</v>
          </cell>
          <cell r="G176" t="str">
            <v>P1</v>
          </cell>
          <cell r="H176" t="str">
            <v>C2</v>
          </cell>
          <cell r="I176">
            <v>732</v>
          </cell>
          <cell r="J176" t="str">
            <v>Cam.A</v>
          </cell>
        </row>
        <row r="177">
          <cell r="C177" t="str">
            <v>11026740P2177</v>
          </cell>
          <cell r="D177" t="str">
            <v>PA154000523</v>
          </cell>
          <cell r="E177" t="str">
            <v>SOJA</v>
          </cell>
          <cell r="F177" t="str">
            <v>NEO771 I2X</v>
          </cell>
          <cell r="G177" t="str">
            <v>P2</v>
          </cell>
          <cell r="H177" t="str">
            <v>C2</v>
          </cell>
          <cell r="I177">
            <v>872</v>
          </cell>
          <cell r="J177" t="str">
            <v>Cam.A</v>
          </cell>
        </row>
        <row r="178">
          <cell r="C178" t="str">
            <v>11026740P1178</v>
          </cell>
          <cell r="D178" t="str">
            <v>PA154000523</v>
          </cell>
          <cell r="E178" t="str">
            <v>SOJA</v>
          </cell>
          <cell r="F178" t="str">
            <v>NEO771 I2X</v>
          </cell>
          <cell r="G178" t="str">
            <v>P1</v>
          </cell>
          <cell r="H178" t="str">
            <v>C2</v>
          </cell>
          <cell r="I178">
            <v>742</v>
          </cell>
          <cell r="J178" t="str">
            <v>Cam.B</v>
          </cell>
        </row>
        <row r="179">
          <cell r="C179" t="str">
            <v>11026740P2179</v>
          </cell>
          <cell r="D179" t="str">
            <v>PA154000523</v>
          </cell>
          <cell r="E179" t="str">
            <v>SOJA</v>
          </cell>
          <cell r="F179" t="str">
            <v>NEO771 I2X</v>
          </cell>
          <cell r="G179" t="str">
            <v>P2</v>
          </cell>
          <cell r="H179" t="str">
            <v>C2</v>
          </cell>
          <cell r="I179">
            <v>876</v>
          </cell>
          <cell r="J179" t="str">
            <v>Cam.A</v>
          </cell>
        </row>
        <row r="180">
          <cell r="C180" t="str">
            <v>11026740P2180</v>
          </cell>
          <cell r="D180" t="str">
            <v>PA154000523</v>
          </cell>
          <cell r="E180" t="str">
            <v>SOJA</v>
          </cell>
          <cell r="F180" t="str">
            <v>NEO771 I2X</v>
          </cell>
          <cell r="G180" t="str">
            <v>P2</v>
          </cell>
          <cell r="H180" t="str">
            <v>C2</v>
          </cell>
          <cell r="I180">
            <v>872</v>
          </cell>
          <cell r="J180" t="str">
            <v>Cam.B</v>
          </cell>
        </row>
        <row r="181">
          <cell r="C181" t="str">
            <v>11026740P1181</v>
          </cell>
          <cell r="D181" t="str">
            <v>PA154000523</v>
          </cell>
          <cell r="E181" t="str">
            <v>SOJA</v>
          </cell>
          <cell r="F181" t="str">
            <v>NEO771 I2X</v>
          </cell>
          <cell r="G181" t="str">
            <v>P1</v>
          </cell>
          <cell r="H181" t="str">
            <v>C2</v>
          </cell>
          <cell r="I181">
            <v>734</v>
          </cell>
          <cell r="J181" t="str">
            <v>Cam.A</v>
          </cell>
        </row>
        <row r="182">
          <cell r="C182" t="str">
            <v>11026740P2182</v>
          </cell>
          <cell r="D182" t="str">
            <v>PA154000523</v>
          </cell>
          <cell r="E182" t="str">
            <v>SOJA</v>
          </cell>
          <cell r="F182" t="str">
            <v>NEO771 I2X</v>
          </cell>
          <cell r="G182" t="str">
            <v>P2</v>
          </cell>
          <cell r="H182" t="str">
            <v>C2</v>
          </cell>
          <cell r="I182">
            <v>871</v>
          </cell>
          <cell r="J182" t="str">
            <v>Cam.B</v>
          </cell>
        </row>
        <row r="183">
          <cell r="C183" t="str">
            <v>11026740P1183</v>
          </cell>
          <cell r="D183" t="str">
            <v>PA154000523</v>
          </cell>
          <cell r="E183" t="str">
            <v>SOJA</v>
          </cell>
          <cell r="F183" t="str">
            <v>NEO771 I2X</v>
          </cell>
          <cell r="G183" t="str">
            <v>P1</v>
          </cell>
          <cell r="H183" t="str">
            <v>C2</v>
          </cell>
          <cell r="I183">
            <v>738</v>
          </cell>
          <cell r="J183" t="str">
            <v>Cam.A</v>
          </cell>
        </row>
        <row r="184">
          <cell r="C184" t="str">
            <v>11026740P2184</v>
          </cell>
          <cell r="D184" t="str">
            <v>PA154000523</v>
          </cell>
          <cell r="E184" t="str">
            <v>SOJA</v>
          </cell>
          <cell r="F184" t="str">
            <v>NEO771 I2X</v>
          </cell>
          <cell r="G184" t="str">
            <v>P2</v>
          </cell>
          <cell r="H184" t="str">
            <v>C2</v>
          </cell>
          <cell r="I184">
            <v>870</v>
          </cell>
          <cell r="J184" t="str">
            <v>Cam.B</v>
          </cell>
        </row>
        <row r="185">
          <cell r="C185" t="str">
            <v>11026740P1185</v>
          </cell>
          <cell r="D185" t="str">
            <v>PA154000523</v>
          </cell>
          <cell r="E185" t="str">
            <v>SOJA</v>
          </cell>
          <cell r="F185" t="str">
            <v>NEO771 I2X</v>
          </cell>
          <cell r="G185" t="str">
            <v>P1</v>
          </cell>
          <cell r="H185" t="str">
            <v>C2</v>
          </cell>
          <cell r="I185">
            <v>743</v>
          </cell>
          <cell r="J185" t="str">
            <v>Cam.A</v>
          </cell>
        </row>
        <row r="186">
          <cell r="C186" t="str">
            <v>11026714P2186</v>
          </cell>
          <cell r="D186" t="str">
            <v>PA154000045</v>
          </cell>
          <cell r="E186" t="str">
            <v>SOJA</v>
          </cell>
          <cell r="F186" t="str">
            <v>NEO790 IPRO</v>
          </cell>
          <cell r="G186" t="str">
            <v>P2</v>
          </cell>
          <cell r="H186" t="str">
            <v>S1</v>
          </cell>
          <cell r="I186">
            <v>954</v>
          </cell>
          <cell r="J186" t="str">
            <v>Cam.B</v>
          </cell>
        </row>
        <row r="187">
          <cell r="C187" t="str">
            <v>11026714P1187</v>
          </cell>
          <cell r="D187" t="str">
            <v>PA154000045</v>
          </cell>
          <cell r="E187" t="str">
            <v>SOJA</v>
          </cell>
          <cell r="F187" t="str">
            <v>NEO790 IPRO</v>
          </cell>
          <cell r="G187" t="str">
            <v>P1</v>
          </cell>
          <cell r="H187" t="str">
            <v>S1</v>
          </cell>
          <cell r="I187">
            <v>765</v>
          </cell>
          <cell r="J187" t="str">
            <v>Cam.B</v>
          </cell>
        </row>
        <row r="188">
          <cell r="C188" t="str">
            <v>11026714P1188</v>
          </cell>
          <cell r="D188" t="str">
            <v>PA154000045</v>
          </cell>
          <cell r="E188" t="str">
            <v>SOJA</v>
          </cell>
          <cell r="F188" t="str">
            <v>NEO790 IPRO</v>
          </cell>
          <cell r="G188" t="str">
            <v>P1</v>
          </cell>
          <cell r="H188" t="str">
            <v>S1</v>
          </cell>
          <cell r="I188">
            <v>771</v>
          </cell>
          <cell r="J188" t="str">
            <v>Cam.B</v>
          </cell>
        </row>
        <row r="189">
          <cell r="C189" t="str">
            <v>11026714P2189</v>
          </cell>
          <cell r="D189" t="str">
            <v>PA154000045</v>
          </cell>
          <cell r="E189" t="str">
            <v>SOJA</v>
          </cell>
          <cell r="F189" t="str">
            <v>NEO790 IPRO</v>
          </cell>
          <cell r="G189" t="str">
            <v>P2</v>
          </cell>
          <cell r="H189" t="str">
            <v>S1</v>
          </cell>
          <cell r="I189">
            <v>972</v>
          </cell>
          <cell r="J189" t="str">
            <v>Cam.B</v>
          </cell>
        </row>
        <row r="190">
          <cell r="C190" t="str">
            <v>11026714P1190</v>
          </cell>
          <cell r="D190" t="str">
            <v>PA154000045</v>
          </cell>
          <cell r="E190" t="str">
            <v>SOJA</v>
          </cell>
          <cell r="F190" t="str">
            <v>NEO790 IPRO</v>
          </cell>
          <cell r="G190" t="str">
            <v>P1</v>
          </cell>
          <cell r="H190" t="str">
            <v>S1</v>
          </cell>
          <cell r="I190">
            <v>780</v>
          </cell>
          <cell r="J190" t="str">
            <v>Cam.B</v>
          </cell>
        </row>
        <row r="191">
          <cell r="C191" t="str">
            <v>11026714P1191</v>
          </cell>
          <cell r="D191" t="str">
            <v>PA154000045</v>
          </cell>
          <cell r="E191" t="str">
            <v>SOJA</v>
          </cell>
          <cell r="F191" t="str">
            <v>NEO790 IPRO</v>
          </cell>
          <cell r="G191" t="str">
            <v>P1</v>
          </cell>
          <cell r="H191" t="str">
            <v>S1</v>
          </cell>
          <cell r="I191">
            <v>767</v>
          </cell>
          <cell r="J191" t="str">
            <v>Cam.B</v>
          </cell>
        </row>
        <row r="192">
          <cell r="C192" t="str">
            <v>11026714P2192</v>
          </cell>
          <cell r="D192" t="str">
            <v>PA154000045</v>
          </cell>
          <cell r="E192" t="str">
            <v>SOJA</v>
          </cell>
          <cell r="F192" t="str">
            <v>NEO790 IPRO</v>
          </cell>
          <cell r="G192" t="str">
            <v>P2</v>
          </cell>
          <cell r="H192" t="str">
            <v>S1</v>
          </cell>
          <cell r="I192">
            <v>941</v>
          </cell>
          <cell r="J192" t="str">
            <v>Cam.B</v>
          </cell>
        </row>
        <row r="193">
          <cell r="C193" t="str">
            <v>11026714P2193</v>
          </cell>
          <cell r="D193" t="str">
            <v>PA154000045</v>
          </cell>
          <cell r="E193" t="str">
            <v>SOJA</v>
          </cell>
          <cell r="F193" t="str">
            <v>NEO790 IPRO</v>
          </cell>
          <cell r="G193" t="str">
            <v>P2</v>
          </cell>
          <cell r="H193" t="str">
            <v>S1</v>
          </cell>
          <cell r="I193">
            <v>895</v>
          </cell>
          <cell r="J193" t="str">
            <v>Cam.B</v>
          </cell>
        </row>
        <row r="194">
          <cell r="C194" t="str">
            <v>11026714P1194</v>
          </cell>
          <cell r="D194" t="str">
            <v>PA154000045</v>
          </cell>
          <cell r="E194" t="str">
            <v>SOJA</v>
          </cell>
          <cell r="F194" t="str">
            <v>NEO790 IPRO</v>
          </cell>
          <cell r="G194" t="str">
            <v>P1</v>
          </cell>
          <cell r="H194" t="str">
            <v>S1</v>
          </cell>
          <cell r="I194">
            <v>695</v>
          </cell>
          <cell r="J194" t="str">
            <v>Cam.B</v>
          </cell>
        </row>
        <row r="195">
          <cell r="C195" t="str">
            <v>11026714P2195</v>
          </cell>
          <cell r="D195" t="str">
            <v>PA154000045</v>
          </cell>
          <cell r="E195" t="str">
            <v>SOJA</v>
          </cell>
          <cell r="F195" t="str">
            <v>NEO790 IPRO</v>
          </cell>
          <cell r="G195" t="str">
            <v>P2</v>
          </cell>
          <cell r="H195" t="str">
            <v>S1</v>
          </cell>
          <cell r="I195">
            <v>879</v>
          </cell>
          <cell r="J195" t="str">
            <v>Cam.B</v>
          </cell>
        </row>
        <row r="196">
          <cell r="C196" t="str">
            <v>11026714P1196</v>
          </cell>
          <cell r="D196" t="str">
            <v>PA154000045</v>
          </cell>
          <cell r="E196" t="str">
            <v>SOJA</v>
          </cell>
          <cell r="F196" t="str">
            <v>NEO790 IPRO</v>
          </cell>
          <cell r="G196" t="str">
            <v>P1</v>
          </cell>
          <cell r="H196" t="str">
            <v>S1</v>
          </cell>
          <cell r="I196">
            <v>694</v>
          </cell>
          <cell r="J196" t="str">
            <v>Cam.B</v>
          </cell>
        </row>
        <row r="197">
          <cell r="C197" t="str">
            <v>11026714P2197</v>
          </cell>
          <cell r="D197" t="str">
            <v>PA154000045</v>
          </cell>
          <cell r="E197" t="str">
            <v>SOJA</v>
          </cell>
          <cell r="F197" t="str">
            <v>NEO790 IPRO</v>
          </cell>
          <cell r="G197" t="str">
            <v>P2</v>
          </cell>
          <cell r="H197" t="str">
            <v>S1</v>
          </cell>
          <cell r="I197">
            <v>882</v>
          </cell>
          <cell r="J197" t="str">
            <v>Cam.A</v>
          </cell>
        </row>
        <row r="198">
          <cell r="C198" t="str">
            <v>11026714P2198</v>
          </cell>
          <cell r="D198" t="str">
            <v>PA154000045</v>
          </cell>
          <cell r="E198" t="str">
            <v>SOJA</v>
          </cell>
          <cell r="F198" t="str">
            <v>NEO790 IPRO</v>
          </cell>
          <cell r="G198" t="str">
            <v>P2</v>
          </cell>
          <cell r="H198" t="str">
            <v>S1</v>
          </cell>
          <cell r="I198">
            <v>921</v>
          </cell>
          <cell r="J198" t="str">
            <v>Cam.B</v>
          </cell>
        </row>
        <row r="199">
          <cell r="C199" t="str">
            <v>11026714P2199</v>
          </cell>
          <cell r="D199" t="str">
            <v>PA154000045</v>
          </cell>
          <cell r="E199" t="str">
            <v>SOJA</v>
          </cell>
          <cell r="F199" t="str">
            <v>NEO790 IPRO</v>
          </cell>
          <cell r="G199" t="str">
            <v>P2</v>
          </cell>
          <cell r="H199" t="str">
            <v>S1</v>
          </cell>
          <cell r="I199">
            <v>898</v>
          </cell>
          <cell r="J199" t="str">
            <v>Cam.B</v>
          </cell>
        </row>
        <row r="200">
          <cell r="C200" t="str">
            <v>11026714P1200</v>
          </cell>
          <cell r="D200" t="str">
            <v>PA154000045</v>
          </cell>
          <cell r="E200" t="str">
            <v>SOJA</v>
          </cell>
          <cell r="F200" t="str">
            <v>NEO790 IPRO</v>
          </cell>
          <cell r="G200" t="str">
            <v>P1</v>
          </cell>
          <cell r="H200" t="str">
            <v>S1</v>
          </cell>
          <cell r="I200">
            <v>696</v>
          </cell>
          <cell r="J200" t="str">
            <v>Cam.B</v>
          </cell>
        </row>
        <row r="201">
          <cell r="C201" t="str">
            <v>11026714P2201</v>
          </cell>
          <cell r="D201" t="str">
            <v>PA154000045</v>
          </cell>
          <cell r="E201" t="str">
            <v>SOJA</v>
          </cell>
          <cell r="F201" t="str">
            <v>NEO790 IPRO</v>
          </cell>
          <cell r="G201" t="str">
            <v>P2</v>
          </cell>
          <cell r="H201" t="str">
            <v>S1</v>
          </cell>
          <cell r="I201">
            <v>904</v>
          </cell>
          <cell r="J201" t="str">
            <v>Cam.B</v>
          </cell>
        </row>
        <row r="202">
          <cell r="C202" t="str">
            <v>11026273P1204</v>
          </cell>
          <cell r="D202" t="str">
            <v>PA154000766</v>
          </cell>
          <cell r="E202" t="str">
            <v>SOJA</v>
          </cell>
          <cell r="F202" t="str">
            <v>NEO800 I2X</v>
          </cell>
          <cell r="G202" t="str">
            <v>P1</v>
          </cell>
          <cell r="H202" t="str">
            <v>S1</v>
          </cell>
          <cell r="I202">
            <v>697</v>
          </cell>
          <cell r="J202" t="str">
            <v>Cam.B</v>
          </cell>
        </row>
        <row r="203">
          <cell r="C203" t="str">
            <v>11026273P2205</v>
          </cell>
          <cell r="D203" t="str">
            <v>PA154000766</v>
          </cell>
          <cell r="E203" t="str">
            <v>SOJA</v>
          </cell>
          <cell r="F203" t="str">
            <v>NEO800 I2X</v>
          </cell>
          <cell r="G203" t="str">
            <v>P2</v>
          </cell>
          <cell r="H203" t="str">
            <v>S1</v>
          </cell>
          <cell r="I203">
            <v>854</v>
          </cell>
          <cell r="J203" t="str">
            <v>Cam.B</v>
          </cell>
        </row>
        <row r="204">
          <cell r="C204" t="str">
            <v>11026273P1206</v>
          </cell>
          <cell r="D204" t="str">
            <v>PA154000766</v>
          </cell>
          <cell r="E204" t="str">
            <v>SOJA</v>
          </cell>
          <cell r="F204" t="str">
            <v>NEO800 I2X</v>
          </cell>
          <cell r="G204" t="str">
            <v>P1</v>
          </cell>
          <cell r="H204" t="str">
            <v>S1</v>
          </cell>
          <cell r="I204">
            <v>680</v>
          </cell>
          <cell r="J204" t="str">
            <v>Cam.B</v>
          </cell>
        </row>
        <row r="205">
          <cell r="C205" t="str">
            <v>11026273P2207</v>
          </cell>
          <cell r="D205" t="str">
            <v>PA154000766</v>
          </cell>
          <cell r="E205" t="str">
            <v>SOJA</v>
          </cell>
          <cell r="F205" t="str">
            <v>NEO800 I2X</v>
          </cell>
          <cell r="G205" t="str">
            <v>P2</v>
          </cell>
          <cell r="H205" t="str">
            <v>S1</v>
          </cell>
          <cell r="I205">
            <v>838</v>
          </cell>
          <cell r="J205" t="str">
            <v>Cam.B</v>
          </cell>
        </row>
        <row r="206">
          <cell r="C206" t="str">
            <v>11026273P1208</v>
          </cell>
          <cell r="D206" t="str">
            <v>PA154000766</v>
          </cell>
          <cell r="E206" t="str">
            <v>SOJA</v>
          </cell>
          <cell r="F206" t="str">
            <v>NEO800 I2X</v>
          </cell>
          <cell r="G206" t="str">
            <v>P1</v>
          </cell>
          <cell r="H206" t="str">
            <v>S1</v>
          </cell>
          <cell r="I206">
            <v>677</v>
          </cell>
          <cell r="J206" t="str">
            <v>Cam.B</v>
          </cell>
        </row>
        <row r="207">
          <cell r="C207" t="str">
            <v>11026273P1209</v>
          </cell>
          <cell r="D207" t="str">
            <v>PA154000766</v>
          </cell>
          <cell r="E207" t="str">
            <v>SOJA</v>
          </cell>
          <cell r="F207" t="str">
            <v>NEO800 I2X</v>
          </cell>
          <cell r="G207" t="str">
            <v>P1</v>
          </cell>
          <cell r="H207" t="str">
            <v>S1</v>
          </cell>
          <cell r="I207">
            <v>690</v>
          </cell>
          <cell r="J207" t="str">
            <v>Cam.B</v>
          </cell>
        </row>
        <row r="208">
          <cell r="C208" t="str">
            <v>11026273P2210</v>
          </cell>
          <cell r="D208" t="str">
            <v>PA154000766</v>
          </cell>
          <cell r="E208" t="str">
            <v>SOJA</v>
          </cell>
          <cell r="F208" t="str">
            <v>NEO800 I2X</v>
          </cell>
          <cell r="G208" t="str">
            <v>P2</v>
          </cell>
          <cell r="H208" t="str">
            <v>S1</v>
          </cell>
          <cell r="I208">
            <v>822</v>
          </cell>
          <cell r="J208" t="str">
            <v>Cam.B</v>
          </cell>
        </row>
        <row r="209">
          <cell r="C209" t="str">
            <v>11026273P1211</v>
          </cell>
          <cell r="D209" t="str">
            <v>PA154000766</v>
          </cell>
          <cell r="E209" t="str">
            <v>SOJA</v>
          </cell>
          <cell r="F209" t="str">
            <v>NEO800 I2X</v>
          </cell>
          <cell r="G209" t="str">
            <v>P1</v>
          </cell>
          <cell r="H209" t="str">
            <v>S1</v>
          </cell>
          <cell r="I209">
            <v>674</v>
          </cell>
          <cell r="J209" t="str">
            <v>Cam.B</v>
          </cell>
        </row>
        <row r="210">
          <cell r="C210" t="str">
            <v>11026273P1212</v>
          </cell>
          <cell r="D210" t="str">
            <v>PA154000766</v>
          </cell>
          <cell r="E210" t="str">
            <v>SOJA</v>
          </cell>
          <cell r="F210" t="str">
            <v>NEO800 I2X</v>
          </cell>
          <cell r="G210" t="str">
            <v>P1</v>
          </cell>
          <cell r="H210" t="str">
            <v>S1</v>
          </cell>
          <cell r="I210">
            <v>639</v>
          </cell>
          <cell r="J210" t="str">
            <v>Cam.B</v>
          </cell>
        </row>
        <row r="211">
          <cell r="C211" t="str">
            <v>11026273P2213</v>
          </cell>
          <cell r="D211" t="str">
            <v>PA154000766</v>
          </cell>
          <cell r="E211" t="str">
            <v>SOJA</v>
          </cell>
          <cell r="F211" t="str">
            <v>NEO800 I2X</v>
          </cell>
          <cell r="G211" t="str">
            <v>P2</v>
          </cell>
          <cell r="H211" t="str">
            <v>S1</v>
          </cell>
          <cell r="I211">
            <v>832</v>
          </cell>
          <cell r="J211" t="str">
            <v>Cam.B</v>
          </cell>
        </row>
        <row r="212">
          <cell r="C212" t="str">
            <v>11026760P1214</v>
          </cell>
          <cell r="D212" t="str">
            <v>PA154001065</v>
          </cell>
          <cell r="E212" t="str">
            <v>SOJA</v>
          </cell>
          <cell r="F212" t="str">
            <v>SOYTECH 745 I2X</v>
          </cell>
          <cell r="G212" t="str">
            <v>P1</v>
          </cell>
          <cell r="H212" t="str">
            <v>C1</v>
          </cell>
          <cell r="I212">
            <v>695</v>
          </cell>
          <cell r="J212" t="str">
            <v>Cam.B</v>
          </cell>
        </row>
        <row r="213">
          <cell r="C213" t="str">
            <v>11026760P2215</v>
          </cell>
          <cell r="D213" t="str">
            <v>PA154001065</v>
          </cell>
          <cell r="E213" t="str">
            <v>SOJA</v>
          </cell>
          <cell r="F213" t="str">
            <v>SOYTECH 745 I2X</v>
          </cell>
          <cell r="G213" t="str">
            <v>P2</v>
          </cell>
          <cell r="H213" t="str">
            <v>C1</v>
          </cell>
          <cell r="I213">
            <v>819</v>
          </cell>
          <cell r="J213" t="str">
            <v>Cam.B</v>
          </cell>
        </row>
        <row r="214">
          <cell r="C214" t="str">
            <v>11026760P2216</v>
          </cell>
          <cell r="D214" t="str">
            <v>PA154001065</v>
          </cell>
          <cell r="E214" t="str">
            <v>SOJA</v>
          </cell>
          <cell r="F214" t="str">
            <v>SOYTECH 745 I2X</v>
          </cell>
          <cell r="G214" t="str">
            <v>P2</v>
          </cell>
          <cell r="H214" t="str">
            <v>C1</v>
          </cell>
          <cell r="I214">
            <v>802</v>
          </cell>
          <cell r="J214" t="str">
            <v>Cam.B</v>
          </cell>
        </row>
        <row r="215">
          <cell r="C215" t="str">
            <v>11026760P1217</v>
          </cell>
          <cell r="D215" t="str">
            <v>PA154001065</v>
          </cell>
          <cell r="E215" t="str">
            <v>SOJA</v>
          </cell>
          <cell r="F215" t="str">
            <v>SOYTECH 745 I2X</v>
          </cell>
          <cell r="G215" t="str">
            <v>P1</v>
          </cell>
          <cell r="H215" t="str">
            <v>C1</v>
          </cell>
          <cell r="I215">
            <v>651</v>
          </cell>
          <cell r="J215" t="str">
            <v>Cam.B</v>
          </cell>
        </row>
        <row r="216">
          <cell r="C216" t="str">
            <v>11026760P1218</v>
          </cell>
          <cell r="D216" t="str">
            <v>PA154001065</v>
          </cell>
          <cell r="E216" t="str">
            <v>SOJA</v>
          </cell>
          <cell r="F216" t="str">
            <v>SOYTECH 745 I2X</v>
          </cell>
          <cell r="G216" t="str">
            <v>P1</v>
          </cell>
          <cell r="H216" t="str">
            <v>C1</v>
          </cell>
          <cell r="I216">
            <v>646</v>
          </cell>
          <cell r="J216" t="str">
            <v>Cam.B</v>
          </cell>
        </row>
        <row r="217">
          <cell r="C217" t="str">
            <v>11026760P2219</v>
          </cell>
          <cell r="D217" t="str">
            <v>PA154001065</v>
          </cell>
          <cell r="E217" t="str">
            <v>SOJA</v>
          </cell>
          <cell r="F217" t="str">
            <v>SOYTECH 745 I2X</v>
          </cell>
          <cell r="G217" t="str">
            <v>P2</v>
          </cell>
          <cell r="H217" t="str">
            <v>C1</v>
          </cell>
          <cell r="I217">
            <v>815</v>
          </cell>
          <cell r="J217" t="str">
            <v>Cam.B</v>
          </cell>
        </row>
        <row r="218">
          <cell r="C218" t="str">
            <v>11026760P2220</v>
          </cell>
          <cell r="D218" t="str">
            <v>PA154001065</v>
          </cell>
          <cell r="E218" t="str">
            <v>SOJA</v>
          </cell>
          <cell r="F218" t="str">
            <v>SOYTECH 745 I2X</v>
          </cell>
          <cell r="G218" t="str">
            <v>P2</v>
          </cell>
          <cell r="H218" t="str">
            <v>C1</v>
          </cell>
          <cell r="I218">
            <v>796</v>
          </cell>
          <cell r="J218" t="str">
            <v>Cam.B</v>
          </cell>
        </row>
        <row r="219">
          <cell r="C219" t="str">
            <v>11026760P1221</v>
          </cell>
          <cell r="D219" t="str">
            <v>PA154001065</v>
          </cell>
          <cell r="E219" t="str">
            <v>SOJA</v>
          </cell>
          <cell r="F219" t="str">
            <v>SOYTECH 745 I2X</v>
          </cell>
          <cell r="G219" t="str">
            <v>P1</v>
          </cell>
          <cell r="H219" t="str">
            <v>C1</v>
          </cell>
          <cell r="I219">
            <v>648</v>
          </cell>
          <cell r="J219" t="str">
            <v>Cam.B</v>
          </cell>
        </row>
        <row r="220">
          <cell r="C220" t="str">
            <v>11026760P2222</v>
          </cell>
          <cell r="D220" t="str">
            <v>PA154001065</v>
          </cell>
          <cell r="E220" t="str">
            <v>SOJA</v>
          </cell>
          <cell r="F220" t="str">
            <v>SOYTECH 745 I2X</v>
          </cell>
          <cell r="G220" t="str">
            <v>P2</v>
          </cell>
          <cell r="H220" t="str">
            <v>C1</v>
          </cell>
          <cell r="I220">
            <v>794</v>
          </cell>
          <cell r="J220" t="str">
            <v>Cam.B</v>
          </cell>
        </row>
        <row r="221">
          <cell r="C221" t="str">
            <v>11026760P1223</v>
          </cell>
          <cell r="D221" t="str">
            <v>PA154001065</v>
          </cell>
          <cell r="E221" t="str">
            <v>SOJA</v>
          </cell>
          <cell r="F221" t="str">
            <v>SOYTECH 745 I2X</v>
          </cell>
          <cell r="G221" t="str">
            <v>P1</v>
          </cell>
          <cell r="H221" t="str">
            <v>C1</v>
          </cell>
          <cell r="I221">
            <v>643</v>
          </cell>
          <cell r="J221" t="str">
            <v>Cam.B</v>
          </cell>
        </row>
        <row r="222">
          <cell r="C222" t="str">
            <v>11026760P2224</v>
          </cell>
          <cell r="D222" t="str">
            <v>PA154001065</v>
          </cell>
          <cell r="E222" t="str">
            <v>SOJA</v>
          </cell>
          <cell r="F222" t="str">
            <v>SOYTECH 745 I2X</v>
          </cell>
          <cell r="G222" t="str">
            <v>P2</v>
          </cell>
          <cell r="H222" t="str">
            <v>C1</v>
          </cell>
          <cell r="I222">
            <v>793</v>
          </cell>
          <cell r="J222" t="str">
            <v>Cam.B</v>
          </cell>
        </row>
        <row r="223">
          <cell r="C223" t="str">
            <v>11026760P2225</v>
          </cell>
          <cell r="D223" t="str">
            <v>PA154001065</v>
          </cell>
          <cell r="E223" t="str">
            <v>SOJA</v>
          </cell>
          <cell r="F223" t="str">
            <v>SOYTECH 745 I2X</v>
          </cell>
          <cell r="G223" t="str">
            <v>P2</v>
          </cell>
          <cell r="H223" t="str">
            <v>C1</v>
          </cell>
          <cell r="I223">
            <v>791</v>
          </cell>
          <cell r="J223" t="str">
            <v>Cam.B</v>
          </cell>
        </row>
        <row r="224">
          <cell r="C224" t="str">
            <v>11026760P1226</v>
          </cell>
          <cell r="D224" t="str">
            <v>PA154001065</v>
          </cell>
          <cell r="E224" t="str">
            <v>SOJA</v>
          </cell>
          <cell r="F224" t="str">
            <v>SOYTECH 745 I2X</v>
          </cell>
          <cell r="G224" t="str">
            <v>P1</v>
          </cell>
          <cell r="H224" t="str">
            <v>C1</v>
          </cell>
          <cell r="I224">
            <v>644</v>
          </cell>
          <cell r="J224" t="str">
            <v>Cam.B</v>
          </cell>
        </row>
        <row r="225">
          <cell r="C225" t="str">
            <v>11026760P2227</v>
          </cell>
          <cell r="D225" t="str">
            <v>PA154001065</v>
          </cell>
          <cell r="E225" t="str">
            <v>SOJA</v>
          </cell>
          <cell r="F225" t="str">
            <v>SOYTECH 745 I2X</v>
          </cell>
          <cell r="G225" t="str">
            <v>P2</v>
          </cell>
          <cell r="H225" t="str">
            <v>C1</v>
          </cell>
          <cell r="I225">
            <v>804</v>
          </cell>
          <cell r="J225" t="str">
            <v>Cam.B</v>
          </cell>
        </row>
        <row r="226">
          <cell r="C226" t="str">
            <v>11026760P1228</v>
          </cell>
          <cell r="D226" t="str">
            <v>PA154001065</v>
          </cell>
          <cell r="E226" t="str">
            <v>SOJA</v>
          </cell>
          <cell r="F226" t="str">
            <v>SOYTECH 745 I2X</v>
          </cell>
          <cell r="G226" t="str">
            <v>P1</v>
          </cell>
          <cell r="H226" t="str">
            <v>C1</v>
          </cell>
          <cell r="I226">
            <v>638</v>
          </cell>
          <cell r="J226" t="str">
            <v>Cam.B</v>
          </cell>
        </row>
        <row r="227">
          <cell r="C227" t="str">
            <v>11026760P2229</v>
          </cell>
          <cell r="D227" t="str">
            <v>PA154001065</v>
          </cell>
          <cell r="E227" t="str">
            <v>SOJA</v>
          </cell>
          <cell r="F227" t="str">
            <v>SOYTECH 745 I2X</v>
          </cell>
          <cell r="G227" t="str">
            <v>P2</v>
          </cell>
          <cell r="H227" t="str">
            <v>C1</v>
          </cell>
          <cell r="I227">
            <v>787</v>
          </cell>
          <cell r="J227" t="str">
            <v>Cam.B</v>
          </cell>
        </row>
        <row r="228">
          <cell r="C228" t="str">
            <v>11026760P2230</v>
          </cell>
          <cell r="D228" t="str">
            <v>PA154001065</v>
          </cell>
          <cell r="E228" t="str">
            <v>SOJA</v>
          </cell>
          <cell r="F228" t="str">
            <v>SOYTECH 745 I2X</v>
          </cell>
          <cell r="G228" t="str">
            <v>P2</v>
          </cell>
          <cell r="H228" t="str">
            <v>C1</v>
          </cell>
          <cell r="I228">
            <v>792</v>
          </cell>
          <cell r="J228" t="str">
            <v>Cam.B</v>
          </cell>
        </row>
        <row r="229">
          <cell r="C229" t="str">
            <v>11026760P1231</v>
          </cell>
          <cell r="D229" t="str">
            <v>PA154001065</v>
          </cell>
          <cell r="E229" t="str">
            <v>SOJA</v>
          </cell>
          <cell r="F229" t="str">
            <v>SOYTECH 745 I2X</v>
          </cell>
          <cell r="G229" t="str">
            <v>P1</v>
          </cell>
          <cell r="H229" t="str">
            <v>C1</v>
          </cell>
          <cell r="I229">
            <v>636</v>
          </cell>
          <cell r="J229" t="str">
            <v>Cam.B</v>
          </cell>
        </row>
        <row r="230">
          <cell r="C230" t="str">
            <v>11026760P2232</v>
          </cell>
          <cell r="D230" t="str">
            <v>PA154001065</v>
          </cell>
          <cell r="E230" t="str">
            <v>SOJA</v>
          </cell>
          <cell r="F230" t="str">
            <v>SOYTECH 745 I2X</v>
          </cell>
          <cell r="G230" t="str">
            <v>P2</v>
          </cell>
          <cell r="H230" t="str">
            <v>C1</v>
          </cell>
          <cell r="I230">
            <v>808</v>
          </cell>
          <cell r="J230" t="str">
            <v>Cam.B</v>
          </cell>
        </row>
        <row r="231">
          <cell r="C231" t="str">
            <v>11026756P1233</v>
          </cell>
          <cell r="D231" t="str">
            <v>PA154001093</v>
          </cell>
          <cell r="E231" t="str">
            <v>SOJA</v>
          </cell>
          <cell r="F231" t="str">
            <v>C2810CE</v>
          </cell>
          <cell r="G231" t="str">
            <v>P1</v>
          </cell>
          <cell r="H231" t="str">
            <v>C1</v>
          </cell>
          <cell r="I231">
            <v>730</v>
          </cell>
          <cell r="J231" t="str">
            <v>Cam.B</v>
          </cell>
        </row>
        <row r="232">
          <cell r="C232" t="str">
            <v>11026756P2234</v>
          </cell>
          <cell r="D232" t="str">
            <v>PA154001093</v>
          </cell>
          <cell r="E232" t="str">
            <v>SOJA</v>
          </cell>
          <cell r="F232" t="str">
            <v>C2810CE</v>
          </cell>
          <cell r="G232" t="str">
            <v>P2</v>
          </cell>
          <cell r="H232" t="str">
            <v>C1</v>
          </cell>
          <cell r="I232">
            <v>871</v>
          </cell>
          <cell r="J232" t="str">
            <v>Cam.B</v>
          </cell>
        </row>
        <row r="233">
          <cell r="C233" t="str">
            <v>11026756P1235</v>
          </cell>
          <cell r="D233" t="str">
            <v>PA154001093</v>
          </cell>
          <cell r="E233" t="str">
            <v>SOJA</v>
          </cell>
          <cell r="F233" t="str">
            <v>C2810CE</v>
          </cell>
          <cell r="G233" t="str">
            <v>P1</v>
          </cell>
          <cell r="H233" t="str">
            <v>C1</v>
          </cell>
          <cell r="I233">
            <v>734</v>
          </cell>
          <cell r="J233" t="str">
            <v>Cam.B</v>
          </cell>
        </row>
        <row r="234">
          <cell r="C234" t="str">
            <v>11026756P2236</v>
          </cell>
          <cell r="D234" t="str">
            <v>PA154001093</v>
          </cell>
          <cell r="E234" t="str">
            <v>SOJA</v>
          </cell>
          <cell r="F234" t="str">
            <v>C2810CE</v>
          </cell>
          <cell r="G234" t="str">
            <v>P2</v>
          </cell>
          <cell r="H234" t="str">
            <v>C1</v>
          </cell>
          <cell r="I234">
            <v>852</v>
          </cell>
          <cell r="J234" t="str">
            <v>Cam.B</v>
          </cell>
        </row>
        <row r="235">
          <cell r="C235" t="str">
            <v>11026714P2202</v>
          </cell>
          <cell r="D235" t="str">
            <v>PA154000045</v>
          </cell>
          <cell r="E235" t="str">
            <v>SOJA</v>
          </cell>
          <cell r="F235" t="str">
            <v>NEO790 IPRO</v>
          </cell>
          <cell r="G235" t="str">
            <v>P2</v>
          </cell>
          <cell r="H235" t="str">
            <v>S1</v>
          </cell>
          <cell r="I235">
            <v>909</v>
          </cell>
          <cell r="J235" t="str">
            <v>Cam.B</v>
          </cell>
        </row>
        <row r="236">
          <cell r="C236" t="str">
            <v>11026714P1203</v>
          </cell>
          <cell r="D236" t="str">
            <v>PA154000045</v>
          </cell>
          <cell r="E236" t="str">
            <v>SOJA</v>
          </cell>
          <cell r="F236" t="str">
            <v>NEO790 IPRO</v>
          </cell>
          <cell r="G236" t="str">
            <v>P1</v>
          </cell>
          <cell r="H236" t="str">
            <v>S1</v>
          </cell>
          <cell r="I236">
            <v>711</v>
          </cell>
          <cell r="J236" t="str">
            <v>Cam.B</v>
          </cell>
        </row>
        <row r="237">
          <cell r="C237" t="str">
            <v>11026714P2237</v>
          </cell>
          <cell r="D237" t="str">
            <v>PA154000045</v>
          </cell>
          <cell r="E237" t="str">
            <v>SOJA</v>
          </cell>
          <cell r="F237" t="str">
            <v>NEO790 IPRO</v>
          </cell>
          <cell r="G237" t="str">
            <v>P2</v>
          </cell>
          <cell r="H237" t="str">
            <v>S1</v>
          </cell>
          <cell r="I237">
            <v>900</v>
          </cell>
          <cell r="J237" t="str">
            <v>Cam.B</v>
          </cell>
        </row>
        <row r="238">
          <cell r="C238" t="str">
            <v>11026714P1238</v>
          </cell>
          <cell r="D238" t="str">
            <v>PA154000045</v>
          </cell>
          <cell r="E238" t="str">
            <v>SOJA</v>
          </cell>
          <cell r="F238" t="str">
            <v>NEO790 IPRO</v>
          </cell>
          <cell r="G238" t="str">
            <v>P1</v>
          </cell>
          <cell r="H238" t="str">
            <v>S1</v>
          </cell>
          <cell r="I238">
            <v>706</v>
          </cell>
          <cell r="J238" t="str">
            <v>Cam.A</v>
          </cell>
        </row>
        <row r="239">
          <cell r="C239" t="str">
            <v>11026714P2239</v>
          </cell>
          <cell r="D239" t="str">
            <v>PA154000045</v>
          </cell>
          <cell r="E239" t="str">
            <v>SOJA</v>
          </cell>
          <cell r="F239" t="str">
            <v>NEO790 IPRO</v>
          </cell>
          <cell r="G239" t="str">
            <v>P2</v>
          </cell>
          <cell r="H239" t="str">
            <v>S1</v>
          </cell>
          <cell r="I239">
            <v>898</v>
          </cell>
          <cell r="J239" t="str">
            <v>Cam.B</v>
          </cell>
        </row>
        <row r="240">
          <cell r="C240" t="str">
            <v>11026714P1240</v>
          </cell>
          <cell r="D240" t="str">
            <v>PA154000045</v>
          </cell>
          <cell r="E240" t="str">
            <v>SOJA</v>
          </cell>
          <cell r="F240" t="str">
            <v>NEO790 IPRO</v>
          </cell>
          <cell r="G240" t="str">
            <v>P1</v>
          </cell>
          <cell r="H240" t="str">
            <v>S1</v>
          </cell>
          <cell r="I240">
            <v>705</v>
          </cell>
          <cell r="J240" t="str">
            <v>Cam.A</v>
          </cell>
        </row>
        <row r="241">
          <cell r="C241" t="str">
            <v>11026714P2241</v>
          </cell>
          <cell r="D241" t="str">
            <v>PA154000045</v>
          </cell>
          <cell r="E241" t="str">
            <v>SOJA</v>
          </cell>
          <cell r="F241" t="str">
            <v>NEO790 IPRO</v>
          </cell>
          <cell r="G241" t="str">
            <v>P2</v>
          </cell>
          <cell r="H241" t="str">
            <v>S1</v>
          </cell>
          <cell r="I241">
            <v>927</v>
          </cell>
          <cell r="J241" t="str">
            <v>Cam.B</v>
          </cell>
        </row>
        <row r="242">
          <cell r="C242" t="str">
            <v>11026714P1242</v>
          </cell>
          <cell r="D242" t="str">
            <v>PA154000045</v>
          </cell>
          <cell r="E242" t="str">
            <v>SOJA</v>
          </cell>
          <cell r="F242" t="str">
            <v>NEO790 IPRO</v>
          </cell>
          <cell r="G242" t="str">
            <v>P1</v>
          </cell>
          <cell r="H242" t="str">
            <v>S1</v>
          </cell>
          <cell r="I242">
            <v>705</v>
          </cell>
          <cell r="J242" t="str">
            <v>Cam.A</v>
          </cell>
        </row>
        <row r="243">
          <cell r="C243" t="str">
            <v>11026714P2243</v>
          </cell>
          <cell r="D243" t="str">
            <v>PA154000045</v>
          </cell>
          <cell r="E243" t="str">
            <v>SOJA</v>
          </cell>
          <cell r="F243" t="str">
            <v>NEO790 IPRO</v>
          </cell>
          <cell r="G243" t="str">
            <v>P2</v>
          </cell>
          <cell r="H243" t="str">
            <v>S1</v>
          </cell>
          <cell r="I243">
            <v>904</v>
          </cell>
          <cell r="J243" t="str">
            <v>Cam.B</v>
          </cell>
        </row>
        <row r="244">
          <cell r="C244" t="str">
            <v>11026714P2244</v>
          </cell>
          <cell r="D244" t="str">
            <v>PA154000045</v>
          </cell>
          <cell r="E244" t="str">
            <v>SOJA</v>
          </cell>
          <cell r="F244" t="str">
            <v>NEO790 IPRO</v>
          </cell>
          <cell r="G244" t="str">
            <v>P2</v>
          </cell>
          <cell r="H244" t="str">
            <v>S1</v>
          </cell>
          <cell r="I244">
            <v>910</v>
          </cell>
          <cell r="J244" t="str">
            <v>Cam.B</v>
          </cell>
        </row>
        <row r="245">
          <cell r="C245" t="str">
            <v>11026714P1245</v>
          </cell>
          <cell r="D245" t="str">
            <v>PA154000045</v>
          </cell>
          <cell r="E245" t="str">
            <v>SOJA</v>
          </cell>
          <cell r="F245" t="str">
            <v>NEO790 IPRO</v>
          </cell>
          <cell r="G245" t="str">
            <v>P1</v>
          </cell>
          <cell r="H245" t="str">
            <v>S1</v>
          </cell>
          <cell r="I245">
            <v>711</v>
          </cell>
          <cell r="J245" t="str">
            <v>Cam.B</v>
          </cell>
        </row>
        <row r="246">
          <cell r="C246" t="str">
            <v>11026714P2246</v>
          </cell>
          <cell r="D246" t="str">
            <v>PA154000045</v>
          </cell>
          <cell r="E246" t="str">
            <v>SOJA</v>
          </cell>
          <cell r="F246" t="str">
            <v>NEO790 IPRO</v>
          </cell>
          <cell r="G246" t="str">
            <v>P2</v>
          </cell>
          <cell r="H246" t="str">
            <v>S1</v>
          </cell>
          <cell r="I246">
            <v>902</v>
          </cell>
          <cell r="J246" t="str">
            <v>Cam.B</v>
          </cell>
        </row>
        <row r="247">
          <cell r="C247" t="str">
            <v>11026714P2247</v>
          </cell>
          <cell r="D247" t="str">
            <v>PA154000045</v>
          </cell>
          <cell r="E247" t="str">
            <v>SOJA</v>
          </cell>
          <cell r="F247" t="str">
            <v>NEO790 IPRO</v>
          </cell>
          <cell r="G247" t="str">
            <v>P2</v>
          </cell>
          <cell r="H247" t="str">
            <v>S1</v>
          </cell>
          <cell r="I247">
            <v>899</v>
          </cell>
          <cell r="J247" t="str">
            <v>Cam.B</v>
          </cell>
        </row>
        <row r="248">
          <cell r="C248" t="str">
            <v>11026714P1248</v>
          </cell>
          <cell r="D248" t="str">
            <v>PA154000045</v>
          </cell>
          <cell r="E248" t="str">
            <v>SOJA</v>
          </cell>
          <cell r="F248" t="str">
            <v>NEO790 IPRO</v>
          </cell>
          <cell r="G248" t="str">
            <v>P1</v>
          </cell>
          <cell r="H248" t="str">
            <v>S1</v>
          </cell>
          <cell r="I248">
            <v>707</v>
          </cell>
          <cell r="J248" t="str">
            <v>Cam.B</v>
          </cell>
        </row>
        <row r="249">
          <cell r="C249" t="str">
            <v>11026714P2249</v>
          </cell>
          <cell r="D249" t="str">
            <v>PA154000045</v>
          </cell>
          <cell r="E249" t="str">
            <v>SOJA</v>
          </cell>
          <cell r="F249" t="str">
            <v>NEO790 IPRO</v>
          </cell>
          <cell r="G249" t="str">
            <v>P2</v>
          </cell>
          <cell r="H249" t="str">
            <v>S1</v>
          </cell>
          <cell r="I249">
            <v>917</v>
          </cell>
          <cell r="J249" t="str">
            <v>Cam.B</v>
          </cell>
        </row>
        <row r="250">
          <cell r="C250" t="str">
            <v>11026714P2250</v>
          </cell>
          <cell r="D250" t="str">
            <v>PA154000045</v>
          </cell>
          <cell r="E250" t="str">
            <v>SOJA</v>
          </cell>
          <cell r="F250" t="str">
            <v>NEO790 IPRO</v>
          </cell>
          <cell r="G250" t="str">
            <v>P2</v>
          </cell>
          <cell r="H250" t="str">
            <v>S1</v>
          </cell>
          <cell r="I250">
            <v>909</v>
          </cell>
          <cell r="J250" t="str">
            <v>Cam.B</v>
          </cell>
        </row>
        <row r="251">
          <cell r="C251" t="str">
            <v>11026714P1251</v>
          </cell>
          <cell r="D251" t="str">
            <v>PA154000045</v>
          </cell>
          <cell r="E251" t="str">
            <v>SOJA</v>
          </cell>
          <cell r="F251" t="str">
            <v>NEO790 IPRO</v>
          </cell>
          <cell r="G251" t="str">
            <v>P1</v>
          </cell>
          <cell r="H251" t="str">
            <v>S1</v>
          </cell>
          <cell r="I251">
            <v>701</v>
          </cell>
          <cell r="J251" t="str">
            <v>Cam.B</v>
          </cell>
        </row>
        <row r="252">
          <cell r="C252" t="str">
            <v>11026714P2252</v>
          </cell>
          <cell r="D252" t="str">
            <v>PA154000045</v>
          </cell>
          <cell r="E252" t="str">
            <v>SOJA</v>
          </cell>
          <cell r="F252" t="str">
            <v>NEO790 IPRO</v>
          </cell>
          <cell r="G252" t="str">
            <v>P2</v>
          </cell>
          <cell r="H252" t="str">
            <v>S1</v>
          </cell>
          <cell r="I252">
            <v>887</v>
          </cell>
          <cell r="J252" t="str">
            <v>Cam.B</v>
          </cell>
        </row>
        <row r="253">
          <cell r="C253" t="str">
            <v>11026714P1253</v>
          </cell>
          <cell r="D253" t="str">
            <v>PA154000045</v>
          </cell>
          <cell r="E253" t="str">
            <v>SOJA</v>
          </cell>
          <cell r="F253" t="str">
            <v>NEO790 IPRO</v>
          </cell>
          <cell r="G253" t="str">
            <v>P1</v>
          </cell>
          <cell r="H253" t="str">
            <v>S1</v>
          </cell>
          <cell r="I253">
            <v>700</v>
          </cell>
          <cell r="J253" t="str">
            <v>Cam.B</v>
          </cell>
        </row>
        <row r="254">
          <cell r="C254" t="str">
            <v>11026714P2254</v>
          </cell>
          <cell r="D254" t="str">
            <v>PA154000045</v>
          </cell>
          <cell r="E254" t="str">
            <v>SOJA</v>
          </cell>
          <cell r="F254" t="str">
            <v>NEO790 IPRO</v>
          </cell>
          <cell r="G254" t="str">
            <v>P2</v>
          </cell>
          <cell r="H254" t="str">
            <v>S1</v>
          </cell>
          <cell r="I254">
            <v>904</v>
          </cell>
          <cell r="J254" t="str">
            <v>Cam.B</v>
          </cell>
        </row>
        <row r="255">
          <cell r="C255" t="str">
            <v>11026714P2255</v>
          </cell>
          <cell r="D255" t="str">
            <v>PA154000045</v>
          </cell>
          <cell r="E255" t="str">
            <v>SOJA</v>
          </cell>
          <cell r="F255" t="str">
            <v>NEO790 IPRO</v>
          </cell>
          <cell r="G255" t="str">
            <v>P2</v>
          </cell>
          <cell r="H255" t="str">
            <v>S1</v>
          </cell>
          <cell r="I255">
            <v>920</v>
          </cell>
          <cell r="J255" t="str">
            <v>Cam.B</v>
          </cell>
        </row>
        <row r="256">
          <cell r="C256" t="str">
            <v>11026714P1256</v>
          </cell>
          <cell r="D256" t="str">
            <v>PA154000045</v>
          </cell>
          <cell r="E256" t="str">
            <v>SOJA</v>
          </cell>
          <cell r="F256" t="str">
            <v>NEO790 IPRO</v>
          </cell>
          <cell r="G256" t="str">
            <v>P1</v>
          </cell>
          <cell r="H256" t="str">
            <v>S1</v>
          </cell>
          <cell r="I256">
            <v>708</v>
          </cell>
          <cell r="J256" t="str">
            <v>Cam.B</v>
          </cell>
        </row>
        <row r="257">
          <cell r="C257" t="str">
            <v>11026714P2257</v>
          </cell>
          <cell r="D257" t="str">
            <v>PA154000045</v>
          </cell>
          <cell r="E257" t="str">
            <v>SOJA</v>
          </cell>
          <cell r="F257" t="str">
            <v>NEO790 IPRO</v>
          </cell>
          <cell r="G257" t="str">
            <v>P2</v>
          </cell>
          <cell r="H257" t="str">
            <v>S1</v>
          </cell>
          <cell r="I257">
            <v>894</v>
          </cell>
          <cell r="J257" t="str">
            <v>Cam.B</v>
          </cell>
        </row>
        <row r="258">
          <cell r="C258" t="str">
            <v>11026714P2258</v>
          </cell>
          <cell r="D258" t="str">
            <v>PA154000045</v>
          </cell>
          <cell r="E258" t="str">
            <v>SOJA</v>
          </cell>
          <cell r="F258" t="str">
            <v>NEO790 IPRO</v>
          </cell>
          <cell r="G258" t="str">
            <v>P2</v>
          </cell>
          <cell r="H258" t="str">
            <v>S1</v>
          </cell>
          <cell r="I258">
            <v>903</v>
          </cell>
          <cell r="J258" t="str">
            <v>Cam.B</v>
          </cell>
        </row>
        <row r="259">
          <cell r="C259" t="str">
            <v>11026714P1259</v>
          </cell>
          <cell r="D259" t="str">
            <v>PA154000045</v>
          </cell>
          <cell r="E259" t="str">
            <v>SOJA</v>
          </cell>
          <cell r="F259" t="str">
            <v>NEO790 IPRO</v>
          </cell>
          <cell r="G259" t="str">
            <v>P1</v>
          </cell>
          <cell r="H259" t="str">
            <v>S1</v>
          </cell>
          <cell r="I259">
            <v>702</v>
          </cell>
          <cell r="J259" t="str">
            <v>Cam.B</v>
          </cell>
        </row>
        <row r="260">
          <cell r="C260" t="str">
            <v>11026714P2260</v>
          </cell>
          <cell r="D260" t="str">
            <v>PA154000045</v>
          </cell>
          <cell r="E260" t="str">
            <v>SOJA</v>
          </cell>
          <cell r="F260" t="str">
            <v>NEO790 IPRO</v>
          </cell>
          <cell r="G260" t="str">
            <v>P2</v>
          </cell>
          <cell r="H260" t="str">
            <v>S1</v>
          </cell>
          <cell r="I260">
            <v>918</v>
          </cell>
          <cell r="J260" t="str">
            <v>Cam.B</v>
          </cell>
        </row>
        <row r="261">
          <cell r="C261" t="str">
            <v>11026714P1261</v>
          </cell>
          <cell r="D261" t="str">
            <v>PA154000045</v>
          </cell>
          <cell r="E261" t="str">
            <v>SOJA</v>
          </cell>
          <cell r="F261" t="str">
            <v>NEO790 IPRO</v>
          </cell>
          <cell r="G261" t="str">
            <v>P1</v>
          </cell>
          <cell r="H261" t="str">
            <v>S1</v>
          </cell>
          <cell r="I261">
            <v>692</v>
          </cell>
          <cell r="J261" t="str">
            <v>Cam.B</v>
          </cell>
        </row>
        <row r="262">
          <cell r="C262" t="str">
            <v>11026714P2262</v>
          </cell>
          <cell r="D262" t="str">
            <v>PA154000045</v>
          </cell>
          <cell r="E262" t="str">
            <v>SOJA</v>
          </cell>
          <cell r="F262" t="str">
            <v>NEO790 IPRO</v>
          </cell>
          <cell r="G262" t="str">
            <v>P2</v>
          </cell>
          <cell r="H262" t="str">
            <v>S1</v>
          </cell>
          <cell r="I262">
            <v>884</v>
          </cell>
          <cell r="J262" t="str">
            <v>Cam.B</v>
          </cell>
        </row>
        <row r="263">
          <cell r="C263" t="str">
            <v>11026714P1263</v>
          </cell>
          <cell r="D263" t="str">
            <v>PA154000045</v>
          </cell>
          <cell r="E263" t="str">
            <v>SOJA</v>
          </cell>
          <cell r="F263" t="str">
            <v>NEO790 IPRO</v>
          </cell>
          <cell r="G263" t="str">
            <v>P1</v>
          </cell>
          <cell r="H263" t="str">
            <v>S1</v>
          </cell>
          <cell r="I263">
            <v>705</v>
          </cell>
          <cell r="J263" t="str">
            <v>Cam.B</v>
          </cell>
        </row>
        <row r="264">
          <cell r="C264" t="str">
            <v>11026714P2264</v>
          </cell>
          <cell r="D264" t="str">
            <v>PA154000045</v>
          </cell>
          <cell r="E264" t="str">
            <v>SOJA</v>
          </cell>
          <cell r="F264" t="str">
            <v>NEO790 IPRO</v>
          </cell>
          <cell r="G264" t="str">
            <v>P2</v>
          </cell>
          <cell r="H264" t="str">
            <v>S1</v>
          </cell>
          <cell r="I264">
            <v>901</v>
          </cell>
          <cell r="J264" t="str">
            <v>Cam.B</v>
          </cell>
        </row>
        <row r="265">
          <cell r="C265" t="str">
            <v>11026714P2265</v>
          </cell>
          <cell r="D265" t="str">
            <v>PA154000045</v>
          </cell>
          <cell r="E265" t="str">
            <v>SOJA</v>
          </cell>
          <cell r="F265" t="str">
            <v>NEO790 IPRO</v>
          </cell>
          <cell r="G265" t="str">
            <v>P2</v>
          </cell>
          <cell r="H265" t="str">
            <v>S1</v>
          </cell>
          <cell r="I265">
            <v>896</v>
          </cell>
          <cell r="J265" t="str">
            <v>Cam.B</v>
          </cell>
        </row>
        <row r="266">
          <cell r="C266" t="str">
            <v>11026714P1266</v>
          </cell>
          <cell r="D266" t="str">
            <v>PA154000045</v>
          </cell>
          <cell r="E266" t="str">
            <v>SOJA</v>
          </cell>
          <cell r="F266" t="str">
            <v>NEO790 IPRO</v>
          </cell>
          <cell r="G266" t="str">
            <v>P1</v>
          </cell>
          <cell r="H266" t="str">
            <v>S1</v>
          </cell>
          <cell r="I266">
            <v>710</v>
          </cell>
          <cell r="J266" t="str">
            <v>Cam.B</v>
          </cell>
        </row>
        <row r="267">
          <cell r="C267" t="str">
            <v>11026714P2267</v>
          </cell>
          <cell r="D267" t="str">
            <v>PA154000045</v>
          </cell>
          <cell r="E267" t="str">
            <v>SOJA</v>
          </cell>
          <cell r="F267" t="str">
            <v>NEO790 IPRO</v>
          </cell>
          <cell r="G267" t="str">
            <v>P2</v>
          </cell>
          <cell r="H267" t="str">
            <v>S1</v>
          </cell>
          <cell r="I267">
            <v>925</v>
          </cell>
          <cell r="J267" t="str">
            <v>Cam.B</v>
          </cell>
        </row>
        <row r="268">
          <cell r="C268" t="str">
            <v>11026273P1268</v>
          </cell>
          <cell r="D268" t="str">
            <v>PA154000766</v>
          </cell>
          <cell r="E268" t="str">
            <v>SOJA</v>
          </cell>
          <cell r="F268" t="str">
            <v>NEO800 I2X</v>
          </cell>
          <cell r="G268" t="str">
            <v>P1</v>
          </cell>
          <cell r="H268" t="str">
            <v>S1</v>
          </cell>
          <cell r="I268">
            <v>629</v>
          </cell>
          <cell r="J268" t="str">
            <v>Cam.B</v>
          </cell>
        </row>
        <row r="269">
          <cell r="C269" t="str">
            <v>11026273P2269</v>
          </cell>
          <cell r="D269" t="str">
            <v>PA154000766</v>
          </cell>
          <cell r="E269" t="str">
            <v>SOJA</v>
          </cell>
          <cell r="F269" t="str">
            <v>NEO800 I2X</v>
          </cell>
          <cell r="G269" t="str">
            <v>P2</v>
          </cell>
          <cell r="H269" t="str">
            <v>S1</v>
          </cell>
          <cell r="I269">
            <v>814</v>
          </cell>
          <cell r="J269" t="str">
            <v>Cam.B</v>
          </cell>
        </row>
        <row r="270">
          <cell r="C270" t="str">
            <v>11026273P1270</v>
          </cell>
          <cell r="D270" t="str">
            <v>PA154000766</v>
          </cell>
          <cell r="E270" t="str">
            <v>SOJA</v>
          </cell>
          <cell r="F270" t="str">
            <v>NEO800 I2X</v>
          </cell>
          <cell r="G270" t="str">
            <v>P1</v>
          </cell>
          <cell r="H270" t="str">
            <v>S1</v>
          </cell>
          <cell r="I270">
            <v>651</v>
          </cell>
          <cell r="J270" t="str">
            <v>Cam.B</v>
          </cell>
        </row>
        <row r="271">
          <cell r="C271" t="str">
            <v>11026273P2271</v>
          </cell>
          <cell r="D271" t="str">
            <v>PA154000766</v>
          </cell>
          <cell r="E271" t="str">
            <v>SOJA</v>
          </cell>
          <cell r="F271" t="str">
            <v>NEO800 I2X</v>
          </cell>
          <cell r="G271" t="str">
            <v>P2</v>
          </cell>
          <cell r="H271" t="str">
            <v>S1</v>
          </cell>
          <cell r="I271">
            <v>834</v>
          </cell>
          <cell r="J271" t="str">
            <v>Cam.B</v>
          </cell>
        </row>
        <row r="272">
          <cell r="C272" t="str">
            <v>11026273P1272</v>
          </cell>
          <cell r="D272" t="str">
            <v>PA154000766</v>
          </cell>
          <cell r="E272" t="str">
            <v>SOJA</v>
          </cell>
          <cell r="F272" t="str">
            <v>NEO800 I2X</v>
          </cell>
          <cell r="G272" t="str">
            <v>P1</v>
          </cell>
          <cell r="H272" t="str">
            <v>S1</v>
          </cell>
          <cell r="I272">
            <v>628</v>
          </cell>
          <cell r="J272" t="str">
            <v>Cam.B</v>
          </cell>
        </row>
        <row r="273">
          <cell r="C273" t="str">
            <v>11026273P2273</v>
          </cell>
          <cell r="D273" t="str">
            <v>PA154000766</v>
          </cell>
          <cell r="E273" t="str">
            <v>SOJA</v>
          </cell>
          <cell r="F273" t="str">
            <v>NEO800 I2X</v>
          </cell>
          <cell r="G273" t="str">
            <v>P2</v>
          </cell>
          <cell r="H273" t="str">
            <v>S1</v>
          </cell>
          <cell r="I273">
            <v>828</v>
          </cell>
          <cell r="J273" t="str">
            <v>Cam.B</v>
          </cell>
        </row>
        <row r="274">
          <cell r="C274" t="str">
            <v>11026273P1274</v>
          </cell>
          <cell r="D274" t="str">
            <v>PA154000766</v>
          </cell>
          <cell r="E274" t="str">
            <v>SOJA</v>
          </cell>
          <cell r="F274" t="str">
            <v>NEO800 I2X</v>
          </cell>
          <cell r="G274" t="str">
            <v>P1</v>
          </cell>
          <cell r="H274" t="str">
            <v>S1</v>
          </cell>
          <cell r="I274">
            <v>649</v>
          </cell>
          <cell r="J274" t="str">
            <v>Cam.B</v>
          </cell>
        </row>
        <row r="275">
          <cell r="C275" t="str">
            <v>11026273P2275</v>
          </cell>
          <cell r="D275" t="str">
            <v>PA154000766</v>
          </cell>
          <cell r="E275" t="str">
            <v>SOJA</v>
          </cell>
          <cell r="F275" t="str">
            <v>NEO800 I2X</v>
          </cell>
          <cell r="G275" t="str">
            <v>P2</v>
          </cell>
          <cell r="H275" t="str">
            <v>S1</v>
          </cell>
          <cell r="I275">
            <v>862</v>
          </cell>
          <cell r="J275" t="str">
            <v>Cam.B</v>
          </cell>
        </row>
        <row r="276">
          <cell r="C276" t="str">
            <v>11026273P1276</v>
          </cell>
          <cell r="D276" t="str">
            <v>PA154000766</v>
          </cell>
          <cell r="E276" t="str">
            <v>SOJA</v>
          </cell>
          <cell r="F276" t="str">
            <v>NEO800 I2X</v>
          </cell>
          <cell r="G276" t="str">
            <v>P1</v>
          </cell>
          <cell r="H276" t="str">
            <v>S1</v>
          </cell>
          <cell r="I276">
            <v>664</v>
          </cell>
          <cell r="J276" t="str">
            <v>Cam.B</v>
          </cell>
        </row>
        <row r="277">
          <cell r="C277" t="str">
            <v>11026273P2277</v>
          </cell>
          <cell r="D277" t="str">
            <v>PA154000766</v>
          </cell>
          <cell r="E277" t="str">
            <v>SOJA</v>
          </cell>
          <cell r="F277" t="str">
            <v>NEO800 I2X</v>
          </cell>
          <cell r="G277" t="str">
            <v>P2</v>
          </cell>
          <cell r="H277" t="str">
            <v>S1</v>
          </cell>
          <cell r="I277">
            <v>852</v>
          </cell>
          <cell r="J277" t="str">
            <v>Cam.B</v>
          </cell>
        </row>
        <row r="278">
          <cell r="C278" t="str">
            <v>11026273P1278</v>
          </cell>
          <cell r="D278" t="str">
            <v>PA154000766</v>
          </cell>
          <cell r="E278" t="str">
            <v>SOJA</v>
          </cell>
          <cell r="F278" t="str">
            <v>NEO800 I2X</v>
          </cell>
          <cell r="G278" t="str">
            <v>P1</v>
          </cell>
          <cell r="H278" t="str">
            <v>S1</v>
          </cell>
          <cell r="I278">
            <v>645</v>
          </cell>
          <cell r="J278" t="str">
            <v>Cam.B</v>
          </cell>
        </row>
        <row r="279">
          <cell r="C279" t="str">
            <v>11026273P2279</v>
          </cell>
          <cell r="D279" t="str">
            <v>PA154000766</v>
          </cell>
          <cell r="E279" t="str">
            <v>SOJA</v>
          </cell>
          <cell r="F279" t="str">
            <v>NEO800 I2X</v>
          </cell>
          <cell r="G279" t="str">
            <v>P2</v>
          </cell>
          <cell r="H279" t="str">
            <v>S1</v>
          </cell>
          <cell r="I279">
            <v>835</v>
          </cell>
          <cell r="J279" t="str">
            <v>Cam.B</v>
          </cell>
        </row>
        <row r="280">
          <cell r="C280" t="str">
            <v>11026273P2280</v>
          </cell>
          <cell r="D280" t="str">
            <v>PA154000766</v>
          </cell>
          <cell r="E280" t="str">
            <v>SOJA</v>
          </cell>
          <cell r="F280" t="str">
            <v>NEO800 I2X</v>
          </cell>
          <cell r="G280" t="str">
            <v>P2</v>
          </cell>
          <cell r="H280" t="str">
            <v>S1</v>
          </cell>
          <cell r="I280">
            <v>826</v>
          </cell>
          <cell r="J280" t="str">
            <v>Cam.B</v>
          </cell>
        </row>
        <row r="281">
          <cell r="C281" t="str">
            <v>11026757P1282</v>
          </cell>
          <cell r="D281" t="str">
            <v>PA154001107</v>
          </cell>
          <cell r="E281" t="str">
            <v>SOJA</v>
          </cell>
          <cell r="F281" t="str">
            <v>NEO780 CE</v>
          </cell>
          <cell r="G281" t="str">
            <v>P1</v>
          </cell>
          <cell r="H281" t="str">
            <v>C1</v>
          </cell>
          <cell r="I281">
            <v>729</v>
          </cell>
          <cell r="J281" t="str">
            <v>Cam.B</v>
          </cell>
        </row>
        <row r="282">
          <cell r="C282" t="str">
            <v>11026757P2283</v>
          </cell>
          <cell r="D282" t="str">
            <v>PA154001107</v>
          </cell>
          <cell r="E282" t="str">
            <v>SOJA</v>
          </cell>
          <cell r="F282" t="str">
            <v>NEO780 CE</v>
          </cell>
          <cell r="G282" t="str">
            <v>P2</v>
          </cell>
          <cell r="H282" t="str">
            <v>C1</v>
          </cell>
          <cell r="I282">
            <v>929</v>
          </cell>
          <cell r="J282" t="str">
            <v>Cam.B</v>
          </cell>
        </row>
        <row r="283">
          <cell r="C283" t="str">
            <v>11026757P2284</v>
          </cell>
          <cell r="D283" t="str">
            <v>PA154001107</v>
          </cell>
          <cell r="E283" t="str">
            <v>SOJA</v>
          </cell>
          <cell r="F283" t="str">
            <v>NEO780 CE</v>
          </cell>
          <cell r="G283" t="str">
            <v>P2</v>
          </cell>
          <cell r="H283" t="str">
            <v>C1</v>
          </cell>
          <cell r="I283">
            <v>913</v>
          </cell>
          <cell r="J283" t="str">
            <v>Cam.B</v>
          </cell>
        </row>
        <row r="284">
          <cell r="C284" t="str">
            <v>11026757P1285</v>
          </cell>
          <cell r="D284" t="str">
            <v>PA154001107</v>
          </cell>
          <cell r="E284" t="str">
            <v>SOJA</v>
          </cell>
          <cell r="F284" t="str">
            <v>NEO780 CE</v>
          </cell>
          <cell r="G284" t="str">
            <v>P1</v>
          </cell>
          <cell r="H284" t="str">
            <v>C1</v>
          </cell>
          <cell r="I284">
            <v>760</v>
          </cell>
          <cell r="J284" t="str">
            <v>Cam.B</v>
          </cell>
        </row>
        <row r="285">
          <cell r="C285"/>
          <cell r="D285"/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/>
        </row>
        <row r="286">
          <cell r="C286" t="str">
            <v>11026757P2287</v>
          </cell>
          <cell r="D286" t="str">
            <v>PA154001107</v>
          </cell>
          <cell r="E286" t="str">
            <v>SOJA</v>
          </cell>
          <cell r="F286" t="str">
            <v>NEO780 CE</v>
          </cell>
          <cell r="G286" t="str">
            <v>P2</v>
          </cell>
          <cell r="H286" t="str">
            <v>C1</v>
          </cell>
          <cell r="I286">
            <v>900</v>
          </cell>
          <cell r="J286" t="str">
            <v>Cam.B</v>
          </cell>
        </row>
        <row r="287">
          <cell r="C287" t="str">
            <v>11026757P1288</v>
          </cell>
          <cell r="D287" t="str">
            <v>PA154001107</v>
          </cell>
          <cell r="E287" t="str">
            <v>SOJA</v>
          </cell>
          <cell r="F287" t="str">
            <v>NEO780 CE</v>
          </cell>
          <cell r="G287" t="str">
            <v>P1</v>
          </cell>
          <cell r="H287" t="str">
            <v>C1</v>
          </cell>
          <cell r="I287">
            <v>733</v>
          </cell>
          <cell r="J287" t="str">
            <v>Cam.B</v>
          </cell>
        </row>
        <row r="288">
          <cell r="C288" t="str">
            <v>11026764P2289</v>
          </cell>
          <cell r="D288" t="str">
            <v>PA154001158</v>
          </cell>
          <cell r="E288" t="str">
            <v>SOJA</v>
          </cell>
          <cell r="F288" t="str">
            <v>NEO791 CE</v>
          </cell>
          <cell r="G288" t="str">
            <v>P2</v>
          </cell>
          <cell r="H288" t="str">
            <v>C1</v>
          </cell>
          <cell r="I288">
            <v>712</v>
          </cell>
          <cell r="J288" t="str">
            <v>Cam.B</v>
          </cell>
        </row>
        <row r="289">
          <cell r="C289" t="str">
            <v>11026764P2291</v>
          </cell>
          <cell r="D289" t="str">
            <v>PA154001158</v>
          </cell>
          <cell r="E289" t="str">
            <v>SOJA</v>
          </cell>
          <cell r="F289" t="str">
            <v>NEO791 CE</v>
          </cell>
          <cell r="G289" t="str">
            <v>P2</v>
          </cell>
          <cell r="H289" t="str">
            <v>C1</v>
          </cell>
          <cell r="I289">
            <v>720</v>
          </cell>
          <cell r="J289" t="str">
            <v>Cam.B</v>
          </cell>
        </row>
        <row r="290">
          <cell r="C290" t="str">
            <v>11026764P1290</v>
          </cell>
          <cell r="D290" t="str">
            <v>PA154001158</v>
          </cell>
          <cell r="E290" t="str">
            <v>SOJA</v>
          </cell>
          <cell r="F290" t="str">
            <v>NEO791 CE</v>
          </cell>
          <cell r="G290" t="str">
            <v>P1</v>
          </cell>
          <cell r="H290" t="str">
            <v>C1</v>
          </cell>
          <cell r="I290">
            <v>583</v>
          </cell>
          <cell r="J290" t="str">
            <v>Cam.B</v>
          </cell>
        </row>
        <row r="291">
          <cell r="C291" t="str">
            <v>11026764P2292</v>
          </cell>
          <cell r="D291" t="str">
            <v>PA154001158</v>
          </cell>
          <cell r="E291" t="str">
            <v>SOJA</v>
          </cell>
          <cell r="F291" t="str">
            <v>NEO791 CE</v>
          </cell>
          <cell r="G291" t="str">
            <v>P2</v>
          </cell>
          <cell r="H291" t="str">
            <v>C1</v>
          </cell>
          <cell r="I291">
            <v>770</v>
          </cell>
          <cell r="J291" t="str">
            <v>Cam.B</v>
          </cell>
        </row>
        <row r="292">
          <cell r="C292" t="str">
            <v>11026764P2293</v>
          </cell>
          <cell r="D292" t="str">
            <v>PA154001158</v>
          </cell>
          <cell r="E292" t="str">
            <v>SOJA</v>
          </cell>
          <cell r="F292" t="str">
            <v>NEO791 CE</v>
          </cell>
          <cell r="G292" t="str">
            <v>P2</v>
          </cell>
          <cell r="H292" t="str">
            <v>C1</v>
          </cell>
          <cell r="I292">
            <v>718</v>
          </cell>
          <cell r="J292" t="str">
            <v>Cam.B</v>
          </cell>
        </row>
        <row r="293">
          <cell r="C293" t="str">
            <v>11026764P1294</v>
          </cell>
          <cell r="D293" t="str">
            <v>PA154001158</v>
          </cell>
          <cell r="E293" t="str">
            <v>SOJA</v>
          </cell>
          <cell r="F293" t="str">
            <v>NEO791 CE</v>
          </cell>
          <cell r="G293" t="str">
            <v>P1</v>
          </cell>
          <cell r="H293" t="str">
            <v>C1</v>
          </cell>
          <cell r="I293">
            <v>544</v>
          </cell>
          <cell r="J293" t="str">
            <v>Cam.B</v>
          </cell>
        </row>
        <row r="294">
          <cell r="C294" t="str">
            <v>11026764P2295</v>
          </cell>
          <cell r="D294" t="str">
            <v>PA154001158</v>
          </cell>
          <cell r="E294" t="str">
            <v>SOJA</v>
          </cell>
          <cell r="F294" t="str">
            <v>NEO791 CE</v>
          </cell>
          <cell r="G294" t="str">
            <v>P2</v>
          </cell>
          <cell r="H294" t="str">
            <v>C1</v>
          </cell>
          <cell r="I294">
            <v>720</v>
          </cell>
          <cell r="J294" t="str">
            <v>Cam.B</v>
          </cell>
        </row>
        <row r="295">
          <cell r="C295" t="str">
            <v>11026764P2296</v>
          </cell>
          <cell r="D295" t="str">
            <v>PA154001158</v>
          </cell>
          <cell r="E295" t="str">
            <v>SOJA</v>
          </cell>
          <cell r="F295" t="str">
            <v>NEO791 CE</v>
          </cell>
          <cell r="G295" t="str">
            <v>P2</v>
          </cell>
          <cell r="H295" t="str">
            <v>C1</v>
          </cell>
          <cell r="I295">
            <v>717</v>
          </cell>
          <cell r="J295" t="str">
            <v>Cam.B</v>
          </cell>
        </row>
        <row r="296">
          <cell r="C296" t="str">
            <v>11026764P2297</v>
          </cell>
          <cell r="D296" t="str">
            <v>PA154001158</v>
          </cell>
          <cell r="E296" t="str">
            <v>SOJA</v>
          </cell>
          <cell r="F296" t="str">
            <v>NEO791 CE</v>
          </cell>
          <cell r="G296" t="str">
            <v>P2</v>
          </cell>
          <cell r="H296" t="str">
            <v>C1</v>
          </cell>
          <cell r="I296">
            <v>725</v>
          </cell>
          <cell r="J296" t="str">
            <v>Cam.B</v>
          </cell>
        </row>
        <row r="297">
          <cell r="C297" t="str">
            <v>11026764P2298</v>
          </cell>
          <cell r="D297" t="str">
            <v>PA154001158</v>
          </cell>
          <cell r="E297" t="str">
            <v>SOJA</v>
          </cell>
          <cell r="F297" t="str">
            <v>NEO791 CE</v>
          </cell>
          <cell r="G297" t="str">
            <v>P2</v>
          </cell>
          <cell r="H297" t="str">
            <v>C1</v>
          </cell>
          <cell r="I297">
            <v>723</v>
          </cell>
          <cell r="J297" t="str">
            <v>Cam.B</v>
          </cell>
        </row>
        <row r="298">
          <cell r="C298" t="str">
            <v>11026764P1299</v>
          </cell>
          <cell r="D298" t="str">
            <v>PA154001158</v>
          </cell>
          <cell r="E298" t="str">
            <v>SOJA</v>
          </cell>
          <cell r="F298" t="str">
            <v>NEO791 CE</v>
          </cell>
          <cell r="G298" t="str">
            <v>P1</v>
          </cell>
          <cell r="H298" t="str">
            <v>C1</v>
          </cell>
          <cell r="I298">
            <v>553</v>
          </cell>
          <cell r="J298" t="str">
            <v>Cam.B</v>
          </cell>
        </row>
        <row r="299">
          <cell r="C299" t="str">
            <v>11026714P2300</v>
          </cell>
          <cell r="D299" t="str">
            <v>PA154000045</v>
          </cell>
          <cell r="E299" t="str">
            <v>SOJA</v>
          </cell>
          <cell r="F299" t="str">
            <v>NEO790 IPRO</v>
          </cell>
          <cell r="G299" t="str">
            <v>P2</v>
          </cell>
          <cell r="H299" t="str">
            <v>S1</v>
          </cell>
          <cell r="I299">
            <v>906</v>
          </cell>
          <cell r="J299" t="str">
            <v>Cam.B</v>
          </cell>
        </row>
        <row r="300">
          <cell r="C300" t="str">
            <v>11026714P1301</v>
          </cell>
          <cell r="D300" t="str">
            <v>PA154000045</v>
          </cell>
          <cell r="E300" t="str">
            <v>SOJA</v>
          </cell>
          <cell r="F300" t="str">
            <v>NEO790 IPRO</v>
          </cell>
          <cell r="G300" t="str">
            <v>P1</v>
          </cell>
          <cell r="H300" t="str">
            <v>S1</v>
          </cell>
          <cell r="I300">
            <v>702</v>
          </cell>
          <cell r="J300" t="str">
            <v>Cam.B</v>
          </cell>
        </row>
        <row r="301">
          <cell r="C301" t="str">
            <v>11026714P2302</v>
          </cell>
          <cell r="D301" t="str">
            <v>PA154000045</v>
          </cell>
          <cell r="E301" t="str">
            <v>SOJA</v>
          </cell>
          <cell r="F301" t="str">
            <v>NEO790 IPRO</v>
          </cell>
          <cell r="G301" t="str">
            <v>P2</v>
          </cell>
          <cell r="H301" t="str">
            <v>S1</v>
          </cell>
          <cell r="I301">
            <v>936</v>
          </cell>
          <cell r="J301" t="str">
            <v>Cam.B</v>
          </cell>
        </row>
        <row r="302">
          <cell r="C302" t="str">
            <v>11026714P2303</v>
          </cell>
          <cell r="D302" t="str">
            <v>PA154000045</v>
          </cell>
          <cell r="E302" t="str">
            <v>SOJA</v>
          </cell>
          <cell r="F302" t="str">
            <v>NEO790 IPRO</v>
          </cell>
          <cell r="G302" t="str">
            <v>P2</v>
          </cell>
          <cell r="H302" t="str">
            <v>S1</v>
          </cell>
          <cell r="I302">
            <v>920</v>
          </cell>
          <cell r="J302" t="str">
            <v>Cam.B</v>
          </cell>
        </row>
        <row r="303">
          <cell r="C303" t="str">
            <v>11026714P1304</v>
          </cell>
          <cell r="D303" t="str">
            <v>PA154000045</v>
          </cell>
          <cell r="E303" t="str">
            <v>SOJA</v>
          </cell>
          <cell r="F303" t="str">
            <v>NEO790 IPRO</v>
          </cell>
          <cell r="G303" t="str">
            <v>P1</v>
          </cell>
          <cell r="H303" t="str">
            <v>S1</v>
          </cell>
          <cell r="I303">
            <v>715</v>
          </cell>
          <cell r="J303" t="str">
            <v>Cam.B</v>
          </cell>
        </row>
        <row r="304">
          <cell r="C304" t="str">
            <v>11026273P1281</v>
          </cell>
          <cell r="D304" t="str">
            <v>PA154000766</v>
          </cell>
          <cell r="E304" t="str">
            <v>SOJA</v>
          </cell>
          <cell r="F304" t="str">
            <v>NEO800 I2X</v>
          </cell>
          <cell r="G304" t="str">
            <v>P1</v>
          </cell>
          <cell r="H304" t="str">
            <v>S1</v>
          </cell>
          <cell r="I304">
            <v>652</v>
          </cell>
          <cell r="J304" t="str">
            <v>Cam.B</v>
          </cell>
        </row>
        <row r="305">
          <cell r="C305" t="str">
            <v>11026273P2305</v>
          </cell>
          <cell r="D305" t="str">
            <v>PA154000766</v>
          </cell>
          <cell r="E305" t="str">
            <v>SOJA</v>
          </cell>
          <cell r="F305" t="str">
            <v>NEO800 I2X</v>
          </cell>
          <cell r="G305" t="str">
            <v>P2</v>
          </cell>
          <cell r="H305" t="str">
            <v>S1</v>
          </cell>
          <cell r="I305">
            <v>837</v>
          </cell>
          <cell r="J305" t="str">
            <v>Cam.B</v>
          </cell>
        </row>
        <row r="306">
          <cell r="C306" t="str">
            <v>11026273P1306</v>
          </cell>
          <cell r="D306" t="str">
            <v>PA154000766</v>
          </cell>
          <cell r="E306" t="str">
            <v>SOJA</v>
          </cell>
          <cell r="F306" t="str">
            <v>NEO800 I2X</v>
          </cell>
          <cell r="G306" t="str">
            <v>P1</v>
          </cell>
          <cell r="H306" t="str">
            <v>S1</v>
          </cell>
          <cell r="I306">
            <v>660</v>
          </cell>
          <cell r="J306" t="str">
            <v>Cam.B</v>
          </cell>
        </row>
        <row r="307">
          <cell r="C307" t="str">
            <v>11026273P2307</v>
          </cell>
          <cell r="D307" t="str">
            <v>PA154000766</v>
          </cell>
          <cell r="E307" t="str">
            <v>SOJA</v>
          </cell>
          <cell r="F307" t="str">
            <v>NEO800 I2X</v>
          </cell>
          <cell r="G307" t="str">
            <v>P2</v>
          </cell>
          <cell r="H307" t="str">
            <v>S1</v>
          </cell>
          <cell r="I307">
            <v>833</v>
          </cell>
          <cell r="J307" t="str">
            <v>Cam.B</v>
          </cell>
        </row>
        <row r="308">
          <cell r="C308" t="str">
            <v>11026273P1308</v>
          </cell>
          <cell r="D308" t="str">
            <v>PA154000766</v>
          </cell>
          <cell r="E308" t="str">
            <v>SOJA</v>
          </cell>
          <cell r="F308" t="str">
            <v>NEO800 I2X</v>
          </cell>
          <cell r="G308" t="str">
            <v>P1</v>
          </cell>
          <cell r="H308" t="str">
            <v>S1</v>
          </cell>
          <cell r="I308">
            <v>645</v>
          </cell>
          <cell r="J308" t="str">
            <v>Cam.B</v>
          </cell>
        </row>
        <row r="309">
          <cell r="C309" t="str">
            <v>11026273P2309</v>
          </cell>
          <cell r="D309" t="str">
            <v>PA154000766</v>
          </cell>
          <cell r="E309" t="str">
            <v>SOJA</v>
          </cell>
          <cell r="F309" t="str">
            <v>NEO800 I2X</v>
          </cell>
          <cell r="G309" t="str">
            <v>P2</v>
          </cell>
          <cell r="H309" t="str">
            <v>S1</v>
          </cell>
          <cell r="I309">
            <v>833</v>
          </cell>
          <cell r="J309" t="str">
            <v>Cam.C</v>
          </cell>
        </row>
        <row r="310">
          <cell r="C310" t="str">
            <v>11026273P2310</v>
          </cell>
          <cell r="D310" t="str">
            <v>PA154000766</v>
          </cell>
          <cell r="E310" t="str">
            <v>SOJA</v>
          </cell>
          <cell r="F310" t="str">
            <v>NEO800 I2X</v>
          </cell>
          <cell r="G310" t="str">
            <v>P2</v>
          </cell>
          <cell r="H310" t="str">
            <v>S1</v>
          </cell>
          <cell r="I310">
            <v>824</v>
          </cell>
          <cell r="J310" t="str">
            <v>Cam.B</v>
          </cell>
        </row>
        <row r="311">
          <cell r="C311" t="str">
            <v>11026273P1311</v>
          </cell>
          <cell r="D311" t="str">
            <v>PA154000766</v>
          </cell>
          <cell r="E311" t="str">
            <v>SOJA</v>
          </cell>
          <cell r="F311" t="str">
            <v>NEO800 I2X</v>
          </cell>
          <cell r="G311" t="str">
            <v>P1</v>
          </cell>
          <cell r="H311" t="str">
            <v>S1</v>
          </cell>
          <cell r="I311">
            <v>628</v>
          </cell>
          <cell r="J311" t="str">
            <v>Cam.C</v>
          </cell>
        </row>
        <row r="312">
          <cell r="C312" t="str">
            <v>11026273P1312</v>
          </cell>
          <cell r="D312" t="str">
            <v>PA154000766</v>
          </cell>
          <cell r="E312" t="str">
            <v>SOJA</v>
          </cell>
          <cell r="F312" t="str">
            <v>NEO800 I2X</v>
          </cell>
          <cell r="G312" t="str">
            <v>P1</v>
          </cell>
          <cell r="H312" t="str">
            <v>S1</v>
          </cell>
          <cell r="I312">
            <v>635</v>
          </cell>
          <cell r="J312" t="str">
            <v>Cam.C</v>
          </cell>
        </row>
        <row r="313">
          <cell r="C313" t="str">
            <v>11026273P2313</v>
          </cell>
          <cell r="D313" t="str">
            <v>PA154000766</v>
          </cell>
          <cell r="E313" t="str">
            <v>SOJA</v>
          </cell>
          <cell r="F313" t="str">
            <v>NEO800 I2X</v>
          </cell>
          <cell r="G313" t="str">
            <v>P2</v>
          </cell>
          <cell r="H313" t="str">
            <v>S1</v>
          </cell>
          <cell r="I313">
            <v>827</v>
          </cell>
          <cell r="J313" t="str">
            <v>Cam.C</v>
          </cell>
        </row>
        <row r="314">
          <cell r="C314" t="str">
            <v>11026273P2314</v>
          </cell>
          <cell r="D314" t="str">
            <v>PA154000766</v>
          </cell>
          <cell r="E314" t="str">
            <v>SOJA</v>
          </cell>
          <cell r="F314" t="str">
            <v>NEO800 I2X</v>
          </cell>
          <cell r="G314" t="str">
            <v>P2</v>
          </cell>
          <cell r="H314" t="str">
            <v>S1</v>
          </cell>
          <cell r="I314">
            <v>835</v>
          </cell>
          <cell r="J314" t="str">
            <v>Cam.B</v>
          </cell>
        </row>
        <row r="315">
          <cell r="C315" t="str">
            <v>11026273P1315</v>
          </cell>
          <cell r="D315" t="str">
            <v>PA154000766</v>
          </cell>
          <cell r="E315" t="str">
            <v>SOJA</v>
          </cell>
          <cell r="F315" t="str">
            <v>NEO800 I2X</v>
          </cell>
          <cell r="G315" t="str">
            <v>P1</v>
          </cell>
          <cell r="H315" t="str">
            <v>S1</v>
          </cell>
          <cell r="I315">
            <v>648</v>
          </cell>
          <cell r="J315" t="str">
            <v>Cam.C</v>
          </cell>
        </row>
        <row r="316">
          <cell r="C316" t="str">
            <v>11026273P2316</v>
          </cell>
          <cell r="D316" t="str">
            <v>PA154000766</v>
          </cell>
          <cell r="E316" t="str">
            <v>SOJA</v>
          </cell>
          <cell r="F316" t="str">
            <v>NEO800 I2X</v>
          </cell>
          <cell r="G316" t="str">
            <v>P2</v>
          </cell>
          <cell r="H316" t="str">
            <v>S1</v>
          </cell>
          <cell r="I316">
            <v>828</v>
          </cell>
          <cell r="J316" t="str">
            <v>Cam.C</v>
          </cell>
        </row>
        <row r="317">
          <cell r="C317" t="str">
            <v>11026273P1317</v>
          </cell>
          <cell r="D317" t="str">
            <v>PA154000766</v>
          </cell>
          <cell r="E317" t="str">
            <v>SOJA</v>
          </cell>
          <cell r="F317" t="str">
            <v>NEO800 I2X</v>
          </cell>
          <cell r="G317" t="str">
            <v>P1</v>
          </cell>
          <cell r="H317" t="str">
            <v>S1</v>
          </cell>
          <cell r="I317">
            <v>641</v>
          </cell>
          <cell r="J317" t="str">
            <v>Cam.C</v>
          </cell>
        </row>
        <row r="318">
          <cell r="C318" t="str">
            <v>11026273P2318</v>
          </cell>
          <cell r="D318" t="str">
            <v>PA154000766</v>
          </cell>
          <cell r="E318" t="str">
            <v>SOJA</v>
          </cell>
          <cell r="F318" t="str">
            <v>NEO800 I2X</v>
          </cell>
          <cell r="G318" t="str">
            <v>P2</v>
          </cell>
          <cell r="H318" t="str">
            <v>S1</v>
          </cell>
          <cell r="I318">
            <v>840</v>
          </cell>
          <cell r="J318" t="str">
            <v>Cam.C</v>
          </cell>
        </row>
        <row r="319">
          <cell r="C319" t="str">
            <v>11026273P2319</v>
          </cell>
          <cell r="D319" t="str">
            <v>PA154000766</v>
          </cell>
          <cell r="E319" t="str">
            <v>SOJA</v>
          </cell>
          <cell r="F319" t="str">
            <v>NEO800 I2X</v>
          </cell>
          <cell r="G319" t="str">
            <v>P2</v>
          </cell>
          <cell r="H319" t="str">
            <v>S1</v>
          </cell>
          <cell r="I319">
            <v>836</v>
          </cell>
          <cell r="J319" t="str">
            <v>Cam.B</v>
          </cell>
        </row>
        <row r="320">
          <cell r="C320" t="str">
            <v>11026273P1320</v>
          </cell>
          <cell r="D320" t="str">
            <v>PA154000766</v>
          </cell>
          <cell r="E320" t="str">
            <v>SOJA</v>
          </cell>
          <cell r="F320" t="str">
            <v>NEO800 I2X</v>
          </cell>
          <cell r="G320" t="str">
            <v>P1</v>
          </cell>
          <cell r="H320" t="str">
            <v>S1</v>
          </cell>
          <cell r="I320">
            <v>652</v>
          </cell>
          <cell r="J320" t="str">
            <v>Cam.B</v>
          </cell>
        </row>
        <row r="321">
          <cell r="C321" t="str">
            <v>11026739P2321</v>
          </cell>
          <cell r="D321" t="str">
            <v>PA154000537</v>
          </cell>
          <cell r="E321" t="str">
            <v>SOJA</v>
          </cell>
          <cell r="F321" t="str">
            <v>NEO700 I2X</v>
          </cell>
          <cell r="G321" t="str">
            <v>P2</v>
          </cell>
          <cell r="H321" t="str">
            <v>C2</v>
          </cell>
          <cell r="I321">
            <v>988</v>
          </cell>
          <cell r="J321" t="str">
            <v>Cam.C</v>
          </cell>
        </row>
        <row r="322">
          <cell r="C322" t="str">
            <v>11026739P1322</v>
          </cell>
          <cell r="D322" t="str">
            <v>PA154000537</v>
          </cell>
          <cell r="E322" t="str">
            <v>SOJA</v>
          </cell>
          <cell r="F322" t="str">
            <v>NEO700 I2X</v>
          </cell>
          <cell r="G322" t="str">
            <v>P1</v>
          </cell>
          <cell r="H322" t="str">
            <v>C2</v>
          </cell>
          <cell r="I322">
            <v>824</v>
          </cell>
          <cell r="J322" t="str">
            <v>Cam.C</v>
          </cell>
        </row>
        <row r="323">
          <cell r="C323" t="str">
            <v>11026739P2323</v>
          </cell>
          <cell r="D323" t="str">
            <v>PA154000537</v>
          </cell>
          <cell r="E323" t="str">
            <v>SOJA</v>
          </cell>
          <cell r="F323" t="str">
            <v>NEO700 I2X</v>
          </cell>
          <cell r="G323" t="str">
            <v>P2</v>
          </cell>
          <cell r="H323" t="str">
            <v>C2</v>
          </cell>
          <cell r="I323">
            <v>977</v>
          </cell>
          <cell r="J323" t="str">
            <v>Cam.C</v>
          </cell>
        </row>
        <row r="324">
          <cell r="C324"/>
          <cell r="D324"/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/>
        </row>
        <row r="325">
          <cell r="C325" t="str">
            <v>11026739P2325</v>
          </cell>
          <cell r="D325" t="str">
            <v>PA154000537</v>
          </cell>
          <cell r="E325" t="str">
            <v>SOJA</v>
          </cell>
          <cell r="F325" t="str">
            <v>NEO700 I2X</v>
          </cell>
          <cell r="G325" t="str">
            <v>P2</v>
          </cell>
          <cell r="H325" t="str">
            <v>C2</v>
          </cell>
          <cell r="I325">
            <v>986</v>
          </cell>
          <cell r="J325" t="str">
            <v>Cam.C</v>
          </cell>
        </row>
        <row r="326">
          <cell r="C326" t="str">
            <v>11026739P2326</v>
          </cell>
          <cell r="D326" t="str">
            <v>PA154000537</v>
          </cell>
          <cell r="E326" t="str">
            <v>SOJA</v>
          </cell>
          <cell r="F326" t="str">
            <v>NEO700 I2X</v>
          </cell>
          <cell r="G326" t="str">
            <v>P2</v>
          </cell>
          <cell r="H326" t="str">
            <v>C2</v>
          </cell>
          <cell r="I326">
            <v>983</v>
          </cell>
          <cell r="J326" t="str">
            <v>Cam.C</v>
          </cell>
        </row>
        <row r="327">
          <cell r="C327"/>
          <cell r="D327"/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/>
        </row>
        <row r="328">
          <cell r="C328"/>
          <cell r="D328"/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/>
        </row>
        <row r="329">
          <cell r="C329" t="str">
            <v>11026739P1329</v>
          </cell>
          <cell r="D329" t="str">
            <v>PA154000537</v>
          </cell>
          <cell r="E329" t="str">
            <v>SOJA</v>
          </cell>
          <cell r="F329" t="str">
            <v>NEO700 I2X</v>
          </cell>
          <cell r="G329" t="str">
            <v>P1</v>
          </cell>
          <cell r="H329" t="str">
            <v>C2</v>
          </cell>
          <cell r="I329">
            <v>822</v>
          </cell>
          <cell r="J329" t="str">
            <v>Cam.C</v>
          </cell>
        </row>
        <row r="330">
          <cell r="C330" t="str">
            <v>11026739P2330</v>
          </cell>
          <cell r="D330" t="str">
            <v>PA154000537</v>
          </cell>
          <cell r="E330" t="str">
            <v>SOJA</v>
          </cell>
          <cell r="F330" t="str">
            <v>NEO700 I2X</v>
          </cell>
          <cell r="G330" t="str">
            <v>P2</v>
          </cell>
          <cell r="H330" t="str">
            <v>S2</v>
          </cell>
          <cell r="I330">
            <v>955</v>
          </cell>
          <cell r="J330" t="str">
            <v>Cam.C</v>
          </cell>
        </row>
        <row r="331">
          <cell r="C331" t="str">
            <v>11026739P2331</v>
          </cell>
          <cell r="D331" t="str">
            <v>PA154000537</v>
          </cell>
          <cell r="E331" t="str">
            <v>SOJA</v>
          </cell>
          <cell r="F331" t="str">
            <v>NEO700 I2X</v>
          </cell>
          <cell r="G331" t="str">
            <v>P2</v>
          </cell>
          <cell r="H331" t="str">
            <v>S2</v>
          </cell>
          <cell r="I331">
            <v>939</v>
          </cell>
          <cell r="J331" t="str">
            <v>Cam.C</v>
          </cell>
        </row>
        <row r="332">
          <cell r="C332" t="str">
            <v>11026739P1332</v>
          </cell>
          <cell r="D332" t="str">
            <v>PA154000537</v>
          </cell>
          <cell r="E332" t="str">
            <v>SOJA</v>
          </cell>
          <cell r="F332" t="str">
            <v>NEO700 I2X</v>
          </cell>
          <cell r="G332" t="str">
            <v>P1</v>
          </cell>
          <cell r="H332" t="str">
            <v>S2</v>
          </cell>
          <cell r="I332">
            <v>828</v>
          </cell>
          <cell r="J332" t="str">
            <v>Cam.C</v>
          </cell>
        </row>
        <row r="333">
          <cell r="C333" t="str">
            <v>11026739P2333</v>
          </cell>
          <cell r="D333" t="str">
            <v>PA154000537</v>
          </cell>
          <cell r="E333" t="str">
            <v>SOJA</v>
          </cell>
          <cell r="F333" t="str">
            <v>NEO700 I2X</v>
          </cell>
          <cell r="G333" t="str">
            <v>P2</v>
          </cell>
          <cell r="H333" t="str">
            <v>S2</v>
          </cell>
          <cell r="I333">
            <v>970</v>
          </cell>
          <cell r="J333" t="str">
            <v>Cam.C</v>
          </cell>
        </row>
        <row r="334">
          <cell r="C334" t="str">
            <v>11026739P2334</v>
          </cell>
          <cell r="D334" t="str">
            <v>PA154000537</v>
          </cell>
          <cell r="E334" t="str">
            <v>SOJA</v>
          </cell>
          <cell r="F334" t="str">
            <v>NEO700 I2X</v>
          </cell>
          <cell r="G334" t="str">
            <v>P2</v>
          </cell>
          <cell r="H334" t="str">
            <v>S2</v>
          </cell>
          <cell r="I334">
            <v>985</v>
          </cell>
          <cell r="J334" t="str">
            <v>Cam.C</v>
          </cell>
        </row>
        <row r="335">
          <cell r="C335" t="str">
            <v>11026739P2335</v>
          </cell>
          <cell r="D335" t="str">
            <v>PA154000537</v>
          </cell>
          <cell r="E335" t="str">
            <v>SOJA</v>
          </cell>
          <cell r="F335" t="str">
            <v>NEO700 I2X</v>
          </cell>
          <cell r="G335" t="str">
            <v>P2</v>
          </cell>
          <cell r="H335" t="str">
            <v>S2</v>
          </cell>
          <cell r="I335">
            <v>989</v>
          </cell>
          <cell r="J335" t="str">
            <v>Cam.C</v>
          </cell>
        </row>
        <row r="336">
          <cell r="C336" t="str">
            <v>11026755P1336</v>
          </cell>
          <cell r="D336" t="str">
            <v>PA154001051</v>
          </cell>
          <cell r="E336" t="str">
            <v>SOJA</v>
          </cell>
          <cell r="F336" t="str">
            <v>M 7535 I2X</v>
          </cell>
          <cell r="G336" t="str">
            <v>P1</v>
          </cell>
          <cell r="H336" t="str">
            <v>C1</v>
          </cell>
          <cell r="I336">
            <v>752</v>
          </cell>
          <cell r="J336" t="str">
            <v>Cam.C</v>
          </cell>
        </row>
        <row r="337">
          <cell r="C337" t="str">
            <v>11026755P2337</v>
          </cell>
          <cell r="D337" t="str">
            <v>PA154001051</v>
          </cell>
          <cell r="E337" t="str">
            <v>SOJA</v>
          </cell>
          <cell r="F337" t="str">
            <v>M 7535 I2X</v>
          </cell>
          <cell r="G337" t="str">
            <v>P2</v>
          </cell>
          <cell r="H337" t="str">
            <v>C1</v>
          </cell>
          <cell r="I337">
            <v>888</v>
          </cell>
          <cell r="J337" t="str">
            <v>Cam.C</v>
          </cell>
        </row>
        <row r="338">
          <cell r="C338" t="str">
            <v>11026755P2338</v>
          </cell>
          <cell r="D338" t="str">
            <v>PA154001051</v>
          </cell>
          <cell r="E338" t="str">
            <v>SOJA</v>
          </cell>
          <cell r="F338" t="str">
            <v>M 7535 I2X</v>
          </cell>
          <cell r="G338" t="str">
            <v>P2</v>
          </cell>
          <cell r="H338" t="str">
            <v>C1</v>
          </cell>
          <cell r="I338">
            <v>889</v>
          </cell>
          <cell r="J338" t="str">
            <v>Cam.C</v>
          </cell>
        </row>
        <row r="339">
          <cell r="C339" t="str">
            <v>11026755P1339</v>
          </cell>
          <cell r="D339" t="str">
            <v>PA154001051</v>
          </cell>
          <cell r="E339" t="str">
            <v>SOJA</v>
          </cell>
          <cell r="F339" t="str">
            <v>M 7535 I2X</v>
          </cell>
          <cell r="G339" t="str">
            <v>P1</v>
          </cell>
          <cell r="H339" t="str">
            <v>C1</v>
          </cell>
          <cell r="I339">
            <v>746</v>
          </cell>
          <cell r="J339" t="str">
            <v>Cam.C</v>
          </cell>
        </row>
        <row r="340">
          <cell r="C340" t="str">
            <v>11026755P2340</v>
          </cell>
          <cell r="D340" t="str">
            <v>PA154001051</v>
          </cell>
          <cell r="E340" t="str">
            <v>SOJA</v>
          </cell>
          <cell r="F340" t="str">
            <v>M 7535 I2X</v>
          </cell>
          <cell r="G340" t="str">
            <v>P2</v>
          </cell>
          <cell r="H340" t="str">
            <v>C1</v>
          </cell>
          <cell r="I340">
            <v>878</v>
          </cell>
          <cell r="J340" t="str">
            <v>Cam.C</v>
          </cell>
        </row>
        <row r="341">
          <cell r="C341" t="str">
            <v>11026715P2159</v>
          </cell>
          <cell r="D341" t="str">
            <v>PA154000523</v>
          </cell>
          <cell r="E341" t="str">
            <v>SOJA</v>
          </cell>
          <cell r="F341" t="str">
            <v>NEO761 I2X</v>
          </cell>
          <cell r="G341" t="str">
            <v>P2</v>
          </cell>
          <cell r="H341" t="str">
            <v>S2</v>
          </cell>
          <cell r="I341">
            <v>1062</v>
          </cell>
          <cell r="J341" t="str">
            <v>Cam.A</v>
          </cell>
        </row>
        <row r="342">
          <cell r="C342" t="str">
            <v>61526714P2035</v>
          </cell>
          <cell r="D342" t="str">
            <v>PA154000045</v>
          </cell>
          <cell r="E342" t="str">
            <v>SOJA</v>
          </cell>
          <cell r="F342" t="str">
            <v>NEO790 IPRO</v>
          </cell>
          <cell r="G342" t="str">
            <v>P2</v>
          </cell>
          <cell r="H342" t="str">
            <v>S1</v>
          </cell>
          <cell r="I342">
            <v>991</v>
          </cell>
          <cell r="J342" t="str">
            <v>Cam.A</v>
          </cell>
        </row>
        <row r="343">
          <cell r="C343" t="str">
            <v>61526714P1061</v>
          </cell>
          <cell r="D343" t="str">
            <v>PA154000045</v>
          </cell>
          <cell r="E343" t="str">
            <v>SOJA</v>
          </cell>
          <cell r="F343" t="str">
            <v>NEO790 IPRO</v>
          </cell>
          <cell r="G343" t="str">
            <v>P1</v>
          </cell>
          <cell r="H343" t="str">
            <v>S1</v>
          </cell>
          <cell r="I343">
            <v>779</v>
          </cell>
          <cell r="J343" t="str">
            <v>Cam.A</v>
          </cell>
        </row>
        <row r="344">
          <cell r="C344" t="str">
            <v>61526763P1121</v>
          </cell>
          <cell r="D344" t="str">
            <v>PA154001161</v>
          </cell>
          <cell r="E344" t="str">
            <v>SOJA</v>
          </cell>
          <cell r="F344" t="str">
            <v>NEO821 I2X</v>
          </cell>
          <cell r="G344" t="str">
            <v>P1</v>
          </cell>
          <cell r="H344" t="str">
            <v>C1</v>
          </cell>
          <cell r="I344">
            <v>808</v>
          </cell>
          <cell r="J344" t="str">
            <v>Cam.A</v>
          </cell>
        </row>
        <row r="345">
          <cell r="C345" t="str">
            <v>61526264P2119</v>
          </cell>
          <cell r="D345" t="str">
            <v>PA154001160</v>
          </cell>
          <cell r="E345" t="str">
            <v>SOJA</v>
          </cell>
          <cell r="F345" t="str">
            <v>NEO820 IPRO</v>
          </cell>
          <cell r="G345" t="str">
            <v>P2</v>
          </cell>
          <cell r="H345" t="str">
            <v>S1</v>
          </cell>
          <cell r="I345">
            <v>1177</v>
          </cell>
          <cell r="J345" t="str">
            <v>Cam.A</v>
          </cell>
        </row>
        <row r="346">
          <cell r="C346" t="str">
            <v>61526264P2089</v>
          </cell>
          <cell r="D346" t="str">
            <v>PA154001160</v>
          </cell>
          <cell r="E346" t="str">
            <v>SOJA</v>
          </cell>
          <cell r="F346" t="str">
            <v>NEO820 IPRO</v>
          </cell>
          <cell r="G346" t="str">
            <v>P2</v>
          </cell>
          <cell r="H346" t="str">
            <v>S1</v>
          </cell>
          <cell r="I346">
            <v>1234</v>
          </cell>
          <cell r="J346" t="str">
            <v>Cam.A</v>
          </cell>
        </row>
        <row r="347">
          <cell r="C347" t="str">
            <v>61526264P1103</v>
          </cell>
          <cell r="D347" t="str">
            <v>PA154001160</v>
          </cell>
          <cell r="E347" t="str">
            <v>SOJA</v>
          </cell>
          <cell r="F347" t="str">
            <v>NEO820 IPRO</v>
          </cell>
          <cell r="G347" t="str">
            <v>P1</v>
          </cell>
          <cell r="H347" t="str">
            <v>S1</v>
          </cell>
          <cell r="I347">
            <v>958</v>
          </cell>
          <cell r="J347" t="str">
            <v>Cam.A</v>
          </cell>
        </row>
        <row r="348">
          <cell r="C348"/>
          <cell r="D348"/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/>
        </row>
        <row r="349">
          <cell r="C349"/>
          <cell r="D349"/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/>
        </row>
        <row r="350">
          <cell r="C350"/>
          <cell r="D350"/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/>
        </row>
        <row r="351">
          <cell r="C351"/>
          <cell r="D351"/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/>
        </row>
        <row r="352">
          <cell r="C352"/>
          <cell r="D352"/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/>
        </row>
        <row r="353">
          <cell r="C353"/>
          <cell r="D353"/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/>
        </row>
        <row r="354">
          <cell r="C354"/>
          <cell r="D354"/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/>
        </row>
        <row r="355">
          <cell r="C355"/>
          <cell r="D355"/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/>
        </row>
        <row r="356">
          <cell r="C356"/>
          <cell r="D356"/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/>
        </row>
        <row r="357">
          <cell r="C357"/>
          <cell r="D357"/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/>
        </row>
        <row r="358">
          <cell r="C358"/>
          <cell r="D358"/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/>
        </row>
        <row r="359">
          <cell r="C359"/>
          <cell r="D359"/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/>
        </row>
        <row r="360">
          <cell r="C360"/>
          <cell r="D360"/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/>
        </row>
        <row r="361">
          <cell r="C361"/>
          <cell r="D361"/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/>
        </row>
        <row r="362">
          <cell r="C362"/>
          <cell r="D362"/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/>
        </row>
        <row r="363">
          <cell r="C363"/>
          <cell r="D363"/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/>
        </row>
        <row r="364">
          <cell r="C364"/>
          <cell r="D364"/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/>
        </row>
        <row r="365">
          <cell r="C365"/>
          <cell r="D365"/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/>
        </row>
        <row r="366">
          <cell r="C366"/>
          <cell r="D366"/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/>
        </row>
        <row r="367">
          <cell r="C367"/>
          <cell r="D367"/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/>
        </row>
        <row r="368">
          <cell r="C368"/>
          <cell r="D368"/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/>
        </row>
        <row r="369">
          <cell r="C369"/>
          <cell r="D369"/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/>
        </row>
        <row r="370">
          <cell r="C370"/>
          <cell r="D370"/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/>
        </row>
        <row r="371">
          <cell r="C371"/>
          <cell r="D371"/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/>
        </row>
        <row r="372">
          <cell r="C372"/>
          <cell r="D372"/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/>
        </row>
        <row r="373">
          <cell r="C373"/>
          <cell r="D373"/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/>
        </row>
        <row r="374">
          <cell r="C374"/>
          <cell r="D374"/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/>
        </row>
        <row r="375">
          <cell r="C375"/>
          <cell r="D375"/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/>
        </row>
        <row r="376">
          <cell r="C376"/>
          <cell r="D376"/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/>
        </row>
        <row r="377">
          <cell r="C377"/>
          <cell r="D377"/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/>
        </row>
        <row r="378">
          <cell r="C378"/>
          <cell r="D378"/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/>
        </row>
        <row r="379">
          <cell r="C379"/>
          <cell r="D379"/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/>
        </row>
        <row r="380">
          <cell r="C380"/>
          <cell r="D380"/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/>
        </row>
        <row r="381">
          <cell r="C381"/>
          <cell r="D381"/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/>
        </row>
        <row r="382">
          <cell r="C382"/>
          <cell r="D382"/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/>
        </row>
        <row r="383">
          <cell r="C383"/>
          <cell r="D383"/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/>
        </row>
        <row r="384">
          <cell r="C384"/>
          <cell r="D384"/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/>
        </row>
        <row r="385">
          <cell r="C385"/>
          <cell r="D385"/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/>
        </row>
        <row r="386">
          <cell r="C386"/>
          <cell r="D386"/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/>
        </row>
        <row r="387">
          <cell r="C387"/>
          <cell r="D387"/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/>
        </row>
        <row r="388">
          <cell r="C388"/>
          <cell r="D388"/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/>
        </row>
        <row r="389">
          <cell r="C389"/>
          <cell r="D389"/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/>
        </row>
        <row r="390">
          <cell r="C390"/>
          <cell r="D390"/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/>
        </row>
        <row r="391">
          <cell r="C391"/>
          <cell r="D391"/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/>
        </row>
        <row r="392">
          <cell r="C392"/>
          <cell r="D392"/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/>
        </row>
        <row r="393">
          <cell r="C393"/>
          <cell r="D393"/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/>
        </row>
        <row r="394">
          <cell r="C394"/>
          <cell r="D394"/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/>
        </row>
        <row r="395">
          <cell r="C395"/>
          <cell r="D395"/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/>
        </row>
        <row r="396">
          <cell r="C396"/>
          <cell r="D396"/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/>
        </row>
        <row r="397">
          <cell r="C397"/>
          <cell r="D397"/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/>
        </row>
        <row r="398">
          <cell r="C398"/>
          <cell r="D398"/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/>
        </row>
        <row r="399">
          <cell r="C399"/>
          <cell r="D399"/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/>
        </row>
        <row r="400">
          <cell r="C400"/>
          <cell r="D400"/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/>
        </row>
        <row r="401">
          <cell r="C401"/>
          <cell r="D401"/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/>
        </row>
        <row r="402">
          <cell r="C402"/>
          <cell r="D402"/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/>
        </row>
        <row r="403">
          <cell r="C403"/>
          <cell r="D403"/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/>
        </row>
        <row r="404">
          <cell r="C404"/>
          <cell r="D404"/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/>
        </row>
        <row r="405">
          <cell r="C405"/>
          <cell r="D405"/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/>
        </row>
        <row r="406">
          <cell r="C406"/>
          <cell r="D406"/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/>
        </row>
        <row r="407">
          <cell r="C407"/>
          <cell r="D407"/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/>
        </row>
        <row r="408">
          <cell r="C408"/>
          <cell r="D408"/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/>
        </row>
        <row r="409">
          <cell r="C409"/>
          <cell r="D409"/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/>
        </row>
        <row r="410">
          <cell r="C410"/>
          <cell r="D410"/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/>
        </row>
        <row r="411">
          <cell r="C411"/>
          <cell r="D411"/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/>
        </row>
        <row r="412">
          <cell r="C412"/>
          <cell r="D412"/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/>
        </row>
        <row r="413">
          <cell r="C413"/>
          <cell r="D413"/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/>
        </row>
        <row r="414">
          <cell r="C414"/>
          <cell r="D414"/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/>
        </row>
        <row r="415">
          <cell r="C415"/>
          <cell r="D415"/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/>
        </row>
        <row r="416">
          <cell r="C416"/>
          <cell r="D416"/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/>
        </row>
        <row r="417">
          <cell r="C417"/>
          <cell r="D417"/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/>
        </row>
        <row r="418">
          <cell r="C418"/>
          <cell r="D418"/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/>
        </row>
        <row r="419">
          <cell r="C419"/>
          <cell r="D419"/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/>
        </row>
        <row r="420">
          <cell r="C420"/>
          <cell r="D420"/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/>
        </row>
        <row r="421">
          <cell r="C421"/>
          <cell r="D421"/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/>
        </row>
        <row r="422">
          <cell r="C422"/>
          <cell r="D422"/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/>
        </row>
        <row r="423">
          <cell r="C423"/>
          <cell r="D423"/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/>
        </row>
        <row r="424">
          <cell r="C424"/>
          <cell r="D424"/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/>
        </row>
        <row r="425">
          <cell r="C425"/>
          <cell r="D425"/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/>
        </row>
        <row r="426">
          <cell r="C426"/>
          <cell r="D426"/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/>
        </row>
        <row r="427">
          <cell r="C427"/>
          <cell r="D427"/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/>
        </row>
        <row r="428">
          <cell r="C428"/>
          <cell r="D428"/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/>
        </row>
        <row r="429">
          <cell r="C429"/>
          <cell r="D429"/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/>
        </row>
        <row r="430">
          <cell r="C430"/>
          <cell r="D430"/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/>
        </row>
        <row r="431">
          <cell r="C431"/>
          <cell r="D431"/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/>
        </row>
        <row r="432">
          <cell r="C432"/>
          <cell r="D432"/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/>
        </row>
        <row r="433">
          <cell r="C433"/>
          <cell r="D433"/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/>
        </row>
        <row r="434">
          <cell r="C434"/>
          <cell r="D434"/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/>
        </row>
        <row r="435">
          <cell r="C435"/>
          <cell r="D435"/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/>
        </row>
        <row r="436">
          <cell r="C436"/>
          <cell r="D436"/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/>
        </row>
        <row r="437">
          <cell r="C437"/>
          <cell r="D437"/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/>
        </row>
        <row r="438">
          <cell r="C438"/>
          <cell r="D438"/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/>
        </row>
        <row r="439">
          <cell r="C439"/>
          <cell r="D439"/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/>
        </row>
        <row r="440">
          <cell r="C440"/>
          <cell r="D440"/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/>
        </row>
        <row r="441">
          <cell r="C441"/>
          <cell r="D441"/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/>
        </row>
        <row r="442">
          <cell r="C442"/>
          <cell r="D442"/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/>
        </row>
        <row r="443">
          <cell r="C443"/>
          <cell r="D443"/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/>
        </row>
        <row r="444">
          <cell r="C444"/>
          <cell r="D444"/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/>
        </row>
        <row r="445">
          <cell r="C445"/>
          <cell r="D445"/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/>
        </row>
        <row r="446">
          <cell r="C446"/>
          <cell r="D446"/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/>
        </row>
        <row r="447">
          <cell r="C447"/>
          <cell r="D447"/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/>
        </row>
        <row r="448">
          <cell r="C448"/>
          <cell r="D448"/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/>
        </row>
        <row r="449">
          <cell r="C449"/>
          <cell r="D449"/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/>
        </row>
        <row r="450">
          <cell r="C450"/>
          <cell r="D450"/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/>
        </row>
        <row r="451">
          <cell r="C451"/>
          <cell r="D451"/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/>
        </row>
        <row r="452">
          <cell r="C452"/>
          <cell r="D452"/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/>
        </row>
        <row r="453">
          <cell r="C453"/>
          <cell r="D453"/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/>
        </row>
        <row r="454">
          <cell r="C454"/>
          <cell r="D454"/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/>
        </row>
        <row r="455">
          <cell r="C455"/>
          <cell r="D455"/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/>
        </row>
        <row r="456">
          <cell r="C456"/>
          <cell r="D456"/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/>
        </row>
        <row r="457">
          <cell r="C457"/>
          <cell r="D457"/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/>
        </row>
        <row r="458">
          <cell r="C458"/>
          <cell r="D458"/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/>
        </row>
        <row r="459">
          <cell r="C459"/>
          <cell r="D459"/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/>
        </row>
        <row r="460">
          <cell r="C460"/>
          <cell r="D460"/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/>
        </row>
        <row r="461">
          <cell r="C461"/>
          <cell r="D461"/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/>
        </row>
        <row r="462">
          <cell r="C462"/>
          <cell r="D462"/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/>
        </row>
        <row r="463">
          <cell r="C463"/>
          <cell r="D463"/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/>
        </row>
        <row r="464">
          <cell r="C464"/>
          <cell r="D464"/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/>
        </row>
        <row r="465">
          <cell r="C465"/>
          <cell r="D465"/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/>
        </row>
        <row r="466">
          <cell r="C466"/>
          <cell r="D466"/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/>
        </row>
        <row r="467">
          <cell r="C467"/>
          <cell r="D467"/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/>
        </row>
        <row r="468">
          <cell r="C468"/>
          <cell r="D468"/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/>
        </row>
        <row r="469">
          <cell r="C469"/>
          <cell r="D469"/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/>
        </row>
        <row r="470">
          <cell r="C470"/>
          <cell r="D470"/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/>
        </row>
        <row r="471">
          <cell r="C471"/>
          <cell r="D471"/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/>
        </row>
        <row r="472">
          <cell r="C472"/>
          <cell r="D472"/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/>
        </row>
        <row r="473">
          <cell r="C473"/>
          <cell r="D473"/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/>
        </row>
        <row r="474">
          <cell r="C474"/>
          <cell r="D474"/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/>
        </row>
        <row r="475">
          <cell r="C475"/>
          <cell r="D475"/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/>
        </row>
        <row r="476">
          <cell r="C476"/>
          <cell r="D476"/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/>
        </row>
        <row r="477">
          <cell r="C477"/>
          <cell r="D477"/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/>
        </row>
        <row r="478">
          <cell r="C478"/>
          <cell r="D478"/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/>
        </row>
        <row r="479">
          <cell r="C479"/>
          <cell r="D479"/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/>
        </row>
        <row r="480">
          <cell r="C480"/>
          <cell r="D480"/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/>
        </row>
        <row r="481">
          <cell r="C481"/>
          <cell r="D481"/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/>
        </row>
        <row r="482">
          <cell r="C482"/>
          <cell r="D482"/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/>
        </row>
        <row r="483">
          <cell r="C483"/>
          <cell r="D483"/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/>
        </row>
        <row r="484">
          <cell r="C484"/>
          <cell r="D484"/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/>
        </row>
        <row r="485">
          <cell r="C485"/>
          <cell r="D485"/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/>
        </row>
        <row r="486">
          <cell r="C486"/>
          <cell r="D486"/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/>
        </row>
        <row r="487">
          <cell r="C487"/>
          <cell r="D487"/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/>
        </row>
        <row r="488">
          <cell r="C488"/>
          <cell r="D488"/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/>
        </row>
        <row r="489">
          <cell r="C489"/>
          <cell r="D489"/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/>
        </row>
        <row r="490">
          <cell r="C490"/>
          <cell r="D490"/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/>
        </row>
        <row r="491">
          <cell r="C491"/>
          <cell r="D491"/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/>
        </row>
        <row r="492">
          <cell r="C492"/>
          <cell r="D492"/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/>
        </row>
        <row r="493">
          <cell r="C493"/>
          <cell r="D493"/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/>
        </row>
        <row r="494">
          <cell r="C494"/>
          <cell r="D494"/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/>
        </row>
        <row r="495">
          <cell r="C495"/>
          <cell r="D495"/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/>
        </row>
        <row r="496">
          <cell r="C496"/>
          <cell r="D496"/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/>
        </row>
        <row r="497">
          <cell r="C497"/>
          <cell r="D497"/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/>
        </row>
        <row r="498">
          <cell r="C498"/>
          <cell r="D498"/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/>
        </row>
        <row r="499">
          <cell r="C499"/>
          <cell r="D499"/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/>
        </row>
        <row r="500">
          <cell r="C500"/>
          <cell r="D500"/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/>
        </row>
        <row r="501">
          <cell r="C501"/>
          <cell r="D501"/>
          <cell r="E501" t="str">
            <v/>
          </cell>
          <cell r="F501" t="str">
            <v/>
          </cell>
          <cell r="G501" t="str">
            <v/>
          </cell>
          <cell r="H501" t="str">
            <v/>
          </cell>
          <cell r="I501" t="str">
            <v/>
          </cell>
          <cell r="J501"/>
        </row>
        <row r="502">
          <cell r="C502"/>
          <cell r="D502"/>
          <cell r="E502" t="str">
            <v/>
          </cell>
          <cell r="F502" t="str">
            <v/>
          </cell>
          <cell r="G502" t="str">
            <v/>
          </cell>
          <cell r="H502" t="str">
            <v/>
          </cell>
          <cell r="I502" t="str">
            <v/>
          </cell>
          <cell r="J502"/>
        </row>
        <row r="503">
          <cell r="C503"/>
          <cell r="D503"/>
          <cell r="E503" t="str">
            <v/>
          </cell>
          <cell r="F503" t="str">
            <v/>
          </cell>
          <cell r="G503" t="str">
            <v/>
          </cell>
          <cell r="H503" t="str">
            <v/>
          </cell>
          <cell r="I503" t="str">
            <v/>
          </cell>
          <cell r="J503"/>
        </row>
        <row r="504">
          <cell r="C504"/>
          <cell r="D504"/>
          <cell r="E504" t="str">
            <v/>
          </cell>
          <cell r="F504" t="str">
            <v/>
          </cell>
          <cell r="G504" t="str">
            <v/>
          </cell>
          <cell r="H504" t="str">
            <v/>
          </cell>
          <cell r="I504" t="str">
            <v/>
          </cell>
          <cell r="J504"/>
        </row>
        <row r="505">
          <cell r="C505"/>
          <cell r="D505"/>
          <cell r="E505" t="str">
            <v/>
          </cell>
          <cell r="F505" t="str">
            <v/>
          </cell>
          <cell r="G505" t="str">
            <v/>
          </cell>
          <cell r="H505" t="str">
            <v/>
          </cell>
          <cell r="I505" t="str">
            <v/>
          </cell>
          <cell r="J505"/>
        </row>
        <row r="506">
          <cell r="C506"/>
          <cell r="D506"/>
          <cell r="E506" t="str">
            <v/>
          </cell>
          <cell r="F506" t="str">
            <v/>
          </cell>
          <cell r="G506" t="str">
            <v/>
          </cell>
          <cell r="H506" t="str">
            <v/>
          </cell>
          <cell r="I506" t="str">
            <v/>
          </cell>
          <cell r="J506"/>
        </row>
        <row r="507">
          <cell r="C507"/>
          <cell r="D507"/>
          <cell r="E507" t="str">
            <v/>
          </cell>
          <cell r="F507" t="str">
            <v/>
          </cell>
          <cell r="G507" t="str">
            <v/>
          </cell>
          <cell r="H507" t="str">
            <v/>
          </cell>
          <cell r="I507" t="str">
            <v/>
          </cell>
          <cell r="J507"/>
        </row>
        <row r="508">
          <cell r="C508"/>
          <cell r="D508"/>
          <cell r="E508" t="str">
            <v/>
          </cell>
          <cell r="F508" t="str">
            <v/>
          </cell>
          <cell r="G508" t="str">
            <v/>
          </cell>
          <cell r="H508" t="str">
            <v/>
          </cell>
          <cell r="I508" t="str">
            <v/>
          </cell>
          <cell r="J508"/>
        </row>
        <row r="509">
          <cell r="C509"/>
          <cell r="D509"/>
          <cell r="E509" t="str">
            <v/>
          </cell>
          <cell r="F509" t="str">
            <v/>
          </cell>
          <cell r="G509" t="str">
            <v/>
          </cell>
          <cell r="H509" t="str">
            <v/>
          </cell>
          <cell r="I509" t="str">
            <v/>
          </cell>
          <cell r="J509"/>
        </row>
        <row r="510">
          <cell r="C510"/>
          <cell r="D510"/>
          <cell r="E510" t="str">
            <v/>
          </cell>
          <cell r="F510" t="str">
            <v/>
          </cell>
          <cell r="G510" t="str">
            <v/>
          </cell>
          <cell r="H510" t="str">
            <v/>
          </cell>
          <cell r="I510" t="str">
            <v/>
          </cell>
          <cell r="J510"/>
        </row>
        <row r="511">
          <cell r="C511"/>
          <cell r="D511"/>
          <cell r="E511" t="str">
            <v/>
          </cell>
          <cell r="F511" t="str">
            <v/>
          </cell>
          <cell r="G511" t="str">
            <v/>
          </cell>
          <cell r="H511" t="str">
            <v/>
          </cell>
          <cell r="I511" t="str">
            <v/>
          </cell>
          <cell r="J511"/>
        </row>
        <row r="512">
          <cell r="C512"/>
          <cell r="D512"/>
          <cell r="E512" t="str">
            <v/>
          </cell>
          <cell r="F512" t="str">
            <v/>
          </cell>
          <cell r="G512" t="str">
            <v/>
          </cell>
          <cell r="H512" t="str">
            <v/>
          </cell>
          <cell r="I512" t="str">
            <v/>
          </cell>
          <cell r="J512"/>
        </row>
        <row r="513">
          <cell r="C513"/>
          <cell r="D513"/>
          <cell r="E513" t="str">
            <v/>
          </cell>
          <cell r="F513" t="str">
            <v/>
          </cell>
          <cell r="G513" t="str">
            <v/>
          </cell>
          <cell r="H513" t="str">
            <v/>
          </cell>
          <cell r="I513" t="str">
            <v/>
          </cell>
          <cell r="J513"/>
        </row>
        <row r="514">
          <cell r="C514"/>
          <cell r="D514"/>
          <cell r="E514" t="str">
            <v/>
          </cell>
          <cell r="F514" t="str">
            <v/>
          </cell>
          <cell r="G514" t="str">
            <v/>
          </cell>
          <cell r="H514" t="str">
            <v/>
          </cell>
          <cell r="I514" t="str">
            <v/>
          </cell>
          <cell r="J514"/>
        </row>
        <row r="515">
          <cell r="C515"/>
          <cell r="D515"/>
          <cell r="E515" t="str">
            <v/>
          </cell>
          <cell r="F515" t="str">
            <v/>
          </cell>
          <cell r="G515" t="str">
            <v/>
          </cell>
          <cell r="H515" t="str">
            <v/>
          </cell>
          <cell r="I515" t="str">
            <v/>
          </cell>
          <cell r="J515"/>
        </row>
        <row r="516">
          <cell r="C516"/>
          <cell r="D516"/>
          <cell r="E516" t="str">
            <v/>
          </cell>
          <cell r="F516" t="str">
            <v/>
          </cell>
          <cell r="G516" t="str">
            <v/>
          </cell>
          <cell r="H516" t="str">
            <v/>
          </cell>
          <cell r="I516" t="str">
            <v/>
          </cell>
          <cell r="J516"/>
        </row>
        <row r="517">
          <cell r="C517"/>
          <cell r="D517"/>
          <cell r="E517" t="str">
            <v/>
          </cell>
          <cell r="F517" t="str">
            <v/>
          </cell>
          <cell r="G517" t="str">
            <v/>
          </cell>
          <cell r="H517" t="str">
            <v/>
          </cell>
          <cell r="I517" t="str">
            <v/>
          </cell>
          <cell r="J517"/>
        </row>
        <row r="518">
          <cell r="C518"/>
          <cell r="D518"/>
          <cell r="E518" t="str">
            <v/>
          </cell>
          <cell r="F518" t="str">
            <v/>
          </cell>
          <cell r="G518" t="str">
            <v/>
          </cell>
          <cell r="H518" t="str">
            <v/>
          </cell>
          <cell r="I518" t="str">
            <v/>
          </cell>
          <cell r="J518"/>
        </row>
        <row r="519">
          <cell r="C519"/>
          <cell r="D519"/>
          <cell r="E519" t="str">
            <v/>
          </cell>
          <cell r="F519" t="str">
            <v/>
          </cell>
          <cell r="G519" t="str">
            <v/>
          </cell>
          <cell r="H519" t="str">
            <v/>
          </cell>
          <cell r="I519" t="str">
            <v/>
          </cell>
          <cell r="J519"/>
        </row>
        <row r="520">
          <cell r="C520"/>
          <cell r="D520"/>
          <cell r="E520" t="str">
            <v/>
          </cell>
          <cell r="F520" t="str">
            <v/>
          </cell>
          <cell r="G520" t="str">
            <v/>
          </cell>
          <cell r="H520" t="str">
            <v/>
          </cell>
          <cell r="I520" t="str">
            <v/>
          </cell>
          <cell r="J520"/>
        </row>
        <row r="521">
          <cell r="C521"/>
          <cell r="D521"/>
          <cell r="E521" t="str">
            <v/>
          </cell>
          <cell r="F521" t="str">
            <v/>
          </cell>
          <cell r="G521" t="str">
            <v/>
          </cell>
          <cell r="H521" t="str">
            <v/>
          </cell>
          <cell r="I521" t="str">
            <v/>
          </cell>
          <cell r="J521"/>
        </row>
        <row r="522">
          <cell r="C522"/>
          <cell r="D522"/>
          <cell r="E522" t="str">
            <v/>
          </cell>
          <cell r="F522" t="str">
            <v/>
          </cell>
          <cell r="G522" t="str">
            <v/>
          </cell>
          <cell r="H522" t="str">
            <v/>
          </cell>
          <cell r="I522" t="str">
            <v/>
          </cell>
          <cell r="J522"/>
        </row>
        <row r="523">
          <cell r="C523"/>
          <cell r="D523"/>
          <cell r="E523" t="str">
            <v/>
          </cell>
          <cell r="F523" t="str">
            <v/>
          </cell>
          <cell r="G523" t="str">
            <v/>
          </cell>
          <cell r="H523" t="str">
            <v/>
          </cell>
          <cell r="I523" t="str">
            <v/>
          </cell>
          <cell r="J523"/>
        </row>
        <row r="524">
          <cell r="C524"/>
          <cell r="D524"/>
          <cell r="E524" t="str">
            <v/>
          </cell>
          <cell r="F524" t="str">
            <v/>
          </cell>
          <cell r="G524" t="str">
            <v/>
          </cell>
          <cell r="H524" t="str">
            <v/>
          </cell>
          <cell r="I524" t="str">
            <v/>
          </cell>
          <cell r="J524"/>
        </row>
        <row r="525">
          <cell r="C525"/>
          <cell r="D525"/>
          <cell r="E525" t="str">
            <v/>
          </cell>
          <cell r="F525" t="str">
            <v/>
          </cell>
          <cell r="G525" t="str">
            <v/>
          </cell>
          <cell r="H525" t="str">
            <v/>
          </cell>
          <cell r="I525" t="str">
            <v/>
          </cell>
          <cell r="J525"/>
        </row>
        <row r="526">
          <cell r="C526"/>
          <cell r="D526"/>
          <cell r="E526" t="str">
            <v/>
          </cell>
          <cell r="F526" t="str">
            <v/>
          </cell>
          <cell r="G526" t="str">
            <v/>
          </cell>
          <cell r="H526" t="str">
            <v/>
          </cell>
          <cell r="I526" t="str">
            <v/>
          </cell>
          <cell r="J526"/>
        </row>
        <row r="527">
          <cell r="C527"/>
          <cell r="D527"/>
          <cell r="E527" t="str">
            <v/>
          </cell>
          <cell r="F527" t="str">
            <v/>
          </cell>
          <cell r="G527" t="str">
            <v/>
          </cell>
          <cell r="H527" t="str">
            <v/>
          </cell>
          <cell r="I527" t="str">
            <v/>
          </cell>
          <cell r="J527"/>
        </row>
        <row r="528">
          <cell r="C528"/>
          <cell r="D528"/>
          <cell r="E528" t="str">
            <v/>
          </cell>
          <cell r="F528" t="str">
            <v/>
          </cell>
          <cell r="G528" t="str">
            <v/>
          </cell>
          <cell r="H528" t="str">
            <v/>
          </cell>
          <cell r="I528" t="str">
            <v/>
          </cell>
          <cell r="J528"/>
        </row>
        <row r="529">
          <cell r="C529"/>
          <cell r="D529"/>
          <cell r="E529" t="str">
            <v/>
          </cell>
          <cell r="F529" t="str">
            <v/>
          </cell>
          <cell r="G529" t="str">
            <v/>
          </cell>
          <cell r="H529" t="str">
            <v/>
          </cell>
          <cell r="I529" t="str">
            <v/>
          </cell>
          <cell r="J529"/>
        </row>
        <row r="530">
          <cell r="C530"/>
          <cell r="D530"/>
          <cell r="E530" t="str">
            <v/>
          </cell>
          <cell r="F530" t="str">
            <v/>
          </cell>
          <cell r="G530" t="str">
            <v/>
          </cell>
          <cell r="H530" t="str">
            <v/>
          </cell>
          <cell r="I530" t="str">
            <v/>
          </cell>
          <cell r="J530"/>
        </row>
        <row r="531">
          <cell r="C531"/>
          <cell r="D531"/>
          <cell r="E531" t="str">
            <v/>
          </cell>
          <cell r="F531" t="str">
            <v/>
          </cell>
          <cell r="G531" t="str">
            <v/>
          </cell>
          <cell r="H531" t="str">
            <v/>
          </cell>
          <cell r="I531" t="str">
            <v/>
          </cell>
          <cell r="J531"/>
        </row>
        <row r="532">
          <cell r="C532"/>
          <cell r="D532"/>
          <cell r="E532" t="str">
            <v/>
          </cell>
          <cell r="F532" t="str">
            <v/>
          </cell>
          <cell r="G532" t="str">
            <v/>
          </cell>
          <cell r="H532" t="str">
            <v/>
          </cell>
          <cell r="I532" t="str">
            <v/>
          </cell>
          <cell r="J532"/>
        </row>
        <row r="533">
          <cell r="C533"/>
          <cell r="D533"/>
          <cell r="E533" t="str">
            <v/>
          </cell>
          <cell r="F533" t="str">
            <v/>
          </cell>
          <cell r="G533" t="str">
            <v/>
          </cell>
          <cell r="H533" t="str">
            <v/>
          </cell>
          <cell r="I533" t="str">
            <v/>
          </cell>
          <cell r="J533"/>
        </row>
        <row r="534">
          <cell r="C534"/>
          <cell r="D534"/>
          <cell r="E534" t="str">
            <v/>
          </cell>
          <cell r="F534" t="str">
            <v/>
          </cell>
          <cell r="G534" t="str">
            <v/>
          </cell>
          <cell r="H534" t="str">
            <v/>
          </cell>
          <cell r="I534" t="str">
            <v/>
          </cell>
          <cell r="J534"/>
        </row>
        <row r="535">
          <cell r="C535"/>
          <cell r="D535"/>
          <cell r="E535" t="str">
            <v/>
          </cell>
          <cell r="F535" t="str">
            <v/>
          </cell>
          <cell r="G535" t="str">
            <v/>
          </cell>
          <cell r="H535" t="str">
            <v/>
          </cell>
          <cell r="I535" t="str">
            <v/>
          </cell>
          <cell r="J535"/>
        </row>
        <row r="536">
          <cell r="C536"/>
          <cell r="D536"/>
          <cell r="E536" t="str">
            <v/>
          </cell>
          <cell r="F536" t="str">
            <v/>
          </cell>
          <cell r="G536" t="str">
            <v/>
          </cell>
          <cell r="H536" t="str">
            <v/>
          </cell>
          <cell r="I536" t="str">
            <v/>
          </cell>
          <cell r="J536"/>
        </row>
        <row r="537">
          <cell r="C537"/>
          <cell r="D537"/>
          <cell r="E537" t="str">
            <v/>
          </cell>
          <cell r="F537" t="str">
            <v/>
          </cell>
          <cell r="G537" t="str">
            <v/>
          </cell>
          <cell r="H537" t="str">
            <v/>
          </cell>
          <cell r="I537" t="str">
            <v/>
          </cell>
          <cell r="J537"/>
        </row>
        <row r="538">
          <cell r="C538"/>
          <cell r="D538"/>
          <cell r="E538" t="str">
            <v/>
          </cell>
          <cell r="F538" t="str">
            <v/>
          </cell>
          <cell r="G538" t="str">
            <v/>
          </cell>
          <cell r="H538" t="str">
            <v/>
          </cell>
          <cell r="I538" t="str">
            <v/>
          </cell>
          <cell r="J538"/>
        </row>
        <row r="539">
          <cell r="C539"/>
          <cell r="D539"/>
          <cell r="E539" t="str">
            <v/>
          </cell>
          <cell r="F539" t="str">
            <v/>
          </cell>
          <cell r="G539" t="str">
            <v/>
          </cell>
          <cell r="H539" t="str">
            <v/>
          </cell>
          <cell r="I539" t="str">
            <v/>
          </cell>
          <cell r="J539"/>
        </row>
        <row r="540">
          <cell r="C540"/>
          <cell r="D540"/>
          <cell r="E540" t="str">
            <v/>
          </cell>
          <cell r="F540" t="str">
            <v/>
          </cell>
          <cell r="G540" t="str">
            <v/>
          </cell>
          <cell r="H540" t="str">
            <v/>
          </cell>
          <cell r="I540" t="str">
            <v/>
          </cell>
          <cell r="J540"/>
        </row>
        <row r="541">
          <cell r="C541"/>
          <cell r="D541"/>
          <cell r="E541" t="str">
            <v/>
          </cell>
          <cell r="F541" t="str">
            <v/>
          </cell>
          <cell r="G541" t="str">
            <v/>
          </cell>
          <cell r="H541" t="str">
            <v/>
          </cell>
          <cell r="I541" t="str">
            <v/>
          </cell>
          <cell r="J541"/>
        </row>
        <row r="542">
          <cell r="C542"/>
          <cell r="D542"/>
          <cell r="E542" t="str">
            <v/>
          </cell>
          <cell r="F542" t="str">
            <v/>
          </cell>
          <cell r="G542" t="str">
            <v/>
          </cell>
          <cell r="H542" t="str">
            <v/>
          </cell>
          <cell r="I542" t="str">
            <v/>
          </cell>
          <cell r="J542"/>
        </row>
        <row r="543">
          <cell r="C543"/>
          <cell r="D543"/>
          <cell r="E543" t="str">
            <v/>
          </cell>
          <cell r="F543" t="str">
            <v/>
          </cell>
          <cell r="G543" t="str">
            <v/>
          </cell>
          <cell r="H543" t="str">
            <v/>
          </cell>
          <cell r="I543" t="str">
            <v/>
          </cell>
          <cell r="J543"/>
        </row>
        <row r="544">
          <cell r="C544"/>
          <cell r="D544"/>
          <cell r="E544" t="str">
            <v/>
          </cell>
          <cell r="F544" t="str">
            <v/>
          </cell>
          <cell r="G544" t="str">
            <v/>
          </cell>
          <cell r="H544" t="str">
            <v/>
          </cell>
          <cell r="I544" t="str">
            <v/>
          </cell>
          <cell r="J544"/>
        </row>
        <row r="545">
          <cell r="C545"/>
          <cell r="D545"/>
          <cell r="E545" t="str">
            <v/>
          </cell>
          <cell r="F545" t="str">
            <v/>
          </cell>
          <cell r="G545" t="str">
            <v/>
          </cell>
          <cell r="H545" t="str">
            <v/>
          </cell>
          <cell r="I545" t="str">
            <v/>
          </cell>
          <cell r="J545"/>
        </row>
        <row r="546">
          <cell r="C546"/>
          <cell r="D546"/>
          <cell r="E546" t="str">
            <v/>
          </cell>
          <cell r="F546" t="str">
            <v/>
          </cell>
          <cell r="G546" t="str">
            <v/>
          </cell>
          <cell r="H546" t="str">
            <v/>
          </cell>
          <cell r="I546" t="str">
            <v/>
          </cell>
          <cell r="J546"/>
        </row>
        <row r="547">
          <cell r="C547"/>
          <cell r="D547"/>
          <cell r="E547" t="str">
            <v/>
          </cell>
          <cell r="F547" t="str">
            <v/>
          </cell>
          <cell r="G547" t="str">
            <v/>
          </cell>
          <cell r="H547" t="str">
            <v/>
          </cell>
          <cell r="I547" t="str">
            <v/>
          </cell>
          <cell r="J547"/>
        </row>
        <row r="548">
          <cell r="C548"/>
          <cell r="D548"/>
          <cell r="E548" t="str">
            <v/>
          </cell>
          <cell r="F548" t="str">
            <v/>
          </cell>
          <cell r="G548" t="str">
            <v/>
          </cell>
          <cell r="H548" t="str">
            <v/>
          </cell>
          <cell r="I548" t="str">
            <v/>
          </cell>
          <cell r="J548"/>
        </row>
        <row r="549">
          <cell r="C549"/>
          <cell r="D549"/>
          <cell r="E549" t="str">
            <v/>
          </cell>
          <cell r="F549" t="str">
            <v/>
          </cell>
          <cell r="G549" t="str">
            <v/>
          </cell>
          <cell r="H549" t="str">
            <v/>
          </cell>
          <cell r="I549" t="str">
            <v/>
          </cell>
          <cell r="J549"/>
        </row>
        <row r="550">
          <cell r="C550"/>
          <cell r="D550"/>
          <cell r="E550" t="str">
            <v/>
          </cell>
          <cell r="F550" t="str">
            <v/>
          </cell>
          <cell r="G550" t="str">
            <v/>
          </cell>
          <cell r="H550" t="str">
            <v/>
          </cell>
          <cell r="I550" t="str">
            <v/>
          </cell>
          <cell r="J550"/>
        </row>
        <row r="551">
          <cell r="C551"/>
          <cell r="D551"/>
          <cell r="E551" t="str">
            <v/>
          </cell>
          <cell r="F551" t="str">
            <v/>
          </cell>
          <cell r="G551" t="str">
            <v/>
          </cell>
          <cell r="H551" t="str">
            <v/>
          </cell>
          <cell r="I551" t="str">
            <v/>
          </cell>
          <cell r="J551"/>
        </row>
        <row r="552">
          <cell r="C552"/>
          <cell r="D552"/>
          <cell r="E552" t="str">
            <v/>
          </cell>
          <cell r="F552" t="str">
            <v/>
          </cell>
          <cell r="G552" t="str">
            <v/>
          </cell>
          <cell r="H552" t="str">
            <v/>
          </cell>
          <cell r="I552" t="str">
            <v/>
          </cell>
          <cell r="J552"/>
        </row>
        <row r="553">
          <cell r="C553"/>
          <cell r="D553"/>
          <cell r="E553" t="str">
            <v/>
          </cell>
          <cell r="F553" t="str">
            <v/>
          </cell>
          <cell r="G553" t="str">
            <v/>
          </cell>
          <cell r="H553" t="str">
            <v/>
          </cell>
          <cell r="I553" t="str">
            <v/>
          </cell>
          <cell r="J553"/>
        </row>
        <row r="554">
          <cell r="C554"/>
          <cell r="D554"/>
          <cell r="E554" t="str">
            <v/>
          </cell>
          <cell r="F554" t="str">
            <v/>
          </cell>
          <cell r="G554" t="str">
            <v/>
          </cell>
          <cell r="H554" t="str">
            <v/>
          </cell>
          <cell r="I554" t="str">
            <v/>
          </cell>
          <cell r="J554"/>
        </row>
        <row r="555">
          <cell r="C555"/>
          <cell r="D555"/>
          <cell r="E555" t="str">
            <v/>
          </cell>
          <cell r="F555" t="str">
            <v/>
          </cell>
          <cell r="G555" t="str">
            <v/>
          </cell>
          <cell r="H555" t="str">
            <v/>
          </cell>
          <cell r="I555" t="str">
            <v/>
          </cell>
          <cell r="J555"/>
        </row>
        <row r="556">
          <cell r="C556"/>
          <cell r="D556"/>
          <cell r="E556" t="str">
            <v/>
          </cell>
          <cell r="F556" t="str">
            <v/>
          </cell>
          <cell r="G556" t="str">
            <v/>
          </cell>
          <cell r="H556" t="str">
            <v/>
          </cell>
          <cell r="I556" t="str">
            <v/>
          </cell>
          <cell r="J556"/>
        </row>
        <row r="557">
          <cell r="C557"/>
          <cell r="D557"/>
          <cell r="E557" t="str">
            <v/>
          </cell>
          <cell r="F557" t="str">
            <v/>
          </cell>
          <cell r="G557" t="str">
            <v/>
          </cell>
          <cell r="H557" t="str">
            <v/>
          </cell>
          <cell r="I557" t="str">
            <v/>
          </cell>
          <cell r="J557"/>
        </row>
        <row r="558">
          <cell r="I558" t="str">
            <v>.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tes"/>
    </sheetNames>
    <sheetDataSet>
      <sheetData sheetId="0">
        <row r="2">
          <cell r="A2" t="str">
            <v>1187</v>
          </cell>
          <cell r="B2" t="str">
            <v>QD.10</v>
          </cell>
          <cell r="C2" t="str">
            <v>10</v>
          </cell>
          <cell r="D2" t="str">
            <v>F1</v>
          </cell>
          <cell r="E2" t="str">
            <v>1187</v>
          </cell>
        </row>
        <row r="3">
          <cell r="A3" t="str">
            <v>1188</v>
          </cell>
          <cell r="B3" t="str">
            <v>QD.10</v>
          </cell>
          <cell r="C3" t="str">
            <v>10</v>
          </cell>
          <cell r="D3" t="str">
            <v>F2</v>
          </cell>
          <cell r="E3" t="str">
            <v>1188</v>
          </cell>
        </row>
        <row r="4">
          <cell r="A4" t="str">
            <v>1194</v>
          </cell>
          <cell r="B4" t="str">
            <v>QD.10</v>
          </cell>
          <cell r="C4" t="str">
            <v>10</v>
          </cell>
          <cell r="D4" t="str">
            <v>F3</v>
          </cell>
          <cell r="E4" t="str">
            <v>1194</v>
          </cell>
        </row>
        <row r="5">
          <cell r="A5" t="str">
            <v>2184</v>
          </cell>
          <cell r="B5" t="str">
            <v>QD.17</v>
          </cell>
          <cell r="C5" t="str">
            <v>17</v>
          </cell>
          <cell r="D5" t="str">
            <v>F1</v>
          </cell>
          <cell r="E5" t="str">
            <v>2184</v>
          </cell>
        </row>
        <row r="6">
          <cell r="A6" t="str">
            <v>2182</v>
          </cell>
          <cell r="B6" t="str">
            <v>QD.17</v>
          </cell>
          <cell r="C6" t="str">
            <v>17</v>
          </cell>
          <cell r="D6" t="str">
            <v>F2</v>
          </cell>
          <cell r="E6" t="str">
            <v>2182</v>
          </cell>
        </row>
        <row r="7">
          <cell r="A7" t="str">
            <v>1190</v>
          </cell>
          <cell r="B7" t="str">
            <v>QD.17</v>
          </cell>
          <cell r="C7" t="str">
            <v>17</v>
          </cell>
          <cell r="D7" t="str">
            <v>F3</v>
          </cell>
          <cell r="E7" t="str">
            <v>1190</v>
          </cell>
        </row>
        <row r="8">
          <cell r="A8" t="str">
            <v>2289</v>
          </cell>
          <cell r="B8" t="str">
            <v>QD.18</v>
          </cell>
          <cell r="C8" t="str">
            <v>18</v>
          </cell>
          <cell r="D8" t="str">
            <v>F1</v>
          </cell>
          <cell r="E8" t="str">
            <v>2289</v>
          </cell>
        </row>
        <row r="9">
          <cell r="A9" t="str">
            <v>2291</v>
          </cell>
          <cell r="B9" t="str">
            <v>QD.18</v>
          </cell>
          <cell r="C9" t="str">
            <v>18</v>
          </cell>
          <cell r="D9" t="str">
            <v>F2</v>
          </cell>
          <cell r="E9" t="str">
            <v>2291</v>
          </cell>
        </row>
        <row r="10">
          <cell r="A10" t="str">
            <v>2293</v>
          </cell>
          <cell r="B10" t="str">
            <v>QD.18</v>
          </cell>
          <cell r="C10" t="str">
            <v>18</v>
          </cell>
          <cell r="D10" t="str">
            <v>F3</v>
          </cell>
          <cell r="E10" t="str">
            <v>2293</v>
          </cell>
        </row>
        <row r="11">
          <cell r="A11" t="str">
            <v>2292</v>
          </cell>
          <cell r="B11" t="str">
            <v>QD.18</v>
          </cell>
          <cell r="C11" t="str">
            <v>18</v>
          </cell>
          <cell r="D11" t="str">
            <v>F4</v>
          </cell>
          <cell r="E11" t="str">
            <v>2292</v>
          </cell>
        </row>
        <row r="12">
          <cell r="A12" t="str">
            <v>2297</v>
          </cell>
          <cell r="B12" t="str">
            <v>QD.19</v>
          </cell>
          <cell r="C12" t="str">
            <v>19</v>
          </cell>
          <cell r="D12" t="str">
            <v>F1</v>
          </cell>
          <cell r="E12" t="str">
            <v>2297</v>
          </cell>
        </row>
        <row r="13">
          <cell r="A13" t="str">
            <v>2295</v>
          </cell>
          <cell r="B13" t="str">
            <v>QD.19</v>
          </cell>
          <cell r="C13" t="str">
            <v>19</v>
          </cell>
          <cell r="D13" t="str">
            <v>F2</v>
          </cell>
          <cell r="E13" t="str">
            <v>2295</v>
          </cell>
        </row>
        <row r="14">
          <cell r="A14" t="str">
            <v>2296</v>
          </cell>
          <cell r="B14" t="str">
            <v>QD.19</v>
          </cell>
          <cell r="C14" t="str">
            <v>19</v>
          </cell>
          <cell r="D14" t="str">
            <v>F3</v>
          </cell>
          <cell r="E14" t="str">
            <v>2296</v>
          </cell>
        </row>
        <row r="15">
          <cell r="A15" t="str">
            <v>1301</v>
          </cell>
          <cell r="B15" t="str">
            <v>QD.19</v>
          </cell>
          <cell r="C15" t="str">
            <v>19</v>
          </cell>
          <cell r="D15" t="str">
            <v>F4</v>
          </cell>
          <cell r="E15" t="str">
            <v>1301</v>
          </cell>
        </row>
        <row r="16">
          <cell r="A16" t="str">
            <v>1290</v>
          </cell>
          <cell r="B16" t="str">
            <v>QD.20</v>
          </cell>
          <cell r="C16" t="str">
            <v>20</v>
          </cell>
          <cell r="D16" t="str">
            <v>F1</v>
          </cell>
          <cell r="E16" t="str">
            <v>1290</v>
          </cell>
        </row>
        <row r="17">
          <cell r="A17" t="str">
            <v>1294</v>
          </cell>
          <cell r="B17" t="str">
            <v>QD.20</v>
          </cell>
          <cell r="C17" t="str">
            <v>20</v>
          </cell>
          <cell r="D17" t="str">
            <v>F2</v>
          </cell>
          <cell r="E17" t="str">
            <v>1294</v>
          </cell>
        </row>
        <row r="18">
          <cell r="A18" t="str">
            <v>2302</v>
          </cell>
          <cell r="B18" t="str">
            <v>QD.20</v>
          </cell>
          <cell r="C18" t="str">
            <v>20</v>
          </cell>
          <cell r="D18" t="str">
            <v>F3</v>
          </cell>
          <cell r="E18" t="str">
            <v>2302</v>
          </cell>
        </row>
        <row r="19">
          <cell r="A19" t="str">
            <v>2300</v>
          </cell>
          <cell r="B19" t="str">
            <v>QD.20</v>
          </cell>
          <cell r="C19" t="str">
            <v>20</v>
          </cell>
          <cell r="D19" t="str">
            <v>F4</v>
          </cell>
          <cell r="E19" t="str">
            <v>2300</v>
          </cell>
        </row>
        <row r="20">
          <cell r="A20" t="str">
            <v>1278</v>
          </cell>
          <cell r="B20" t="str">
            <v>QD.21</v>
          </cell>
          <cell r="C20" t="str">
            <v>21</v>
          </cell>
          <cell r="D20" t="str">
            <v>F1</v>
          </cell>
          <cell r="E20" t="str">
            <v>1278</v>
          </cell>
        </row>
        <row r="21">
          <cell r="A21" t="str">
            <v>1276</v>
          </cell>
          <cell r="B21" t="str">
            <v>QD.21</v>
          </cell>
          <cell r="C21" t="str">
            <v>21</v>
          </cell>
          <cell r="D21" t="str">
            <v>F2</v>
          </cell>
          <cell r="E21" t="str">
            <v>1276</v>
          </cell>
        </row>
        <row r="22">
          <cell r="A22" t="str">
            <v>Ilegível</v>
          </cell>
          <cell r="B22" t="str">
            <v>QD.21</v>
          </cell>
          <cell r="C22" t="str">
            <v>21</v>
          </cell>
          <cell r="D22" t="str">
            <v>F3</v>
          </cell>
          <cell r="E22" t="str">
            <v>Ilegível</v>
          </cell>
        </row>
        <row r="23">
          <cell r="A23" t="str">
            <v>2273</v>
          </cell>
          <cell r="B23" t="str">
            <v>QD.22</v>
          </cell>
          <cell r="C23" t="str">
            <v>22</v>
          </cell>
          <cell r="D23" t="str">
            <v>F1</v>
          </cell>
          <cell r="E23" t="str">
            <v>2273</v>
          </cell>
        </row>
        <row r="24">
          <cell r="A24" t="str">
            <v>2277</v>
          </cell>
          <cell r="B24" t="str">
            <v>QD.22</v>
          </cell>
          <cell r="C24" t="str">
            <v>22</v>
          </cell>
          <cell r="D24" t="str">
            <v>F2</v>
          </cell>
          <cell r="E24" t="str">
            <v>2277</v>
          </cell>
        </row>
        <row r="25">
          <cell r="A25" t="str">
            <v>1272</v>
          </cell>
          <cell r="B25" t="str">
            <v>QD.22</v>
          </cell>
          <cell r="C25" t="str">
            <v>22</v>
          </cell>
          <cell r="D25" t="str">
            <v>F3</v>
          </cell>
          <cell r="E25" t="str">
            <v>1272</v>
          </cell>
        </row>
        <row r="26">
          <cell r="A26" t="str">
            <v>1285</v>
          </cell>
          <cell r="B26" t="str">
            <v>QD.23</v>
          </cell>
          <cell r="C26" t="str">
            <v>23</v>
          </cell>
          <cell r="D26" t="str">
            <v>F1</v>
          </cell>
          <cell r="E26" t="str">
            <v>1285</v>
          </cell>
        </row>
        <row r="27">
          <cell r="A27" t="str">
            <v>1282</v>
          </cell>
          <cell r="B27" t="str">
            <v>QD.23</v>
          </cell>
          <cell r="C27" t="str">
            <v>23</v>
          </cell>
          <cell r="D27" t="str">
            <v>F2</v>
          </cell>
          <cell r="E27" t="str">
            <v>1282</v>
          </cell>
        </row>
        <row r="28">
          <cell r="A28" t="str">
            <v>2284</v>
          </cell>
          <cell r="B28" t="str">
            <v>QD.29</v>
          </cell>
          <cell r="C28" t="str">
            <v>29</v>
          </cell>
          <cell r="D28" t="str">
            <v>F1</v>
          </cell>
          <cell r="E28" t="str">
            <v>2284</v>
          </cell>
        </row>
        <row r="29">
          <cell r="A29" t="str">
            <v>2287</v>
          </cell>
          <cell r="B29" t="str">
            <v>QD.29</v>
          </cell>
          <cell r="C29" t="str">
            <v>29</v>
          </cell>
          <cell r="D29" t="str">
            <v>F2</v>
          </cell>
          <cell r="E29" t="str">
            <v>2287</v>
          </cell>
        </row>
        <row r="30">
          <cell r="A30" t="str">
            <v>2283</v>
          </cell>
          <cell r="B30" t="str">
            <v>QD.29</v>
          </cell>
          <cell r="C30" t="str">
            <v>29</v>
          </cell>
          <cell r="D30" t="str">
            <v>F3</v>
          </cell>
          <cell r="E30" t="str">
            <v>2283</v>
          </cell>
        </row>
        <row r="31">
          <cell r="A31" t="str">
            <v>1204</v>
          </cell>
          <cell r="B31" t="str">
            <v>QD.26</v>
          </cell>
          <cell r="C31" t="str">
            <v>26</v>
          </cell>
          <cell r="D31" t="str">
            <v>F1</v>
          </cell>
          <cell r="E31" t="str">
            <v>1204</v>
          </cell>
        </row>
        <row r="32">
          <cell r="A32" t="str">
            <v>1206</v>
          </cell>
          <cell r="B32" t="str">
            <v>QD.26</v>
          </cell>
          <cell r="C32" t="str">
            <v>26</v>
          </cell>
          <cell r="D32" t="str">
            <v>F2</v>
          </cell>
          <cell r="E32" t="str">
            <v>1206</v>
          </cell>
        </row>
        <row r="33">
          <cell r="A33" t="str">
            <v>1209</v>
          </cell>
          <cell r="B33" t="str">
            <v>QD.26</v>
          </cell>
          <cell r="C33" t="str">
            <v>26</v>
          </cell>
          <cell r="D33" t="str">
            <v>F3</v>
          </cell>
          <cell r="E33" t="str">
            <v>1209</v>
          </cell>
        </row>
        <row r="34">
          <cell r="A34" t="str">
            <v>1211</v>
          </cell>
          <cell r="B34" t="str">
            <v>QD.27</v>
          </cell>
          <cell r="C34" t="str">
            <v>27</v>
          </cell>
          <cell r="D34" t="str">
            <v>F1</v>
          </cell>
          <cell r="E34" t="str">
            <v>1211</v>
          </cell>
        </row>
        <row r="35">
          <cell r="A35" t="str">
            <v>1209</v>
          </cell>
          <cell r="B35" t="str">
            <v>QD.27</v>
          </cell>
          <cell r="C35" t="str">
            <v>27</v>
          </cell>
          <cell r="D35" t="str">
            <v>F2</v>
          </cell>
          <cell r="E35" t="str">
            <v>1209</v>
          </cell>
        </row>
        <row r="36">
          <cell r="A36" t="str">
            <v>1212</v>
          </cell>
          <cell r="B36" t="str">
            <v>QD.27</v>
          </cell>
          <cell r="C36" t="str">
            <v>27</v>
          </cell>
          <cell r="D36" t="str">
            <v>F3</v>
          </cell>
          <cell r="E36" t="str">
            <v>1212</v>
          </cell>
        </row>
        <row r="37">
          <cell r="A37" t="str">
            <v>2219</v>
          </cell>
          <cell r="B37" t="str">
            <v>QD.28</v>
          </cell>
          <cell r="C37" t="str">
            <v>28</v>
          </cell>
          <cell r="D37" t="str">
            <v>F1</v>
          </cell>
          <cell r="E37" t="str">
            <v>2219</v>
          </cell>
        </row>
        <row r="38">
          <cell r="A38" t="str">
            <v>2216</v>
          </cell>
          <cell r="B38" t="str">
            <v>QD.28</v>
          </cell>
          <cell r="C38" t="str">
            <v>28</v>
          </cell>
          <cell r="D38" t="str">
            <v>F2</v>
          </cell>
          <cell r="E38" t="str">
            <v>2216</v>
          </cell>
        </row>
        <row r="39">
          <cell r="A39" t="str">
            <v>2224</v>
          </cell>
          <cell r="B39" t="str">
            <v>QD.28</v>
          </cell>
          <cell r="C39" t="str">
            <v>28</v>
          </cell>
          <cell r="D39" t="str">
            <v>F3</v>
          </cell>
          <cell r="E39" t="str">
            <v>2224</v>
          </cell>
        </row>
        <row r="40">
          <cell r="A40" t="str">
            <v>2205</v>
          </cell>
          <cell r="B40" t="str">
            <v>QD.29</v>
          </cell>
          <cell r="C40" t="str">
            <v>29</v>
          </cell>
          <cell r="D40" t="str">
            <v>F1</v>
          </cell>
          <cell r="E40" t="str">
            <v>2205</v>
          </cell>
        </row>
        <row r="41">
          <cell r="A41" t="str">
            <v>2210</v>
          </cell>
          <cell r="B41" t="str">
            <v>QD.29</v>
          </cell>
          <cell r="C41" t="str">
            <v>29</v>
          </cell>
          <cell r="D41" t="str">
            <v>F2</v>
          </cell>
          <cell r="E41" t="str">
            <v>2210</v>
          </cell>
        </row>
        <row r="42">
          <cell r="A42" t="str">
            <v>1294</v>
          </cell>
          <cell r="B42" t="str">
            <v>QD.29</v>
          </cell>
          <cell r="C42" t="str">
            <v>29</v>
          </cell>
          <cell r="D42" t="str">
            <v>F3</v>
          </cell>
          <cell r="E42" t="str">
            <v>1294</v>
          </cell>
        </row>
        <row r="43">
          <cell r="A43" t="str">
            <v>1218</v>
          </cell>
          <cell r="B43" t="str">
            <v>QD.24</v>
          </cell>
          <cell r="C43" t="str">
            <v>24</v>
          </cell>
          <cell r="D43" t="str">
            <v>F1</v>
          </cell>
          <cell r="E43" t="str">
            <v>1218</v>
          </cell>
        </row>
        <row r="44">
          <cell r="A44" t="str">
            <v>1217</v>
          </cell>
          <cell r="B44" t="str">
            <v>QD.24</v>
          </cell>
          <cell r="C44" t="str">
            <v>24</v>
          </cell>
          <cell r="D44" t="str">
            <v>F2</v>
          </cell>
          <cell r="E44" t="str">
            <v>1217</v>
          </cell>
        </row>
        <row r="45">
          <cell r="A45" t="str">
            <v>1221</v>
          </cell>
          <cell r="B45" t="str">
            <v>QD.24</v>
          </cell>
          <cell r="C45" t="str">
            <v>24</v>
          </cell>
          <cell r="D45" t="str">
            <v>F3</v>
          </cell>
          <cell r="E45" t="str">
            <v>1221</v>
          </cell>
        </row>
        <row r="46">
          <cell r="A46" t="str">
            <v>2220</v>
          </cell>
          <cell r="B46" t="str">
            <v>QD.23</v>
          </cell>
          <cell r="C46" t="str">
            <v>23</v>
          </cell>
          <cell r="D46" t="str">
            <v>F1</v>
          </cell>
          <cell r="E46" t="str">
            <v>2220</v>
          </cell>
        </row>
        <row r="47">
          <cell r="A47" t="str">
            <v>2215</v>
          </cell>
          <cell r="B47" t="str">
            <v>QD.23</v>
          </cell>
          <cell r="C47" t="str">
            <v>23</v>
          </cell>
          <cell r="D47" t="str">
            <v>F2</v>
          </cell>
          <cell r="E47" t="str">
            <v>2215</v>
          </cell>
        </row>
        <row r="48">
          <cell r="A48" t="str">
            <v>2227</v>
          </cell>
          <cell r="B48" t="str">
            <v>QD.23</v>
          </cell>
          <cell r="C48" t="str">
            <v>23</v>
          </cell>
          <cell r="D48" t="str">
            <v>F3</v>
          </cell>
          <cell r="E48" t="str">
            <v>2227</v>
          </cell>
        </row>
        <row r="49">
          <cell r="A49" t="str">
            <v>1268</v>
          </cell>
          <cell r="B49" t="str">
            <v>QD.23</v>
          </cell>
          <cell r="C49" t="str">
            <v>23</v>
          </cell>
          <cell r="D49" t="str">
            <v>F1</v>
          </cell>
          <cell r="E49" t="str">
            <v>1268</v>
          </cell>
        </row>
        <row r="50">
          <cell r="A50" t="str">
            <v>1270</v>
          </cell>
          <cell r="B50" t="str">
            <v>QD.23</v>
          </cell>
          <cell r="C50" t="str">
            <v>23</v>
          </cell>
          <cell r="D50" t="str">
            <v>F2</v>
          </cell>
          <cell r="E50" t="str">
            <v>1270</v>
          </cell>
        </row>
        <row r="51">
          <cell r="A51" t="str">
            <v>2201</v>
          </cell>
          <cell r="B51" t="str">
            <v>QD.23</v>
          </cell>
          <cell r="C51" t="str">
            <v>23</v>
          </cell>
          <cell r="D51" t="str">
            <v>F3</v>
          </cell>
          <cell r="E51" t="str">
            <v>2201</v>
          </cell>
        </row>
        <row r="52">
          <cell r="A52" t="str">
            <v>1178</v>
          </cell>
          <cell r="B52" t="str">
            <v>QD.03</v>
          </cell>
          <cell r="C52" t="str">
            <v>03</v>
          </cell>
          <cell r="D52" t="str">
            <v>F1</v>
          </cell>
          <cell r="E52" t="str">
            <v>1178</v>
          </cell>
        </row>
        <row r="53">
          <cell r="A53" t="str">
            <v>1146</v>
          </cell>
          <cell r="B53" t="str">
            <v>QD.03</v>
          </cell>
          <cell r="C53" t="str">
            <v>03</v>
          </cell>
          <cell r="D53" t="str">
            <v>F2</v>
          </cell>
          <cell r="E53" t="str">
            <v>1146</v>
          </cell>
        </row>
        <row r="54">
          <cell r="A54" t="str">
            <v>1100</v>
          </cell>
          <cell r="B54" t="str">
            <v>QD.03</v>
          </cell>
          <cell r="C54" t="str">
            <v>03</v>
          </cell>
          <cell r="D54" t="str">
            <v>F3</v>
          </cell>
          <cell r="E54" t="str">
            <v>1100</v>
          </cell>
        </row>
        <row r="55">
          <cell r="A55" t="str">
            <v>2157</v>
          </cell>
          <cell r="B55" t="str">
            <v>QD.02</v>
          </cell>
          <cell r="C55" t="str">
            <v>02</v>
          </cell>
          <cell r="D55" t="str">
            <v>F1</v>
          </cell>
          <cell r="E55" t="str">
            <v>2157</v>
          </cell>
        </row>
        <row r="56">
          <cell r="A56" t="str">
            <v>2155</v>
          </cell>
          <cell r="B56" t="str">
            <v>QD.02</v>
          </cell>
          <cell r="C56" t="str">
            <v>02</v>
          </cell>
          <cell r="D56" t="str">
            <v>F2</v>
          </cell>
          <cell r="E56" t="str">
            <v>2155</v>
          </cell>
        </row>
        <row r="57">
          <cell r="A57" t="str">
            <v>2174</v>
          </cell>
          <cell r="B57" t="str">
            <v>QD.02</v>
          </cell>
          <cell r="C57" t="str">
            <v>02</v>
          </cell>
          <cell r="D57" t="str">
            <v>F3</v>
          </cell>
          <cell r="E57" t="str">
            <v>2174</v>
          </cell>
        </row>
        <row r="58">
          <cell r="A58" t="str">
            <v>2180</v>
          </cell>
          <cell r="B58" t="str">
            <v>QD.02</v>
          </cell>
          <cell r="C58" t="str">
            <v>02</v>
          </cell>
          <cell r="D58" t="str">
            <v>F4</v>
          </cell>
          <cell r="E58" t="str">
            <v>2180</v>
          </cell>
        </row>
        <row r="59">
          <cell r="A59" t="str">
            <v>2170</v>
          </cell>
          <cell r="B59" t="str">
            <v>QD.01</v>
          </cell>
          <cell r="C59" t="str">
            <v>01</v>
          </cell>
          <cell r="D59" t="str">
            <v>F1</v>
          </cell>
          <cell r="E59" t="str">
            <v>2170</v>
          </cell>
        </row>
        <row r="60">
          <cell r="A60" t="str">
            <v>2132</v>
          </cell>
          <cell r="B60" t="str">
            <v>QD.01</v>
          </cell>
          <cell r="C60" t="str">
            <v>01</v>
          </cell>
          <cell r="D60" t="str">
            <v>F2</v>
          </cell>
          <cell r="E60" t="str">
            <v>2132</v>
          </cell>
        </row>
        <row r="61">
          <cell r="A61" t="str">
            <v>2057</v>
          </cell>
          <cell r="B61" t="str">
            <v>QD.01</v>
          </cell>
          <cell r="C61" t="str">
            <v>01</v>
          </cell>
          <cell r="D61" t="str">
            <v>F3</v>
          </cell>
          <cell r="E61" t="str">
            <v>2057</v>
          </cell>
        </row>
        <row r="62">
          <cell r="A62" t="str">
            <v>2055</v>
          </cell>
          <cell r="B62" t="str">
            <v>QD.01</v>
          </cell>
          <cell r="C62" t="str">
            <v>01</v>
          </cell>
          <cell r="D62" t="str">
            <v>F4</v>
          </cell>
          <cell r="E62" t="str">
            <v>2055</v>
          </cell>
        </row>
        <row r="63">
          <cell r="A63" t="str">
            <v>2201</v>
          </cell>
          <cell r="B63" t="str">
            <v>QD.12</v>
          </cell>
          <cell r="C63" t="str">
            <v>12</v>
          </cell>
          <cell r="D63" t="str">
            <v>F1</v>
          </cell>
          <cell r="E63" t="str">
            <v>2201</v>
          </cell>
        </row>
        <row r="64">
          <cell r="A64" t="str">
            <v>2202</v>
          </cell>
          <cell r="B64" t="str">
            <v>QD.12</v>
          </cell>
          <cell r="C64" t="str">
            <v>12</v>
          </cell>
          <cell r="D64" t="str">
            <v>F2</v>
          </cell>
          <cell r="E64" t="str">
            <v>2202</v>
          </cell>
        </row>
        <row r="65">
          <cell r="A65" t="str">
            <v>2247</v>
          </cell>
          <cell r="B65" t="str">
            <v>QD.12</v>
          </cell>
          <cell r="C65" t="str">
            <v>12</v>
          </cell>
          <cell r="D65" t="str">
            <v>F3</v>
          </cell>
          <cell r="E65" t="str">
            <v>2247</v>
          </cell>
        </row>
        <row r="66">
          <cell r="A66" t="str">
            <v>Ilegível</v>
          </cell>
          <cell r="B66" t="str">
            <v>QD.12</v>
          </cell>
          <cell r="C66" t="str">
            <v>12</v>
          </cell>
          <cell r="D66" t="str">
            <v>F4</v>
          </cell>
          <cell r="E66" t="str">
            <v>Ilegível</v>
          </cell>
        </row>
        <row r="67">
          <cell r="A67" t="str">
            <v>1200</v>
          </cell>
          <cell r="B67" t="str">
            <v>QD.13</v>
          </cell>
          <cell r="C67" t="str">
            <v>13</v>
          </cell>
          <cell r="D67" t="str">
            <v>F1</v>
          </cell>
          <cell r="E67" t="str">
            <v>1200</v>
          </cell>
        </row>
        <row r="68">
          <cell r="A68" t="str">
            <v>1190</v>
          </cell>
          <cell r="B68" t="str">
            <v>QD.13</v>
          </cell>
          <cell r="C68" t="str">
            <v>13</v>
          </cell>
          <cell r="D68" t="str">
            <v>F2</v>
          </cell>
          <cell r="E68" t="str">
            <v>1190</v>
          </cell>
        </row>
        <row r="69">
          <cell r="A69" t="str">
            <v>2193</v>
          </cell>
          <cell r="B69" t="str">
            <v>QD.13</v>
          </cell>
          <cell r="C69" t="str">
            <v>13</v>
          </cell>
          <cell r="D69" t="str">
            <v>F3</v>
          </cell>
          <cell r="E69" t="str">
            <v>2193</v>
          </cell>
        </row>
        <row r="70">
          <cell r="A70" t="str">
            <v>2195</v>
          </cell>
          <cell r="B70" t="str">
            <v>QD.14</v>
          </cell>
          <cell r="C70" t="str">
            <v>14</v>
          </cell>
          <cell r="D70" t="str">
            <v>F1</v>
          </cell>
          <cell r="E70" t="str">
            <v>2195</v>
          </cell>
        </row>
        <row r="71">
          <cell r="A71" t="str">
            <v>2267</v>
          </cell>
          <cell r="B71" t="str">
            <v>QD.14</v>
          </cell>
          <cell r="C71" t="str">
            <v>14</v>
          </cell>
          <cell r="D71" t="str">
            <v>F2</v>
          </cell>
          <cell r="E71" t="str">
            <v>2267</v>
          </cell>
        </row>
        <row r="72">
          <cell r="A72" t="str">
            <v>2241</v>
          </cell>
          <cell r="B72" t="str">
            <v>QD.14</v>
          </cell>
          <cell r="C72" t="str">
            <v>14</v>
          </cell>
          <cell r="D72" t="str">
            <v>F3</v>
          </cell>
          <cell r="E72" t="str">
            <v>2241</v>
          </cell>
        </row>
        <row r="73">
          <cell r="A73" t="str">
            <v>Ilegível</v>
          </cell>
          <cell r="B73" t="str">
            <v>QD.15</v>
          </cell>
          <cell r="C73" t="str">
            <v>15</v>
          </cell>
          <cell r="D73" t="str">
            <v>F1</v>
          </cell>
          <cell r="E73" t="str">
            <v>Ilegível</v>
          </cell>
        </row>
        <row r="74">
          <cell r="A74" t="str">
            <v>Ilegível</v>
          </cell>
          <cell r="B74" t="str">
            <v>QD.15</v>
          </cell>
          <cell r="C74" t="str">
            <v>15</v>
          </cell>
          <cell r="D74" t="str">
            <v>F2</v>
          </cell>
          <cell r="E74" t="str">
            <v>Ilegível</v>
          </cell>
        </row>
        <row r="75">
          <cell r="A75" t="str">
            <v>Ilegível</v>
          </cell>
          <cell r="B75" t="str">
            <v>QD.15</v>
          </cell>
          <cell r="C75" t="str">
            <v>15</v>
          </cell>
          <cell r="D75" t="str">
            <v>F3</v>
          </cell>
          <cell r="E75" t="str">
            <v>Ilegível</v>
          </cell>
        </row>
        <row r="76">
          <cell r="A76" t="str">
            <v>1266</v>
          </cell>
          <cell r="B76" t="str">
            <v>QD.11</v>
          </cell>
          <cell r="C76" t="str">
            <v>11</v>
          </cell>
          <cell r="D76" t="str">
            <v>F1</v>
          </cell>
          <cell r="E76" t="str">
            <v>1266</v>
          </cell>
        </row>
        <row r="77">
          <cell r="A77" t="str">
            <v>2307</v>
          </cell>
          <cell r="B77" t="str">
            <v>QD.10</v>
          </cell>
          <cell r="C77" t="str">
            <v>10</v>
          </cell>
          <cell r="D77" t="str">
            <v>F2</v>
          </cell>
          <cell r="E77" t="str">
            <v>2307</v>
          </cell>
        </row>
        <row r="78">
          <cell r="A78" t="str">
            <v>2280</v>
          </cell>
          <cell r="B78" t="str">
            <v>QD.10</v>
          </cell>
          <cell r="C78" t="str">
            <v>10</v>
          </cell>
          <cell r="D78" t="str">
            <v>F3</v>
          </cell>
          <cell r="E78" t="str">
            <v>2280</v>
          </cell>
        </row>
        <row r="79">
          <cell r="A79" t="str">
            <v>2310</v>
          </cell>
          <cell r="B79" t="str">
            <v>QD.09</v>
          </cell>
          <cell r="C79" t="str">
            <v>09</v>
          </cell>
          <cell r="D79" t="str">
            <v>F1</v>
          </cell>
          <cell r="E79" t="str">
            <v>2310</v>
          </cell>
        </row>
        <row r="80">
          <cell r="A80" t="str">
            <v>2305</v>
          </cell>
          <cell r="B80" t="str">
            <v>QD.09</v>
          </cell>
          <cell r="C80" t="str">
            <v>09</v>
          </cell>
          <cell r="D80" t="str">
            <v>F2</v>
          </cell>
          <cell r="E80" t="str">
            <v>2305</v>
          </cell>
        </row>
        <row r="81">
          <cell r="A81" t="str">
            <v>2314</v>
          </cell>
          <cell r="B81" t="str">
            <v>QD.09</v>
          </cell>
          <cell r="C81" t="str">
            <v>09</v>
          </cell>
          <cell r="D81" t="str">
            <v>F3</v>
          </cell>
          <cell r="E81" t="str">
            <v>2314</v>
          </cell>
        </row>
        <row r="82">
          <cell r="A82" t="str">
            <v>1281</v>
          </cell>
          <cell r="B82" t="str">
            <v>QD.08</v>
          </cell>
          <cell r="C82" t="str">
            <v>08</v>
          </cell>
          <cell r="D82" t="str">
            <v>F1</v>
          </cell>
          <cell r="E82" t="str">
            <v>1281</v>
          </cell>
        </row>
        <row r="83">
          <cell r="A83" t="str">
            <v>1306</v>
          </cell>
          <cell r="B83" t="str">
            <v>QD.08</v>
          </cell>
          <cell r="C83" t="str">
            <v>08</v>
          </cell>
          <cell r="D83" t="str">
            <v>F2</v>
          </cell>
          <cell r="E83" t="str">
            <v>1306</v>
          </cell>
        </row>
        <row r="84">
          <cell r="A84" t="str">
            <v>1308</v>
          </cell>
          <cell r="B84" t="str">
            <v>QD.08</v>
          </cell>
          <cell r="C84" t="str">
            <v>08</v>
          </cell>
          <cell r="D84" t="str">
            <v>F3</v>
          </cell>
          <cell r="E84" t="str">
            <v>1308</v>
          </cell>
        </row>
        <row r="85">
          <cell r="A85" t="str">
            <v>2303</v>
          </cell>
          <cell r="B85" t="str">
            <v>QD.07</v>
          </cell>
          <cell r="C85" t="str">
            <v>07</v>
          </cell>
          <cell r="D85" t="str">
            <v>F1</v>
          </cell>
          <cell r="E85" t="str">
            <v>2303</v>
          </cell>
        </row>
        <row r="86">
          <cell r="A86" t="str">
            <v>1191</v>
          </cell>
          <cell r="B86" t="str">
            <v>QD.07</v>
          </cell>
          <cell r="C86" t="str">
            <v>07</v>
          </cell>
          <cell r="D86" t="str">
            <v>F2</v>
          </cell>
          <cell r="E86" t="str">
            <v>1191</v>
          </cell>
        </row>
        <row r="87">
          <cell r="A87" t="str">
            <v>2213</v>
          </cell>
          <cell r="B87" t="str">
            <v>QD.07</v>
          </cell>
          <cell r="C87" t="str">
            <v>07</v>
          </cell>
          <cell r="D87" t="str">
            <v>F3</v>
          </cell>
          <cell r="E87" t="str">
            <v>2213</v>
          </cell>
        </row>
        <row r="88">
          <cell r="A88" t="str">
            <v>2232</v>
          </cell>
          <cell r="B88" t="str">
            <v>QD.07</v>
          </cell>
          <cell r="C88" t="str">
            <v>07</v>
          </cell>
          <cell r="D88" t="str">
            <v>F4</v>
          </cell>
          <cell r="E88" t="str">
            <v>2232</v>
          </cell>
        </row>
        <row r="89">
          <cell r="A89" t="str">
            <v>2298</v>
          </cell>
          <cell r="B89" t="str">
            <v>QD.06</v>
          </cell>
          <cell r="C89" t="str">
            <v>06</v>
          </cell>
          <cell r="D89" t="str">
            <v>F1</v>
          </cell>
          <cell r="E89" t="str">
            <v>2298</v>
          </cell>
        </row>
        <row r="90">
          <cell r="A90" t="str">
            <v>2236</v>
          </cell>
          <cell r="B90" t="str">
            <v>QD.06</v>
          </cell>
          <cell r="C90" t="str">
            <v>06</v>
          </cell>
          <cell r="D90" t="str">
            <v>F2</v>
          </cell>
          <cell r="E90" t="str">
            <v>2236</v>
          </cell>
        </row>
        <row r="91">
          <cell r="A91" t="str">
            <v>2319</v>
          </cell>
          <cell r="B91" t="str">
            <v>QD.06</v>
          </cell>
          <cell r="C91" t="str">
            <v>06</v>
          </cell>
          <cell r="D91" t="str">
            <v>F3</v>
          </cell>
          <cell r="E91" t="str">
            <v>2319</v>
          </cell>
        </row>
        <row r="92">
          <cell r="A92" t="str">
            <v>1320</v>
          </cell>
          <cell r="B92" t="str">
            <v>QD.05</v>
          </cell>
          <cell r="C92" t="str">
            <v>05</v>
          </cell>
          <cell r="D92" t="str">
            <v>F1</v>
          </cell>
          <cell r="E92" t="str">
            <v>1320</v>
          </cell>
        </row>
        <row r="93">
          <cell r="A93" t="str">
            <v>1299</v>
          </cell>
          <cell r="B93" t="str">
            <v>QD.05</v>
          </cell>
          <cell r="C93" t="str">
            <v>05</v>
          </cell>
          <cell r="D93" t="str">
            <v>F2</v>
          </cell>
          <cell r="E93" t="str">
            <v>1299</v>
          </cell>
        </row>
        <row r="94">
          <cell r="A94" t="str">
            <v>1288</v>
          </cell>
          <cell r="B94" t="str">
            <v>QD.05</v>
          </cell>
          <cell r="C94" t="str">
            <v>05</v>
          </cell>
          <cell r="D94" t="str">
            <v>F3</v>
          </cell>
          <cell r="E94" t="str">
            <v>1288</v>
          </cell>
        </row>
        <row r="95">
          <cell r="A95" t="str">
            <v>2192</v>
          </cell>
          <cell r="B95" t="str">
            <v>QD.05</v>
          </cell>
          <cell r="C95" t="str">
            <v>05</v>
          </cell>
          <cell r="D95" t="str">
            <v>F4</v>
          </cell>
          <cell r="E95" t="str">
            <v>2192</v>
          </cell>
        </row>
        <row r="96">
          <cell r="A96" t="str">
            <v>1304</v>
          </cell>
          <cell r="B96" t="str">
            <v>QD.05</v>
          </cell>
          <cell r="C96" t="str">
            <v>05</v>
          </cell>
          <cell r="D96" t="str">
            <v>F5</v>
          </cell>
          <cell r="E96" t="str">
            <v>1304</v>
          </cell>
        </row>
        <row r="97">
          <cell r="A97" t="str">
            <v>2686</v>
          </cell>
          <cell r="B97" t="str">
            <v>QD.04</v>
          </cell>
          <cell r="C97" t="str">
            <v>04</v>
          </cell>
          <cell r="D97" t="str">
            <v>F1</v>
          </cell>
          <cell r="E97" t="str">
            <v>2686</v>
          </cell>
        </row>
        <row r="98">
          <cell r="A98" t="str">
            <v>2199</v>
          </cell>
          <cell r="B98" t="str">
            <v>QD.04</v>
          </cell>
          <cell r="C98" t="str">
            <v>04</v>
          </cell>
          <cell r="D98" t="str">
            <v>F2</v>
          </cell>
          <cell r="E98" t="str">
            <v>2199</v>
          </cell>
        </row>
        <row r="99">
          <cell r="A99" t="str">
            <v>1226</v>
          </cell>
          <cell r="B99" t="str">
            <v>QD.04</v>
          </cell>
          <cell r="C99" t="str">
            <v>04</v>
          </cell>
          <cell r="D99" t="str">
            <v>F3</v>
          </cell>
          <cell r="E99" t="str">
            <v>1226</v>
          </cell>
        </row>
        <row r="100">
          <cell r="A100" t="str">
            <v>2225</v>
          </cell>
          <cell r="B100" t="str">
            <v>QD.04</v>
          </cell>
          <cell r="C100" t="str">
            <v>04</v>
          </cell>
          <cell r="D100" t="str">
            <v>F4</v>
          </cell>
          <cell r="E100" t="str">
            <v>2225</v>
          </cell>
        </row>
        <row r="101">
          <cell r="A101" t="str">
            <v>1329</v>
          </cell>
          <cell r="B101" t="str">
            <v>QD.13</v>
          </cell>
          <cell r="C101" t="str">
            <v>13</v>
          </cell>
          <cell r="D101" t="str">
            <v>F1</v>
          </cell>
          <cell r="E101" t="str">
            <v>1329</v>
          </cell>
        </row>
        <row r="102">
          <cell r="A102" t="str">
            <v>2326</v>
          </cell>
          <cell r="B102" t="str">
            <v>QD.13</v>
          </cell>
          <cell r="C102" t="str">
            <v>13</v>
          </cell>
          <cell r="D102" t="str">
            <v>F2</v>
          </cell>
          <cell r="E102" t="str">
            <v>2326</v>
          </cell>
        </row>
        <row r="103">
          <cell r="A103" t="str">
            <v>2334</v>
          </cell>
          <cell r="B103" t="str">
            <v>QD.13</v>
          </cell>
          <cell r="C103" t="str">
            <v>13</v>
          </cell>
          <cell r="D103" t="str">
            <v>F3</v>
          </cell>
          <cell r="E103" t="str">
            <v>2334</v>
          </cell>
        </row>
        <row r="104">
          <cell r="A104" t="str">
            <v>2080</v>
          </cell>
          <cell r="B104" t="str">
            <v>QD.09</v>
          </cell>
          <cell r="C104" t="str">
            <v>09</v>
          </cell>
          <cell r="D104" t="str">
            <v>F1</v>
          </cell>
          <cell r="E104" t="str">
            <v>2080</v>
          </cell>
        </row>
        <row r="105">
          <cell r="A105" t="str">
            <v>2085</v>
          </cell>
          <cell r="B105" t="str">
            <v>QD.09</v>
          </cell>
          <cell r="C105" t="str">
            <v>09</v>
          </cell>
          <cell r="D105" t="str">
            <v>F2</v>
          </cell>
          <cell r="E105" t="str">
            <v>2085</v>
          </cell>
        </row>
        <row r="106">
          <cell r="A106" t="str">
            <v>2086</v>
          </cell>
          <cell r="B106" t="str">
            <v>QD.09</v>
          </cell>
          <cell r="C106" t="str">
            <v>09</v>
          </cell>
          <cell r="D106" t="str">
            <v>F3</v>
          </cell>
          <cell r="E106" t="str">
            <v>2086</v>
          </cell>
        </row>
        <row r="107">
          <cell r="A107" t="str">
            <v>2078</v>
          </cell>
          <cell r="B107" t="str">
            <v>QD.08</v>
          </cell>
          <cell r="C107" t="str">
            <v>08</v>
          </cell>
          <cell r="D107" t="str">
            <v>F1</v>
          </cell>
          <cell r="E107" t="str">
            <v>2078</v>
          </cell>
        </row>
        <row r="108">
          <cell r="A108" t="str">
            <v>2084</v>
          </cell>
          <cell r="B108" t="str">
            <v>QD.08</v>
          </cell>
          <cell r="C108" t="str">
            <v>08</v>
          </cell>
          <cell r="D108" t="str">
            <v>F2</v>
          </cell>
          <cell r="E108" t="str">
            <v>2084</v>
          </cell>
        </row>
        <row r="109">
          <cell r="A109" t="str">
            <v>2088</v>
          </cell>
          <cell r="B109" t="str">
            <v>QD.08</v>
          </cell>
          <cell r="C109" t="str">
            <v>08</v>
          </cell>
          <cell r="D109" t="str">
            <v>F3</v>
          </cell>
          <cell r="E109" t="str">
            <v>2088</v>
          </cell>
        </row>
        <row r="110">
          <cell r="A110" t="str">
            <v>1083</v>
          </cell>
          <cell r="B110" t="str">
            <v>QD.09</v>
          </cell>
          <cell r="C110" t="str">
            <v>09</v>
          </cell>
          <cell r="D110" t="str">
            <v>F1</v>
          </cell>
          <cell r="E110" t="str">
            <v>1083</v>
          </cell>
        </row>
        <row r="111">
          <cell r="A111" t="str">
            <v>1079</v>
          </cell>
          <cell r="B111" t="str">
            <v>QD.09</v>
          </cell>
          <cell r="C111" t="str">
            <v>09</v>
          </cell>
          <cell r="D111" t="str">
            <v>F2</v>
          </cell>
          <cell r="E111" t="str">
            <v>1079</v>
          </cell>
        </row>
        <row r="112">
          <cell r="A112" t="str">
            <v>1087</v>
          </cell>
          <cell r="B112" t="str">
            <v>QD.06</v>
          </cell>
          <cell r="C112" t="str">
            <v>06</v>
          </cell>
          <cell r="D112" t="str">
            <v>F1</v>
          </cell>
          <cell r="E112" t="str">
            <v>1087</v>
          </cell>
        </row>
        <row r="113">
          <cell r="A113" t="str">
            <v>1090</v>
          </cell>
          <cell r="B113" t="str">
            <v>QD.06</v>
          </cell>
          <cell r="C113" t="str">
            <v>06</v>
          </cell>
          <cell r="D113" t="str">
            <v>F2</v>
          </cell>
          <cell r="E113" t="str">
            <v>1090</v>
          </cell>
        </row>
        <row r="114">
          <cell r="A114" t="str">
            <v>2091</v>
          </cell>
          <cell r="B114" t="str">
            <v>QD.06</v>
          </cell>
          <cell r="C114" t="str">
            <v>06</v>
          </cell>
          <cell r="D114" t="str">
            <v>F3</v>
          </cell>
          <cell r="E114" t="str">
            <v>2091</v>
          </cell>
        </row>
        <row r="115">
          <cell r="A115" t="str">
            <v>1093</v>
          </cell>
          <cell r="B115" t="str">
            <v>QD.04</v>
          </cell>
          <cell r="C115" t="str">
            <v>04</v>
          </cell>
          <cell r="D115" t="str">
            <v>F1</v>
          </cell>
          <cell r="E115" t="str">
            <v>1093</v>
          </cell>
        </row>
        <row r="116">
          <cell r="A116" t="str">
            <v>1041</v>
          </cell>
          <cell r="B116" t="str">
            <v>QD.04</v>
          </cell>
          <cell r="C116" t="str">
            <v>04</v>
          </cell>
          <cell r="D116" t="str">
            <v>F2</v>
          </cell>
          <cell r="E116" t="str">
            <v>1041</v>
          </cell>
        </row>
        <row r="117">
          <cell r="A117" t="str">
            <v>2335</v>
          </cell>
          <cell r="B117" t="str">
            <v>QD.04</v>
          </cell>
          <cell r="C117" t="str">
            <v>04</v>
          </cell>
          <cell r="D117" t="str">
            <v>F3</v>
          </cell>
          <cell r="E117" t="str">
            <v>2335</v>
          </cell>
        </row>
        <row r="118">
          <cell r="A118" t="str">
            <v>1339</v>
          </cell>
          <cell r="B118" t="str">
            <v>QD.02</v>
          </cell>
          <cell r="C118" t="str">
            <v>02</v>
          </cell>
          <cell r="D118" t="str">
            <v>F1</v>
          </cell>
          <cell r="E118" t="str">
            <v>1339</v>
          </cell>
        </row>
        <row r="119">
          <cell r="A119" t="str">
            <v>2340</v>
          </cell>
          <cell r="B119" t="str">
            <v>QD.02</v>
          </cell>
          <cell r="C119" t="str">
            <v>02</v>
          </cell>
          <cell r="D119" t="str">
            <v>F2</v>
          </cell>
          <cell r="E119" t="str">
            <v>2340</v>
          </cell>
        </row>
        <row r="120">
          <cell r="A120" t="str">
            <v>2061</v>
          </cell>
          <cell r="B120" t="str">
            <v>QD.02</v>
          </cell>
          <cell r="C120" t="str">
            <v>02</v>
          </cell>
          <cell r="D120" t="str">
            <v>F3</v>
          </cell>
          <cell r="E120" t="str">
            <v>2061</v>
          </cell>
        </row>
        <row r="121">
          <cell r="A121" t="str">
            <v>2081</v>
          </cell>
          <cell r="B121" t="str">
            <v>QD.01</v>
          </cell>
          <cell r="C121" t="str">
            <v>01</v>
          </cell>
          <cell r="D121" t="str">
            <v>F1</v>
          </cell>
          <cell r="E121" t="str">
            <v>2081</v>
          </cell>
        </row>
        <row r="122">
          <cell r="A122" t="str">
            <v>2082</v>
          </cell>
          <cell r="B122" t="str">
            <v>QD.01</v>
          </cell>
          <cell r="C122" t="str">
            <v>01</v>
          </cell>
          <cell r="D122" t="str">
            <v>F2</v>
          </cell>
          <cell r="E122" t="str">
            <v>2082</v>
          </cell>
        </row>
        <row r="123">
          <cell r="A123" t="str">
            <v>2089</v>
          </cell>
          <cell r="B123" t="str">
            <v>QD.01</v>
          </cell>
          <cell r="C123" t="str">
            <v>01</v>
          </cell>
          <cell r="D123" t="str">
            <v>F3</v>
          </cell>
          <cell r="E123" t="str">
            <v>2089</v>
          </cell>
        </row>
        <row r="124">
          <cell r="A124" t="str">
            <v>2031</v>
          </cell>
          <cell r="B124" t="str">
            <v>QD.27</v>
          </cell>
          <cell r="C124" t="str">
            <v>27</v>
          </cell>
          <cell r="D124" t="str">
            <v>F1</v>
          </cell>
          <cell r="E124" t="str">
            <v>2031</v>
          </cell>
        </row>
        <row r="125">
          <cell r="A125" t="str">
            <v>2032</v>
          </cell>
          <cell r="B125" t="str">
            <v>QD.27</v>
          </cell>
          <cell r="C125" t="str">
            <v>27</v>
          </cell>
          <cell r="D125" t="str">
            <v>F2</v>
          </cell>
          <cell r="E125" t="str">
            <v>2032</v>
          </cell>
        </row>
        <row r="126">
          <cell r="A126" t="str">
            <v>2034</v>
          </cell>
          <cell r="B126" t="str">
            <v>QD.27</v>
          </cell>
          <cell r="C126" t="str">
            <v>27</v>
          </cell>
          <cell r="D126" t="str">
            <v>F3</v>
          </cell>
          <cell r="E126" t="str">
            <v>2034</v>
          </cell>
        </row>
        <row r="127">
          <cell r="A127" t="str">
            <v>2024</v>
          </cell>
          <cell r="B127" t="str">
            <v>QD.27</v>
          </cell>
          <cell r="C127" t="str">
            <v>27</v>
          </cell>
          <cell r="D127" t="str">
            <v>F4</v>
          </cell>
          <cell r="E127" t="str">
            <v>2024</v>
          </cell>
        </row>
        <row r="128">
          <cell r="A128" t="str">
            <v>2333</v>
          </cell>
          <cell r="B128" t="str">
            <v>QD.28</v>
          </cell>
          <cell r="C128" t="str">
            <v>28</v>
          </cell>
          <cell r="D128" t="str">
            <v>F2</v>
          </cell>
          <cell r="E128" t="str">
            <v>2333</v>
          </cell>
        </row>
        <row r="129">
          <cell r="A129" t="str">
            <v>2330</v>
          </cell>
          <cell r="B129" t="str">
            <v>QD.28</v>
          </cell>
          <cell r="C129" t="str">
            <v>28</v>
          </cell>
          <cell r="D129" t="str">
            <v>F3</v>
          </cell>
          <cell r="E129" t="str">
            <v>2330</v>
          </cell>
        </row>
        <row r="130">
          <cell r="A130" t="str">
            <v>2020</v>
          </cell>
          <cell r="B130" t="str">
            <v>QD.28</v>
          </cell>
          <cell r="C130" t="str">
            <v>28</v>
          </cell>
          <cell r="D130" t="str">
            <v>F4</v>
          </cell>
          <cell r="E130" t="str">
            <v>2020</v>
          </cell>
        </row>
        <row r="131">
          <cell r="A131" t="str">
            <v>2026</v>
          </cell>
          <cell r="B131" t="str">
            <v>QD.30</v>
          </cell>
          <cell r="C131" t="str">
            <v>30</v>
          </cell>
          <cell r="D131" t="str">
            <v>F1</v>
          </cell>
          <cell r="E131" t="str">
            <v>2026</v>
          </cell>
        </row>
        <row r="132">
          <cell r="A132" t="str">
            <v>2023</v>
          </cell>
          <cell r="B132" t="str">
            <v>QD.30</v>
          </cell>
          <cell r="C132" t="str">
            <v>30</v>
          </cell>
          <cell r="D132" t="str">
            <v>F2</v>
          </cell>
          <cell r="E132" t="str">
            <v>2023</v>
          </cell>
        </row>
        <row r="133">
          <cell r="A133" t="str">
            <v>2024</v>
          </cell>
          <cell r="B133" t="str">
            <v>QD.30</v>
          </cell>
          <cell r="C133" t="str">
            <v>30</v>
          </cell>
          <cell r="D133" t="str">
            <v>F3</v>
          </cell>
          <cell r="E133" t="str">
            <v>2024</v>
          </cell>
        </row>
        <row r="134">
          <cell r="A134" t="str">
            <v>2029</v>
          </cell>
          <cell r="B134" t="str">
            <v>QD.30</v>
          </cell>
          <cell r="C134" t="str">
            <v>30</v>
          </cell>
          <cell r="D134" t="str">
            <v>F4</v>
          </cell>
          <cell r="E134" t="str">
            <v>2029</v>
          </cell>
        </row>
        <row r="135">
          <cell r="A135" t="str">
            <v>1018</v>
          </cell>
          <cell r="B135" t="str">
            <v>QD.31</v>
          </cell>
          <cell r="C135" t="str">
            <v>31</v>
          </cell>
          <cell r="D135" t="str">
            <v>F1</v>
          </cell>
          <cell r="E135" t="str">
            <v>1018</v>
          </cell>
        </row>
        <row r="136">
          <cell r="A136" t="str">
            <v>1023</v>
          </cell>
          <cell r="B136" t="str">
            <v>QD.31</v>
          </cell>
          <cell r="C136" t="str">
            <v>31</v>
          </cell>
          <cell r="D136" t="str">
            <v>F2</v>
          </cell>
          <cell r="E136" t="str">
            <v>1023</v>
          </cell>
        </row>
        <row r="137">
          <cell r="A137" t="str">
            <v>1025</v>
          </cell>
          <cell r="B137" t="str">
            <v>QD.31</v>
          </cell>
          <cell r="C137" t="str">
            <v>31</v>
          </cell>
          <cell r="D137" t="str">
            <v>F3</v>
          </cell>
          <cell r="E137" t="str">
            <v>1025</v>
          </cell>
        </row>
        <row r="138">
          <cell r="A138" t="str">
            <v>1028</v>
          </cell>
          <cell r="B138" t="str">
            <v>QD.31</v>
          </cell>
          <cell r="C138" t="str">
            <v>31</v>
          </cell>
          <cell r="D138" t="str">
            <v>F4</v>
          </cell>
          <cell r="E138" t="str">
            <v>1028</v>
          </cell>
        </row>
        <row r="139">
          <cell r="A139" t="str">
            <v>2016</v>
          </cell>
          <cell r="B139" t="str">
            <v>QD.32</v>
          </cell>
          <cell r="C139" t="str">
            <v>32</v>
          </cell>
          <cell r="D139" t="str">
            <v>F1</v>
          </cell>
          <cell r="E139" t="str">
            <v>2016</v>
          </cell>
        </row>
        <row r="140">
          <cell r="A140" t="str">
            <v>2019</v>
          </cell>
          <cell r="B140" t="str">
            <v>QD.32</v>
          </cell>
          <cell r="C140" t="str">
            <v>32</v>
          </cell>
          <cell r="D140" t="str">
            <v>F2</v>
          </cell>
          <cell r="E140" t="str">
            <v>2019</v>
          </cell>
        </row>
        <row r="141">
          <cell r="A141" t="str">
            <v>2037</v>
          </cell>
          <cell r="B141" t="str">
            <v>QD.32</v>
          </cell>
          <cell r="C141" t="str">
            <v>32</v>
          </cell>
          <cell r="D141" t="str">
            <v>F3</v>
          </cell>
          <cell r="E141" t="str">
            <v>2037</v>
          </cell>
        </row>
        <row r="142">
          <cell r="A142" t="str">
            <v>2313</v>
          </cell>
          <cell r="B142" t="str">
            <v>QD.21</v>
          </cell>
          <cell r="C142" t="str">
            <v>21</v>
          </cell>
          <cell r="D142" t="str">
            <v>F1</v>
          </cell>
          <cell r="E142" t="str">
            <v>2313</v>
          </cell>
        </row>
        <row r="143">
          <cell r="A143" t="str">
            <v>2309</v>
          </cell>
          <cell r="B143" t="str">
            <v>QD.21</v>
          </cell>
          <cell r="C143" t="str">
            <v>21</v>
          </cell>
          <cell r="D143" t="str">
            <v>F2</v>
          </cell>
          <cell r="E143" t="str">
            <v>2309</v>
          </cell>
        </row>
        <row r="144">
          <cell r="A144" t="str">
            <v>1317</v>
          </cell>
          <cell r="B144" t="str">
            <v>QD.21</v>
          </cell>
          <cell r="C144" t="str">
            <v>21</v>
          </cell>
          <cell r="D144" t="str">
            <v>F3</v>
          </cell>
          <cell r="E144" t="str">
            <v>1317</v>
          </cell>
        </row>
        <row r="145">
          <cell r="A145" t="str">
            <v>2066</v>
          </cell>
          <cell r="B145" t="str">
            <v>QD.22</v>
          </cell>
          <cell r="C145" t="str">
            <v>22</v>
          </cell>
          <cell r="D145" t="str">
            <v>F1</v>
          </cell>
          <cell r="E145" t="str">
            <v>2066</v>
          </cell>
        </row>
        <row r="146">
          <cell r="A146" t="str">
            <v>2020</v>
          </cell>
          <cell r="B146" t="str">
            <v>QD.22</v>
          </cell>
          <cell r="C146" t="str">
            <v>22</v>
          </cell>
          <cell r="D146" t="str">
            <v>F2</v>
          </cell>
          <cell r="E146" t="str">
            <v>2020</v>
          </cell>
        </row>
        <row r="147">
          <cell r="A147" t="str">
            <v>2068</v>
          </cell>
          <cell r="B147" t="str">
            <v>QD.22</v>
          </cell>
          <cell r="C147" t="str">
            <v>22</v>
          </cell>
          <cell r="D147" t="str">
            <v>F3</v>
          </cell>
          <cell r="E147" t="str">
            <v>2068</v>
          </cell>
        </row>
        <row r="148">
          <cell r="A148" t="str">
            <v>2071</v>
          </cell>
          <cell r="B148" t="str">
            <v>QD.22</v>
          </cell>
          <cell r="C148" t="str">
            <v>22</v>
          </cell>
          <cell r="D148" t="str">
            <v>F4</v>
          </cell>
          <cell r="E148" t="str">
            <v>2071</v>
          </cell>
        </row>
        <row r="149">
          <cell r="A149" t="str">
            <v>1061</v>
          </cell>
          <cell r="B149" t="str">
            <v>QD.23</v>
          </cell>
          <cell r="C149" t="str">
            <v>23</v>
          </cell>
          <cell r="D149" t="str">
            <v>F1</v>
          </cell>
          <cell r="E149" t="str">
            <v>1061</v>
          </cell>
        </row>
        <row r="150">
          <cell r="A150" t="str">
            <v>2060</v>
          </cell>
          <cell r="B150" t="str">
            <v>QD.24</v>
          </cell>
          <cell r="C150" t="str">
            <v>24</v>
          </cell>
          <cell r="D150" t="str">
            <v>F1</v>
          </cell>
          <cell r="E150" t="str">
            <v>2060</v>
          </cell>
        </row>
        <row r="151">
          <cell r="A151" t="str">
            <v>2064</v>
          </cell>
          <cell r="B151" t="str">
            <v>QD.24</v>
          </cell>
          <cell r="C151" t="str">
            <v>24</v>
          </cell>
          <cell r="D151" t="str">
            <v>F2</v>
          </cell>
          <cell r="E151" t="str">
            <v>2064</v>
          </cell>
        </row>
        <row r="152">
          <cell r="A152" t="str">
            <v>2062</v>
          </cell>
          <cell r="B152" t="str">
            <v>QD.24</v>
          </cell>
          <cell r="C152" t="str">
            <v>24</v>
          </cell>
          <cell r="D152" t="str">
            <v>F3</v>
          </cell>
          <cell r="E152" t="str">
            <v>2062</v>
          </cell>
        </row>
        <row r="153">
          <cell r="A153" t="str">
            <v>2065</v>
          </cell>
          <cell r="B153" t="str">
            <v>QD.24</v>
          </cell>
          <cell r="C153" t="str">
            <v>24</v>
          </cell>
          <cell r="D153" t="str">
            <v>F4</v>
          </cell>
          <cell r="E153" t="str">
            <v>2065</v>
          </cell>
        </row>
        <row r="154">
          <cell r="A154" t="str">
            <v>2039</v>
          </cell>
          <cell r="B154" t="str">
            <v>QD.25</v>
          </cell>
          <cell r="C154" t="str">
            <v>25</v>
          </cell>
          <cell r="D154" t="str">
            <v>F1</v>
          </cell>
          <cell r="E154" t="str">
            <v>2039</v>
          </cell>
        </row>
        <row r="155">
          <cell r="A155" t="str">
            <v>2040</v>
          </cell>
          <cell r="B155" t="str">
            <v>QD.25</v>
          </cell>
          <cell r="C155" t="str">
            <v>25</v>
          </cell>
          <cell r="D155" t="str">
            <v>F2</v>
          </cell>
          <cell r="E155" t="str">
            <v>2040</v>
          </cell>
        </row>
        <row r="156">
          <cell r="A156" t="str">
            <v>2042</v>
          </cell>
          <cell r="B156" t="str">
            <v>QD.25</v>
          </cell>
          <cell r="C156" t="str">
            <v>25</v>
          </cell>
          <cell r="D156" t="str">
            <v>F3</v>
          </cell>
          <cell r="E156" t="str">
            <v>2042</v>
          </cell>
        </row>
        <row r="157">
          <cell r="A157" t="str">
            <v>2044</v>
          </cell>
          <cell r="B157" t="str">
            <v>QD.25</v>
          </cell>
          <cell r="C157" t="str">
            <v>25</v>
          </cell>
          <cell r="D157" t="str">
            <v>F4</v>
          </cell>
          <cell r="E157" t="str">
            <v>2044</v>
          </cell>
        </row>
        <row r="158">
          <cell r="A158" t="str">
            <v>1038</v>
          </cell>
          <cell r="B158" t="str">
            <v>QD.26</v>
          </cell>
          <cell r="C158" t="str">
            <v>26</v>
          </cell>
          <cell r="D158" t="str">
            <v>F1</v>
          </cell>
          <cell r="E158" t="str">
            <v>1038</v>
          </cell>
        </row>
        <row r="159">
          <cell r="A159" t="str">
            <v>1073</v>
          </cell>
          <cell r="B159" t="str">
            <v>QD.15</v>
          </cell>
          <cell r="C159" t="str">
            <v>15</v>
          </cell>
          <cell r="D159" t="str">
            <v>F1</v>
          </cell>
          <cell r="E159" t="str">
            <v>1073</v>
          </cell>
        </row>
        <row r="160">
          <cell r="A160" t="str">
            <v>1076</v>
          </cell>
          <cell r="B160" t="str">
            <v>QD.15</v>
          </cell>
          <cell r="C160" t="str">
            <v>15</v>
          </cell>
          <cell r="D160" t="str">
            <v>F2</v>
          </cell>
          <cell r="E160" t="str">
            <v>1076</v>
          </cell>
        </row>
        <row r="161">
          <cell r="A161" t="str">
            <v>2072</v>
          </cell>
          <cell r="B161" t="str">
            <v>QD.15</v>
          </cell>
          <cell r="C161" t="str">
            <v>15</v>
          </cell>
          <cell r="D161" t="str">
            <v>F3</v>
          </cell>
          <cell r="E161" t="str">
            <v>2072</v>
          </cell>
        </row>
        <row r="162">
          <cell r="A162" t="str">
            <v>2075</v>
          </cell>
          <cell r="B162" t="str">
            <v>QD.15</v>
          </cell>
          <cell r="C162" t="str">
            <v>15</v>
          </cell>
          <cell r="D162" t="str">
            <v>F4</v>
          </cell>
          <cell r="E162" t="str">
            <v>2075</v>
          </cell>
        </row>
        <row r="163">
          <cell r="A163" t="str">
            <v>2074</v>
          </cell>
          <cell r="B163" t="str">
            <v>QD.15</v>
          </cell>
          <cell r="C163" t="str">
            <v>15</v>
          </cell>
          <cell r="D163" t="str">
            <v>F5</v>
          </cell>
          <cell r="E163" t="str">
            <v>2074</v>
          </cell>
        </row>
        <row r="164">
          <cell r="A164" t="str">
            <v>2077</v>
          </cell>
          <cell r="B164" t="str">
            <v>QD.15</v>
          </cell>
          <cell r="C164" t="str">
            <v>15</v>
          </cell>
          <cell r="D164" t="str">
            <v>F6</v>
          </cell>
          <cell r="E164" t="str">
            <v>2077</v>
          </cell>
        </row>
        <row r="165">
          <cell r="A165" t="str">
            <v>Ilegível</v>
          </cell>
          <cell r="B165" t="str">
            <v>QD.19</v>
          </cell>
          <cell r="C165" t="str">
            <v>19</v>
          </cell>
          <cell r="D165" t="str">
            <v>F1</v>
          </cell>
          <cell r="E165" t="str">
            <v>Ilegível</v>
          </cell>
        </row>
        <row r="166">
          <cell r="A166" t="str">
            <v>Ilegível</v>
          </cell>
          <cell r="B166" t="str">
            <v>QD.19</v>
          </cell>
          <cell r="C166" t="str">
            <v>19</v>
          </cell>
          <cell r="D166" t="str">
            <v>F2</v>
          </cell>
          <cell r="E166" t="str">
            <v>Ilegível</v>
          </cell>
        </row>
        <row r="167">
          <cell r="A167" t="str">
            <v>Ilegível</v>
          </cell>
          <cell r="B167" t="str">
            <v>QD.20</v>
          </cell>
          <cell r="C167" t="str">
            <v>20</v>
          </cell>
          <cell r="D167" t="str">
            <v>F1</v>
          </cell>
          <cell r="E167" t="str">
            <v>Ilegível</v>
          </cell>
        </row>
        <row r="168">
          <cell r="A168" t="str">
            <v>Ilegível</v>
          </cell>
          <cell r="B168" t="str">
            <v>QD.20</v>
          </cell>
          <cell r="C168" t="str">
            <v>20</v>
          </cell>
          <cell r="D168" t="str">
            <v>F2</v>
          </cell>
          <cell r="E168" t="str">
            <v>Ilegível</v>
          </cell>
        </row>
        <row r="169">
          <cell r="A169" t="str">
            <v>Ilegível</v>
          </cell>
          <cell r="B169" t="str">
            <v>QD.20</v>
          </cell>
          <cell r="C169" t="str">
            <v>20</v>
          </cell>
          <cell r="D169" t="str">
            <v>F3</v>
          </cell>
          <cell r="E169" t="str">
            <v>Ilegível</v>
          </cell>
        </row>
        <row r="170">
          <cell r="A170" t="str">
            <v>Ilegível</v>
          </cell>
          <cell r="B170" t="str">
            <v>QD.20</v>
          </cell>
          <cell r="C170" t="str">
            <v>20</v>
          </cell>
          <cell r="D170" t="str">
            <v>F4</v>
          </cell>
          <cell r="E170" t="str">
            <v>Ilegível</v>
          </cell>
        </row>
        <row r="171">
          <cell r="A171" t="str">
            <v>1156</v>
          </cell>
          <cell r="B171" t="str">
            <v>QD.18</v>
          </cell>
          <cell r="C171" t="str">
            <v>18</v>
          </cell>
          <cell r="D171" t="str">
            <v>F1</v>
          </cell>
          <cell r="E171" t="str">
            <v>1156</v>
          </cell>
        </row>
        <row r="172">
          <cell r="A172" t="str">
            <v>1153</v>
          </cell>
          <cell r="B172" t="str">
            <v>QD.18</v>
          </cell>
          <cell r="C172" t="str">
            <v>18</v>
          </cell>
          <cell r="D172" t="str">
            <v>F2</v>
          </cell>
          <cell r="E172" t="str">
            <v>1153</v>
          </cell>
        </row>
        <row r="173">
          <cell r="A173" t="str">
            <v>1332</v>
          </cell>
          <cell r="B173" t="str">
            <v>QD.18</v>
          </cell>
          <cell r="C173" t="str">
            <v>18</v>
          </cell>
          <cell r="D173" t="str">
            <v>F3</v>
          </cell>
          <cell r="E173" t="str">
            <v>1332</v>
          </cell>
        </row>
        <row r="174">
          <cell r="A174" t="str">
            <v>1167</v>
          </cell>
          <cell r="B174" t="str">
            <v>QD.17</v>
          </cell>
          <cell r="C174" t="str">
            <v>17</v>
          </cell>
          <cell r="D174" t="str">
            <v>F1</v>
          </cell>
          <cell r="E174" t="str">
            <v>1167</v>
          </cell>
        </row>
        <row r="175">
          <cell r="A175" t="str">
            <v>2331</v>
          </cell>
          <cell r="B175" t="str">
            <v>QD.17</v>
          </cell>
          <cell r="C175" t="str">
            <v>17</v>
          </cell>
          <cell r="D175" t="str">
            <v>F2</v>
          </cell>
          <cell r="E175" t="str">
            <v>2331</v>
          </cell>
        </row>
        <row r="176">
          <cell r="A176" t="str">
            <v>2321</v>
          </cell>
          <cell r="B176" t="str">
            <v>QD.17</v>
          </cell>
          <cell r="C176" t="str">
            <v>17</v>
          </cell>
          <cell r="D176" t="str">
            <v>F3</v>
          </cell>
          <cell r="E176" t="str">
            <v>2321</v>
          </cell>
        </row>
        <row r="177">
          <cell r="A177" t="str">
            <v>1336</v>
          </cell>
          <cell r="B177" t="str">
            <v>QD.16</v>
          </cell>
          <cell r="C177" t="str">
            <v>16</v>
          </cell>
          <cell r="D177" t="str">
            <v>F1</v>
          </cell>
          <cell r="E177" t="str">
            <v>1336</v>
          </cell>
        </row>
        <row r="178">
          <cell r="A178" t="str">
            <v>2338</v>
          </cell>
          <cell r="B178" t="str">
            <v>QD.16</v>
          </cell>
          <cell r="C178" t="str">
            <v>16</v>
          </cell>
          <cell r="D178" t="str">
            <v>F2</v>
          </cell>
          <cell r="E178" t="str">
            <v>2338</v>
          </cell>
        </row>
        <row r="179">
          <cell r="A179" t="str">
            <v>2537</v>
          </cell>
          <cell r="B179" t="str">
            <v>QD.16</v>
          </cell>
          <cell r="C179" t="str">
            <v>16</v>
          </cell>
          <cell r="D179" t="str">
            <v>F3</v>
          </cell>
          <cell r="E179" t="str">
            <v>2537</v>
          </cell>
        </row>
        <row r="180">
          <cell r="A180" t="str">
            <v>1036</v>
          </cell>
          <cell r="B180" t="str">
            <v>QD.15</v>
          </cell>
          <cell r="C180" t="str">
            <v>15</v>
          </cell>
          <cell r="D180" t="str">
            <v>F2</v>
          </cell>
          <cell r="E180" t="str">
            <v>1036</v>
          </cell>
        </row>
        <row r="181">
          <cell r="A181" t="str">
            <v>1033</v>
          </cell>
          <cell r="B181" t="str">
            <v>QD.15</v>
          </cell>
          <cell r="C181" t="str">
            <v>15</v>
          </cell>
          <cell r="D181" t="str">
            <v>F3</v>
          </cell>
          <cell r="E181" t="str">
            <v>1033</v>
          </cell>
        </row>
        <row r="182">
          <cell r="A182" t="str">
            <v>Ilegível</v>
          </cell>
          <cell r="B182" t="str">
            <v>QD.13</v>
          </cell>
          <cell r="C182" t="str">
            <v>13</v>
          </cell>
          <cell r="D182" t="str">
            <v>F1</v>
          </cell>
          <cell r="E182" t="str">
            <v>Ilegível</v>
          </cell>
        </row>
        <row r="183">
          <cell r="A183" t="str">
            <v>1067</v>
          </cell>
          <cell r="B183" t="str">
            <v>QD.13</v>
          </cell>
          <cell r="C183" t="str">
            <v>13</v>
          </cell>
          <cell r="D183" t="str">
            <v>F2</v>
          </cell>
          <cell r="E183" t="str">
            <v>1067</v>
          </cell>
        </row>
        <row r="184">
          <cell r="A184" t="str">
            <v>1063</v>
          </cell>
          <cell r="B184" t="str">
            <v>QD.13</v>
          </cell>
          <cell r="C184" t="str">
            <v>13</v>
          </cell>
          <cell r="D184" t="str">
            <v>F3</v>
          </cell>
          <cell r="E184" t="str">
            <v>1063</v>
          </cell>
        </row>
        <row r="185">
          <cell r="A185" t="str">
            <v>1315</v>
          </cell>
          <cell r="B185" t="str">
            <v>QD.12</v>
          </cell>
          <cell r="C185" t="str">
            <v>12</v>
          </cell>
          <cell r="D185" t="str">
            <v>F1</v>
          </cell>
          <cell r="E185" t="str">
            <v>1315</v>
          </cell>
        </row>
        <row r="186">
          <cell r="A186" t="str">
            <v>1312</v>
          </cell>
          <cell r="B186" t="str">
            <v>QD.12</v>
          </cell>
          <cell r="C186" t="str">
            <v>12</v>
          </cell>
          <cell r="D186" t="str">
            <v>F2</v>
          </cell>
          <cell r="E186" t="str">
            <v>1312</v>
          </cell>
        </row>
        <row r="187">
          <cell r="A187" t="str">
            <v>1311</v>
          </cell>
          <cell r="B187" t="str">
            <v>QD.12</v>
          </cell>
          <cell r="C187" t="str">
            <v>12</v>
          </cell>
          <cell r="D187" t="str">
            <v>F3</v>
          </cell>
          <cell r="E187" t="str">
            <v>1311</v>
          </cell>
        </row>
        <row r="188">
          <cell r="A188" t="str">
            <v>1322</v>
          </cell>
          <cell r="B188" t="str">
            <v>QD.11</v>
          </cell>
          <cell r="C188" t="str">
            <v>11</v>
          </cell>
          <cell r="D188" t="str">
            <v>F1</v>
          </cell>
          <cell r="E188" t="str">
            <v>1322</v>
          </cell>
        </row>
        <row r="189">
          <cell r="A189" t="str">
            <v>2323</v>
          </cell>
          <cell r="B189" t="str">
            <v>QD.11</v>
          </cell>
          <cell r="C189" t="str">
            <v>11</v>
          </cell>
          <cell r="D189" t="str">
            <v>F2</v>
          </cell>
          <cell r="E189" t="str">
            <v>2323</v>
          </cell>
        </row>
        <row r="190">
          <cell r="A190" t="str">
            <v>2325</v>
          </cell>
          <cell r="B190" t="str">
            <v>QD.11</v>
          </cell>
          <cell r="C190" t="str">
            <v>11</v>
          </cell>
          <cell r="D190" t="str">
            <v>F3</v>
          </cell>
          <cell r="E190" t="str">
            <v>2325</v>
          </cell>
        </row>
        <row r="191">
          <cell r="A191" t="str">
            <v>1012</v>
          </cell>
          <cell r="B191" t="str">
            <v>QD.33</v>
          </cell>
          <cell r="C191" t="str">
            <v>33</v>
          </cell>
          <cell r="D191" t="str">
            <v>F1</v>
          </cell>
          <cell r="E191" t="str">
            <v>1012</v>
          </cell>
        </row>
        <row r="192">
          <cell r="A192" t="str">
            <v>1015</v>
          </cell>
          <cell r="B192" t="str">
            <v>QD.33</v>
          </cell>
          <cell r="C192" t="str">
            <v>33</v>
          </cell>
          <cell r="D192" t="str">
            <v>F2</v>
          </cell>
          <cell r="E192" t="str">
            <v>1015</v>
          </cell>
        </row>
        <row r="193">
          <cell r="A193" t="str">
            <v>1035</v>
          </cell>
          <cell r="B193" t="str">
            <v>QD.33</v>
          </cell>
          <cell r="C193" t="str">
            <v>33</v>
          </cell>
          <cell r="D193" t="str">
            <v>F3</v>
          </cell>
          <cell r="E193" t="str">
            <v>1035</v>
          </cell>
        </row>
        <row r="194">
          <cell r="A194" t="str">
            <v>1030</v>
          </cell>
          <cell r="B194" t="str">
            <v>QD.33</v>
          </cell>
          <cell r="C194" t="str">
            <v>33</v>
          </cell>
          <cell r="D194" t="str">
            <v>F4</v>
          </cell>
          <cell r="E194" t="str">
            <v>1030</v>
          </cell>
        </row>
        <row r="195">
          <cell r="A195" t="str">
            <v>2005</v>
          </cell>
          <cell r="B195" t="str">
            <v>QD.34</v>
          </cell>
          <cell r="C195" t="str">
            <v>34</v>
          </cell>
          <cell r="D195" t="str">
            <v>F1</v>
          </cell>
          <cell r="E195" t="str">
            <v>2005</v>
          </cell>
        </row>
        <row r="196">
          <cell r="A196" t="str">
            <v>2008</v>
          </cell>
          <cell r="B196" t="str">
            <v>QD.34</v>
          </cell>
          <cell r="C196" t="str">
            <v>34</v>
          </cell>
          <cell r="D196" t="str">
            <v>F2</v>
          </cell>
          <cell r="E196" t="str">
            <v>2008</v>
          </cell>
        </row>
        <row r="197">
          <cell r="A197" t="str">
            <v>2011</v>
          </cell>
          <cell r="B197" t="str">
            <v>QD.34</v>
          </cell>
          <cell r="C197" t="str">
            <v>34</v>
          </cell>
          <cell r="D197" t="str">
            <v>F3</v>
          </cell>
          <cell r="E197" t="str">
            <v>2011</v>
          </cell>
        </row>
        <row r="198">
          <cell r="A198" t="str">
            <v>2013</v>
          </cell>
          <cell r="B198" t="str">
            <v>QD.34</v>
          </cell>
          <cell r="C198" t="str">
            <v>34</v>
          </cell>
          <cell r="D198" t="str">
            <v>F4</v>
          </cell>
          <cell r="E198" t="str">
            <v>2013</v>
          </cell>
        </row>
        <row r="199">
          <cell r="A199" t="str">
            <v>1006</v>
          </cell>
          <cell r="B199" t="str">
            <v>QD.35</v>
          </cell>
          <cell r="C199" t="str">
            <v>35</v>
          </cell>
          <cell r="D199" t="str">
            <v>F1</v>
          </cell>
          <cell r="E199" t="str">
            <v>1006</v>
          </cell>
        </row>
        <row r="200">
          <cell r="A200" t="str">
            <v>1007</v>
          </cell>
          <cell r="B200" t="str">
            <v>QD.35</v>
          </cell>
          <cell r="C200" t="str">
            <v>35</v>
          </cell>
          <cell r="D200" t="str">
            <v>F2</v>
          </cell>
          <cell r="E200" t="str">
            <v>1007</v>
          </cell>
        </row>
        <row r="201">
          <cell r="A201" t="str">
            <v>1009</v>
          </cell>
          <cell r="B201" t="str">
            <v>QD.35</v>
          </cell>
          <cell r="C201" t="str">
            <v>35</v>
          </cell>
          <cell r="D201" t="str">
            <v>F3</v>
          </cell>
          <cell r="E201" t="str">
            <v>1009</v>
          </cell>
        </row>
        <row r="202">
          <cell r="A202" t="str">
            <v>1010</v>
          </cell>
          <cell r="B202" t="str">
            <v>QD.35</v>
          </cell>
          <cell r="C202" t="str">
            <v>35</v>
          </cell>
          <cell r="D202" t="str">
            <v>F4</v>
          </cell>
          <cell r="E202" t="str">
            <v>1010</v>
          </cell>
        </row>
        <row r="203">
          <cell r="A203" t="str">
            <v>2316</v>
          </cell>
          <cell r="B203" t="str">
            <v>QD.36</v>
          </cell>
          <cell r="C203" t="str">
            <v>36</v>
          </cell>
          <cell r="D203" t="str">
            <v>F2</v>
          </cell>
          <cell r="E203" t="str">
            <v>2316</v>
          </cell>
        </row>
        <row r="204">
          <cell r="A204" t="str">
            <v>2318</v>
          </cell>
          <cell r="B204" t="str">
            <v>QD.36</v>
          </cell>
          <cell r="C204" t="str">
            <v>36</v>
          </cell>
          <cell r="D204" t="str">
            <v>F3</v>
          </cell>
          <cell r="E204" t="str">
            <v>2318</v>
          </cell>
        </row>
        <row r="205">
          <cell r="A205" t="str">
            <v>1001</v>
          </cell>
          <cell r="B205" t="str">
            <v>QD.37</v>
          </cell>
          <cell r="C205" t="str">
            <v>37</v>
          </cell>
          <cell r="D205" t="str">
            <v>F1</v>
          </cell>
          <cell r="E205" t="str">
            <v>1001</v>
          </cell>
        </row>
        <row r="206">
          <cell r="A206" t="str">
            <v>1003</v>
          </cell>
          <cell r="B206" t="str">
            <v>QD.37</v>
          </cell>
          <cell r="C206" t="str">
            <v>37</v>
          </cell>
          <cell r="D206" t="str">
            <v>F2</v>
          </cell>
          <cell r="E206" t="str">
            <v>1003</v>
          </cell>
        </row>
        <row r="207">
          <cell r="A207" t="str">
            <v>1004</v>
          </cell>
          <cell r="B207" t="str">
            <v>QD.37</v>
          </cell>
          <cell r="C207" t="str">
            <v>37</v>
          </cell>
          <cell r="D207" t="str">
            <v>F3</v>
          </cell>
          <cell r="E207" t="str">
            <v>1004</v>
          </cell>
        </row>
        <row r="208">
          <cell r="A208" t="str">
            <v>1014</v>
          </cell>
          <cell r="B208" t="str">
            <v>QD.37</v>
          </cell>
          <cell r="C208" t="str">
            <v>37</v>
          </cell>
          <cell r="D208" t="str">
            <v>F4</v>
          </cell>
          <cell r="E208" t="str">
            <v>1014</v>
          </cell>
        </row>
        <row r="209">
          <cell r="A209" t="str">
            <v>2002</v>
          </cell>
          <cell r="B209" t="str">
            <v>QD.38</v>
          </cell>
          <cell r="C209" t="str">
            <v>38</v>
          </cell>
          <cell r="D209" t="str">
            <v>F4</v>
          </cell>
          <cell r="E209" t="str">
            <v>2002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ago Vieira De Paula" refreshedDate="46245.737445949075" createdVersion="8" refreshedVersion="8" minRefreshableVersion="3" recordCount="2553" xr:uid="{2CA99107-6AE3-440F-A01F-B08A94C01A65}">
  <cacheSource type="worksheet">
    <worksheetSource name="AUDITORIA"/>
  </cacheSource>
  <cacheFields count="28">
    <cacheField name="LOCAL" numFmtId="0">
      <sharedItems containsBlank="1" count="6">
        <s v="LPCO"/>
        <s v="UBS I"/>
        <s v="TOTAL"/>
        <s v="VALOREM" u="1"/>
        <m u="1"/>
        <s v="UBS II" u="1"/>
      </sharedItems>
    </cacheField>
    <cacheField name="UF" numFmtId="0">
      <sharedItems containsBlank="1"/>
    </cacheField>
    <cacheField name="Filial" numFmtId="49">
      <sharedItems containsBlank="1"/>
    </cacheField>
    <cacheField name="Deposito" numFmtId="0">
      <sharedItems containsString="0" containsBlank="1" containsNumber="1" containsInteger="1" minValue="10" maxValue="11"/>
    </cacheField>
    <cacheField name="CULTURA" numFmtId="0">
      <sharedItems containsBlank="1" count="3">
        <s v="SOJA"/>
        <s v="MILHO"/>
        <m u="1"/>
      </sharedItems>
    </cacheField>
    <cacheField name="LOTE" numFmtId="0">
      <sharedItems containsBlank="1"/>
    </cacheField>
    <cacheField name="CULTIVAR" numFmtId="0">
      <sharedItems containsBlank="1"/>
    </cacheField>
    <cacheField name="CÓD. PRODUTO" numFmtId="0">
      <sharedItems containsBlank="1"/>
    </cacheField>
    <cacheField name="NOME PRODUTO ERP" numFmtId="0">
      <sharedItems containsBlank="1"/>
    </cacheField>
    <cacheField name="CAT" numFmtId="0">
      <sharedItems containsBlank="1"/>
    </cacheField>
    <cacheField name="PEN." numFmtId="0">
      <sharedItems containsBlank="1"/>
    </cacheField>
    <cacheField name="UM" numFmtId="0">
      <sharedItems containsBlank="1"/>
    </cacheField>
    <cacheField name="QTD SISTEMA" numFmtId="165">
      <sharedItems containsSemiMixedTypes="0" containsString="0" containsNumber="1" containsInteger="1" minValue="0" maxValue="17160"/>
    </cacheField>
    <cacheField name="PESO ETIQUETA" numFmtId="165">
      <sharedItems containsString="0" containsBlank="1" containsNumber="1" containsInteger="1" minValue="544" maxValue="1203"/>
    </cacheField>
    <cacheField name="CAT. FÍS." numFmtId="165">
      <sharedItems containsBlank="1"/>
    </cacheField>
    <cacheField name="ETIQUETA FÍSICA" numFmtId="0">
      <sharedItems containsBlank="1" containsMixedTypes="1" containsNumber="1" minValue="14.53" maxValue="1203"/>
    </cacheField>
    <cacheField name="QTD FÍSICA" numFmtId="165">
      <sharedItems containsString="0" containsBlank="1" containsNumber="1" containsInteger="1" minValue="0" maxValue="17160"/>
    </cacheField>
    <cacheField name="CÂMARA" numFmtId="165">
      <sharedItems containsBlank="1"/>
    </cacheField>
    <cacheField name="QUADRA" numFmtId="165">
      <sharedItems containsBlank="1"/>
    </cacheField>
    <cacheField name="FILEIRA" numFmtId="165">
      <sharedItems containsBlank="1" containsMixedTypes="1" containsNumber="1" containsInteger="1" minValue="24" maxValue="24"/>
    </cacheField>
    <cacheField name="CONF.? (SIM/NÃO)" numFmtId="165">
      <sharedItems/>
    </cacheField>
    <cacheField name="N° Lotes" numFmtId="165">
      <sharedItems containsSemiMixedTypes="0" containsString="0" containsNumber="1" containsInteger="1" minValue="0" maxValue="627"/>
    </cacheField>
    <cacheField name="DATA VERIFICAÇÃO" numFmtId="14">
      <sharedItems containsSemiMixedTypes="0" containsNonDate="0" containsDate="1" containsString="0" minDate="2026-04-23T00:00:00" maxDate="2026-07-31T00:00:00"/>
    </cacheField>
    <cacheField name="MÊS" numFmtId="164">
      <sharedItems count="5">
        <s v="ABR"/>
        <s v="MAI"/>
        <s v="JUN"/>
        <s v="JUL"/>
        <s v="" u="1"/>
      </sharedItems>
    </cacheField>
    <cacheField name="AUDITOR" numFmtId="0">
      <sharedItems containsBlank="1"/>
    </cacheField>
    <cacheField name="AUDITOR " numFmtId="0">
      <sharedItems containsBlank="1"/>
    </cacheField>
    <cacheField name="RESPONSÁVEL UBS" numFmtId="0">
      <sharedItems containsBlank="1"/>
    </cacheField>
    <cacheField name="ACURACIDADE" numFmtId="0" formula="IFERROR('QTD FÍSICA'/'QTD SISTEMA',0)" databaseField="0"/>
  </cacheFields>
  <extLst>
    <ext xmlns:x14="http://schemas.microsoft.com/office/spreadsheetml/2009/9/main" uri="{725AE2AE-9491-48be-B2B4-4EB974FC3084}">
      <x14:pivotCacheDefinition pivotCacheId="13773299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53">
  <r>
    <x v="0"/>
    <s v="GO"/>
    <s v="0101"/>
    <n v="11"/>
    <x v="0"/>
    <s v="11743P1417"/>
    <s v="22213I2X"/>
    <s v="PA154000849"/>
    <s v="SEM SOJA 22213I2X BG ST"/>
    <s v="C2"/>
    <s v="P1"/>
    <s v="BG"/>
    <n v="30"/>
    <n v="761"/>
    <s v="C2"/>
    <n v="76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3P1420"/>
    <s v="22213I2X"/>
    <s v="PA154000849"/>
    <s v="SEM SOJA 22213I2X BG ST"/>
    <s v="C2"/>
    <s v="P1"/>
    <s v="BG"/>
    <n v="30"/>
    <n v="733"/>
    <s v="C2"/>
    <n v="73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3P1422"/>
    <s v="22213I2X"/>
    <s v="PA154000849"/>
    <s v="SEM SOJA 22213I2X BG ST"/>
    <s v="C2"/>
    <s v="P1"/>
    <s v="BG"/>
    <n v="30"/>
    <n v="748"/>
    <s v="C2"/>
    <n v="74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3P1424"/>
    <s v="22213I2X"/>
    <s v="PA154000849"/>
    <s v="SEM SOJA 22213I2X BG ST"/>
    <s v="C2"/>
    <s v="P1"/>
    <s v="BG"/>
    <n v="23"/>
    <n v="731"/>
    <s v="C2"/>
    <n v="731"/>
    <n v="23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3P2418"/>
    <s v="22213I2X"/>
    <s v="PA154000849"/>
    <s v="SEM SOJA 22213I2X BG ST"/>
    <s v="C2"/>
    <s v="P2"/>
    <s v="BG"/>
    <n v="27"/>
    <n v="953"/>
    <s v="C2"/>
    <n v="953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3P2419"/>
    <s v="22213I2X"/>
    <s v="PA154000849"/>
    <s v="SEM SOJA 22213I2X BG ST"/>
    <s v="C2"/>
    <s v="P2"/>
    <s v="BG"/>
    <n v="27"/>
    <n v="936"/>
    <s v="C2"/>
    <n v="936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3P2421"/>
    <s v="22213I2X"/>
    <s v="PA154000849"/>
    <s v="SEM SOJA 22213I2X BG ST"/>
    <s v="C2"/>
    <s v="P2"/>
    <s v="BG"/>
    <n v="27"/>
    <n v="948"/>
    <s v="C2"/>
    <n v="948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3P2423"/>
    <s v="22213I2X"/>
    <s v="PA154000849"/>
    <s v="SEM SOJA 22213I2X BG ST"/>
    <s v="C2"/>
    <s v="P2"/>
    <s v="BG"/>
    <n v="27"/>
    <n v="929"/>
    <s v="C2"/>
    <n v="929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3P2425"/>
    <s v="22213I2X"/>
    <s v="PA154000849"/>
    <s v="SEM SOJA 22213I2X BG ST"/>
    <s v="C2"/>
    <s v="P2"/>
    <s v="BG"/>
    <n v="14"/>
    <n v="949"/>
    <s v="C2"/>
    <n v="949"/>
    <n v="1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01"/>
    <s v="690 I2X"/>
    <s v="PA154000454"/>
    <s v="SEM SOJA 690 I2X BG ST"/>
    <s v="S1"/>
    <s v="P1"/>
    <s v="BG"/>
    <n v="30"/>
    <n v="759"/>
    <s v="S1"/>
    <n v="75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03"/>
    <s v="690 I2X"/>
    <s v="PA154000454"/>
    <s v="SEM SOJA 690 I2X BG ST"/>
    <s v="S1"/>
    <s v="P1"/>
    <s v="BG"/>
    <n v="30"/>
    <n v="742"/>
    <s v="S1"/>
    <n v="74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05"/>
    <s v="690 I2X"/>
    <s v="PA154000454"/>
    <s v="SEM SOJA 690 I2X BG ST"/>
    <s v="S1"/>
    <s v="P1"/>
    <s v="BG"/>
    <n v="30"/>
    <n v="755"/>
    <s v="S1"/>
    <n v="75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06"/>
    <s v="690 I2X"/>
    <s v="PA154000454"/>
    <s v="SEM SOJA 690 I2X BG ST"/>
    <s v="S1"/>
    <s v="P1"/>
    <s v="BG"/>
    <n v="30"/>
    <n v="755"/>
    <s v="S1"/>
    <n v="75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08"/>
    <s v="690 I2X"/>
    <s v="PA154000454"/>
    <s v="SEM SOJA 690 I2X BG ST"/>
    <s v="S1"/>
    <s v="P1"/>
    <s v="BG"/>
    <n v="30"/>
    <n v="767"/>
    <s v="S1"/>
    <n v="767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09"/>
    <s v="690 I2X"/>
    <s v="PA154000454"/>
    <s v="SEM SOJA 690 I2X BG ST"/>
    <s v="S1"/>
    <s v="P1"/>
    <s v="BG"/>
    <n v="30"/>
    <n v="746"/>
    <s v="S1"/>
    <n v="74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11"/>
    <s v="690 I2X"/>
    <s v="PA154000454"/>
    <s v="SEM SOJA 690 I2X BG ST"/>
    <s v="S1"/>
    <s v="P1"/>
    <s v="BG"/>
    <n v="30"/>
    <n v="750"/>
    <s v="S1"/>
    <n v="75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12"/>
    <s v="690 I2X"/>
    <s v="PA154000454"/>
    <s v="SEM SOJA 690 I2X BG ST"/>
    <s v="S1"/>
    <s v="P1"/>
    <s v="BG"/>
    <n v="30"/>
    <n v="765"/>
    <s v="S1"/>
    <n v="76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14"/>
    <s v="690 I2X"/>
    <s v="PA154000454"/>
    <s v="SEM SOJA 690 I2X BG ST"/>
    <s v="S1"/>
    <s v="P1"/>
    <s v="BG"/>
    <n v="30"/>
    <n v="768"/>
    <s v="S1"/>
    <n v="76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15"/>
    <s v="690 I2X"/>
    <s v="PA154000454"/>
    <s v="SEM SOJA 690 I2X BG ST"/>
    <s v="S1"/>
    <s v="P1"/>
    <s v="BG"/>
    <n v="30"/>
    <n v="763"/>
    <s v="S1"/>
    <n v="76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17"/>
    <s v="690 I2X"/>
    <s v="PA154000454"/>
    <s v="SEM SOJA 690 I2X BG ST"/>
    <s v="S1"/>
    <s v="P1"/>
    <s v="BG"/>
    <n v="30"/>
    <n v="761"/>
    <s v="S1"/>
    <n v="76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18"/>
    <s v="690 I2X"/>
    <s v="PA154000454"/>
    <s v="SEM SOJA 690 I2X BG ST"/>
    <s v="S1"/>
    <s v="P1"/>
    <s v="BG"/>
    <n v="30"/>
    <n v="757"/>
    <s v="S1"/>
    <n v="757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20"/>
    <s v="690 I2X"/>
    <s v="PA154000454"/>
    <s v="SEM SOJA 690 I2X BG ST"/>
    <s v="S1"/>
    <s v="P1"/>
    <s v="BG"/>
    <n v="30"/>
    <n v="767"/>
    <s v="S1"/>
    <n v="767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22"/>
    <s v="690 I2X"/>
    <s v="PA154000454"/>
    <s v="SEM SOJA 690 I2X BG ST"/>
    <s v="S1"/>
    <s v="P1"/>
    <s v="BG"/>
    <n v="30"/>
    <n v="750"/>
    <s v="S1"/>
    <n v="75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23"/>
    <s v="690 I2X"/>
    <s v="PA154000454"/>
    <s v="SEM SOJA 690 I2X BG ST"/>
    <s v="S1"/>
    <s v="P1"/>
    <s v="BG"/>
    <n v="30"/>
    <n v="759"/>
    <s v="S1"/>
    <n v="75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1225"/>
    <s v="690 I2X"/>
    <s v="PA154001079"/>
    <s v="SEM SOJA 690 I2X BG ST"/>
    <s v="S1"/>
    <s v="P1"/>
    <s v="BG"/>
    <n v="8"/>
    <n v="766"/>
    <s v="S1"/>
    <n v="766"/>
    <n v="8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2202"/>
    <s v="690 I2X"/>
    <s v="PA154000454"/>
    <s v="SEM SOJA 690 I2X BG ST"/>
    <s v="S1"/>
    <s v="P2"/>
    <s v="BG"/>
    <n v="27"/>
    <n v="915"/>
    <s v="S1"/>
    <n v="915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2204"/>
    <s v="690 I2X"/>
    <s v="PA154000454"/>
    <s v="SEM SOJA 690 I2X BG ST"/>
    <s v="S1"/>
    <s v="P2"/>
    <s v="BG"/>
    <n v="30"/>
    <n v="898"/>
    <s v="S1"/>
    <n v="89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2207"/>
    <s v="690 I2X"/>
    <s v="PA154000454"/>
    <s v="SEM SOJA 690 I2X BG ST"/>
    <s v="S1"/>
    <s v="P2"/>
    <s v="BG"/>
    <n v="27"/>
    <n v="909"/>
    <s v="S1"/>
    <n v="909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2210"/>
    <s v="690 I2X"/>
    <s v="PA154000454"/>
    <s v="SEM SOJA 690 I2X BG ST"/>
    <s v="S1"/>
    <s v="P2"/>
    <s v="BG"/>
    <n v="27"/>
    <n v="916"/>
    <s v="S1"/>
    <n v="916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2213"/>
    <s v="690 I2X"/>
    <s v="PA154000454"/>
    <s v="SEM SOJA 690 I2X BG ST"/>
    <s v="S1"/>
    <s v="P2"/>
    <s v="BG"/>
    <n v="27"/>
    <n v="929"/>
    <s v="S1"/>
    <n v="929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2216"/>
    <s v="690 I2X"/>
    <s v="PA154000454"/>
    <s v="SEM SOJA 690 I2X BG ST"/>
    <s v="S1"/>
    <s v="P2"/>
    <s v="BG"/>
    <n v="27"/>
    <n v="914"/>
    <s v="S1"/>
    <n v="914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2219"/>
    <s v="690 I2X"/>
    <s v="PA154000454"/>
    <s v="SEM SOJA 690 I2X BG ST"/>
    <s v="S1"/>
    <s v="P2"/>
    <s v="BG"/>
    <n v="30"/>
    <n v="891"/>
    <s v="S1"/>
    <n v="89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2221"/>
    <s v="690 I2X"/>
    <s v="PA154000454"/>
    <s v="SEM SOJA 690 I2X BG ST"/>
    <s v="S1"/>
    <s v="P2"/>
    <s v="BG"/>
    <n v="27"/>
    <n v="920"/>
    <s v="S1"/>
    <n v="920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72P2224"/>
    <s v="690 I2X"/>
    <s v="PA154000454"/>
    <s v="SEM SOJA 690 I2X BG ST"/>
    <s v="S1"/>
    <s v="P2"/>
    <s v="BG"/>
    <n v="7"/>
    <n v="908"/>
    <s v="S1"/>
    <n v="908"/>
    <n v="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1001"/>
    <s v="6930I2X"/>
    <s v="PA154000582"/>
    <s v="SEM SOJA 6930I2X BG ST"/>
    <s v="C2"/>
    <s v="P1"/>
    <s v="BG"/>
    <n v="30"/>
    <n v="835"/>
    <s v="C2"/>
    <n v="83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1003"/>
    <s v="6930I2X"/>
    <s v="PA154000582"/>
    <s v="SEM SOJA 6930I2X BG ST"/>
    <s v="C2"/>
    <s v="P1"/>
    <s v="BG"/>
    <n v="30"/>
    <n v="828"/>
    <s v="C2"/>
    <n v="82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1004"/>
    <s v="6930I2X"/>
    <s v="PA154000582"/>
    <s v="SEM SOJA 6930I2X BG ST"/>
    <s v="C2"/>
    <s v="P1"/>
    <s v="BG"/>
    <n v="30"/>
    <n v="812"/>
    <s v="C2"/>
    <n v="81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1006"/>
    <s v="6930I2X"/>
    <s v="PA154000582"/>
    <s v="SEM SOJA 6930I2X BG ST"/>
    <s v="C2"/>
    <s v="P1"/>
    <s v="BG"/>
    <n v="30"/>
    <n v="801"/>
    <s v="C2"/>
    <n v="80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1008"/>
    <s v="6930I2X"/>
    <s v="PA154000582"/>
    <s v="SEM SOJA 6930I2X BG ST"/>
    <s v="C2"/>
    <s v="P1"/>
    <s v="BG"/>
    <n v="30"/>
    <n v="821"/>
    <s v="C2"/>
    <n v="82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1010"/>
    <s v="6930I2X"/>
    <s v="PA154000582"/>
    <s v="SEM SOJA 6930I2X BG ST"/>
    <s v="C2"/>
    <s v="P1"/>
    <s v="BG"/>
    <n v="30"/>
    <n v="827"/>
    <s v="C2"/>
    <n v="827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1012"/>
    <s v="6930I2X"/>
    <s v="PA154000582"/>
    <s v="SEM SOJA 6930I2X BG ST"/>
    <s v="C2"/>
    <s v="P1"/>
    <s v="BG"/>
    <n v="30"/>
    <n v="813"/>
    <s v="C2"/>
    <n v="81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1014"/>
    <s v="6930I2X"/>
    <s v="PA154000582"/>
    <s v="SEM SOJA 6930I2X BG ST"/>
    <s v="C2"/>
    <s v="P1"/>
    <s v="BG"/>
    <n v="30"/>
    <n v="804"/>
    <s v="C2"/>
    <n v="804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1016"/>
    <s v="6930I2X"/>
    <s v="PA154000582"/>
    <s v="SEM SOJA 6930I2X BG ST"/>
    <s v="C2"/>
    <s v="P1"/>
    <s v="BG"/>
    <n v="29"/>
    <n v="842"/>
    <s v="C2"/>
    <n v="842"/>
    <n v="29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1018"/>
    <s v="6930I2X"/>
    <s v="PA154000582"/>
    <s v="SEM SOJA 6930I2X BG ST"/>
    <s v="C2"/>
    <s v="P1"/>
    <s v="BG"/>
    <n v="30"/>
    <n v="830"/>
    <s v="C2"/>
    <n v="83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1020"/>
    <s v="6930I2X"/>
    <s v="PA154000582"/>
    <s v="SEM SOJA 6930I2X BG ST"/>
    <s v="C2"/>
    <s v="P1"/>
    <s v="BG"/>
    <n v="30"/>
    <n v="834"/>
    <s v="C2"/>
    <n v="834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1022"/>
    <s v="6930I2X"/>
    <s v="PA154000582"/>
    <s v="SEM SOJA 6930I2X BG ST"/>
    <s v="C2"/>
    <s v="P1"/>
    <s v="BG"/>
    <n v="30"/>
    <n v="822"/>
    <s v="C2"/>
    <n v="82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1024"/>
    <s v="6930I2X"/>
    <s v="PA154000582"/>
    <s v="SEM SOJA 6930I2X BG ST"/>
    <s v="C2"/>
    <s v="P1"/>
    <s v="BG"/>
    <n v="30"/>
    <n v="836"/>
    <s v="C2"/>
    <n v="83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1027"/>
    <s v="6930I2X"/>
    <s v="PA154000582"/>
    <s v="SEM SOJA 6930I2X BG ST"/>
    <s v="C2"/>
    <s v="P1"/>
    <s v="BG"/>
    <n v="2"/>
    <n v="835"/>
    <s v="C2"/>
    <n v="835"/>
    <n v="2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2002"/>
    <s v="6930I2X"/>
    <s v="PA154000582"/>
    <s v="SEM SOJA 6930I2X BG ST"/>
    <s v="C2"/>
    <s v="P2"/>
    <s v="BG"/>
    <n v="24"/>
    <n v="1035"/>
    <s v="C2"/>
    <n v="1035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2005"/>
    <s v="6930I2X"/>
    <s v="PA154000582"/>
    <s v="SEM SOJA 6930I2X BG ST"/>
    <s v="C2"/>
    <s v="P2"/>
    <s v="BG"/>
    <n v="24"/>
    <n v="1010"/>
    <s v="C2"/>
    <n v="1010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2007"/>
    <s v="6930I2X"/>
    <s v="PA154000582"/>
    <s v="SEM SOJA 6930I2X BG ST"/>
    <s v="C2"/>
    <s v="P2"/>
    <s v="BG"/>
    <n v="24"/>
    <n v="1010"/>
    <s v="C2"/>
    <n v="1010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2009"/>
    <s v="6930I2X"/>
    <s v="PA154000582"/>
    <s v="SEM SOJA 6930I2X BG ST"/>
    <s v="C2"/>
    <s v="P2"/>
    <s v="BG"/>
    <n v="24"/>
    <n v="1021"/>
    <s v="C2"/>
    <n v="1021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2011"/>
    <s v="6930I2X"/>
    <s v="PA154000582"/>
    <s v="SEM SOJA 6930I2X BG ST"/>
    <s v="C2"/>
    <s v="P2"/>
    <s v="BG"/>
    <n v="24"/>
    <n v="1019"/>
    <s v="C2"/>
    <n v="1019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2013"/>
    <s v="6930I2X"/>
    <s v="PA154000582"/>
    <s v="SEM SOJA 6930I2X BG ST"/>
    <s v="C2"/>
    <s v="P2"/>
    <s v="BG"/>
    <n v="24"/>
    <n v="1056"/>
    <s v="C2"/>
    <n v="1056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2015"/>
    <s v="6930I2X"/>
    <s v="PA154000582"/>
    <s v="SEM SOJA 6930I2X BG ST"/>
    <s v="C2"/>
    <s v="P2"/>
    <s v="BG"/>
    <n v="24"/>
    <n v="1065"/>
    <s v="C2"/>
    <n v="1065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2017"/>
    <s v="6930I2X"/>
    <s v="PA154000582"/>
    <s v="SEM SOJA 6930I2X BG ST"/>
    <s v="C2"/>
    <s v="P2"/>
    <s v="BG"/>
    <n v="24"/>
    <n v="1007"/>
    <s v="C2"/>
    <n v="1007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2019"/>
    <s v="6930I2X"/>
    <s v="PA154000582"/>
    <s v="SEM SOJA 6930I2X BG ST"/>
    <s v="C2"/>
    <s v="P2"/>
    <s v="BG"/>
    <n v="24"/>
    <n v="1042"/>
    <s v="C2"/>
    <n v="1042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2021"/>
    <s v="6930I2X"/>
    <s v="PA154000582"/>
    <s v="SEM SOJA 6930I2X BG ST"/>
    <s v="C2"/>
    <s v="P2"/>
    <s v="BG"/>
    <n v="24"/>
    <n v="1034"/>
    <s v="C2"/>
    <n v="1034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2023"/>
    <s v="6930I2X"/>
    <s v="PA154000582"/>
    <s v="SEM SOJA 6930I2X BG ST"/>
    <s v="C2"/>
    <s v="P2"/>
    <s v="BG"/>
    <n v="24"/>
    <n v="1078"/>
    <s v="C2"/>
    <n v="1078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2025"/>
    <s v="6930I2X"/>
    <s v="PA154000582"/>
    <s v="SEM SOJA 6930I2X BG ST"/>
    <s v="C2"/>
    <s v="P2"/>
    <s v="BG"/>
    <n v="24"/>
    <n v="1050"/>
    <s v="C2"/>
    <n v="1050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28P2026"/>
    <s v="6930I2X"/>
    <s v="PA154000582"/>
    <s v="SEM SOJA 6930I2X BG ST"/>
    <s v="C2"/>
    <s v="P2"/>
    <s v="BG"/>
    <n v="21"/>
    <n v="1029"/>
    <s v="C2"/>
    <n v="1029"/>
    <n v="21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4P1401"/>
    <s v="7222I2X"/>
    <s v="PA154001037"/>
    <s v="SEM SOJA 7222I2X BG ST"/>
    <s v="C1"/>
    <s v="P1"/>
    <s v="BG"/>
    <n v="24"/>
    <n v="1050"/>
    <s v="C1"/>
    <n v="1050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4P1403"/>
    <s v="7222I2X"/>
    <s v="PA154001037"/>
    <s v="SEM SOJA 7222I2X BG ST"/>
    <s v="C1"/>
    <s v="P1"/>
    <s v="BG"/>
    <n v="24"/>
    <n v="1031"/>
    <s v="C1"/>
    <n v="1031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4P1405"/>
    <s v="7222I2X"/>
    <s v="PA154001037"/>
    <s v="SEM SOJA 7222I2X BG ST"/>
    <s v="C1"/>
    <s v="P1"/>
    <s v="BG"/>
    <n v="24"/>
    <n v="1029"/>
    <s v="C1"/>
    <n v="1029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4P1407"/>
    <s v="7222I2X"/>
    <s v="PA154001037"/>
    <s v="SEM SOJA 7222I2X BG ST"/>
    <s v="C1"/>
    <s v="P1"/>
    <s v="BG"/>
    <n v="14"/>
    <n v="1033"/>
    <s v="C1"/>
    <n v="1033"/>
    <n v="1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4P2402"/>
    <s v="7222I2X"/>
    <s v="PA154001037"/>
    <s v="SEM SOJA 7222I2X BG ST"/>
    <s v="C1"/>
    <s v="P2"/>
    <s v="BG"/>
    <n v="18"/>
    <n v="1203"/>
    <s v="C1"/>
    <n v="1203"/>
    <n v="18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4P2404"/>
    <s v="7222I2X"/>
    <s v="PA154001037"/>
    <s v="SEM SOJA 7222I2X BG ST"/>
    <s v="C1"/>
    <s v="P2"/>
    <s v="BG"/>
    <n v="18"/>
    <n v="1201"/>
    <s v="C1"/>
    <n v="1201"/>
    <n v="18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4P2406"/>
    <s v="7222I2X"/>
    <s v="PA154001037"/>
    <s v="SEM SOJA 7222I2X BG ST"/>
    <s v="C1"/>
    <s v="P2"/>
    <s v="BG"/>
    <n v="9"/>
    <n v="1200"/>
    <s v="C1"/>
    <n v="1200"/>
    <n v="9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02"/>
    <s v="761 I2X"/>
    <s v="PA154000380"/>
    <s v="SEM SOJA 761 I2X BG ST"/>
    <s v="S2"/>
    <s v="P1"/>
    <s v="BG"/>
    <n v="30"/>
    <n v="846"/>
    <s v="S2"/>
    <n v="84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03"/>
    <s v="761 I2X"/>
    <s v="PA154000380"/>
    <s v="SEM SOJA 761 I2X BG ST"/>
    <s v="S2"/>
    <s v="P1"/>
    <s v="BG"/>
    <n v="30"/>
    <n v="834"/>
    <s v="S2"/>
    <n v="834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05"/>
    <s v="761 I2X"/>
    <s v="PA154000380"/>
    <s v="SEM SOJA 761 I2X BG ST"/>
    <s v="S2"/>
    <s v="P1"/>
    <s v="BG"/>
    <n v="30"/>
    <n v="853"/>
    <s v="S2"/>
    <n v="85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07"/>
    <s v="761 I2X"/>
    <s v="PA154000380"/>
    <s v="SEM SOJA 761 I2X BG ST"/>
    <s v="S2"/>
    <s v="P1"/>
    <s v="BG"/>
    <n v="30"/>
    <n v="849"/>
    <s v="S2"/>
    <n v="84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08"/>
    <s v="761 I2X"/>
    <s v="PA154000380"/>
    <s v="SEM SOJA 761 I2X BG ST"/>
    <s v="S2"/>
    <s v="P1"/>
    <s v="BG"/>
    <n v="30"/>
    <n v="853"/>
    <s v="S2"/>
    <n v="85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10"/>
    <s v="761 I2X"/>
    <s v="PA154000380"/>
    <s v="SEM SOJA 761 I2X BG ST"/>
    <s v="S2"/>
    <s v="P1"/>
    <s v="BG"/>
    <n v="30"/>
    <n v="833"/>
    <s v="S2"/>
    <n v="83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12"/>
    <s v="761 I2X"/>
    <s v="PA154000380"/>
    <s v="SEM SOJA 761 I2X BG ST"/>
    <s v="S2"/>
    <s v="P1"/>
    <s v="BG"/>
    <n v="30"/>
    <n v="844"/>
    <s v="S2"/>
    <n v="844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14"/>
    <s v="761 I2X"/>
    <s v="PA154000380"/>
    <s v="SEM SOJA 761 I2X BG ST"/>
    <s v="S2"/>
    <s v="P1"/>
    <s v="BG"/>
    <n v="30"/>
    <n v="842"/>
    <s v="S2"/>
    <n v="84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15"/>
    <s v="761 I2X"/>
    <s v="PA154000380"/>
    <s v="SEM SOJA 761 I2X BG ST"/>
    <s v="S2"/>
    <s v="P1"/>
    <s v="BG"/>
    <n v="30"/>
    <n v="853"/>
    <s v="S2"/>
    <n v="85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17"/>
    <s v="761 I2X"/>
    <s v="PA154000380"/>
    <s v="SEM SOJA 761 I2X BG ST"/>
    <s v="S2"/>
    <s v="P1"/>
    <s v="BG"/>
    <n v="30"/>
    <n v="838"/>
    <s v="S2"/>
    <n v="83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18"/>
    <s v="761 I2X"/>
    <s v="PA154000380"/>
    <s v="SEM SOJA 761 I2X BG ST"/>
    <s v="S2"/>
    <s v="P1"/>
    <s v="BG"/>
    <n v="30"/>
    <n v="842"/>
    <s v="S2"/>
    <n v="84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20"/>
    <s v="761 I2X"/>
    <s v="PA154000380"/>
    <s v="SEM SOJA 761 I2X BG ST"/>
    <s v="S2"/>
    <s v="P1"/>
    <s v="BG"/>
    <n v="30"/>
    <n v="825"/>
    <s v="S2"/>
    <n v="82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21"/>
    <s v="761 I2X"/>
    <s v="PA154000380"/>
    <s v="SEM SOJA 761 I2X BG ST"/>
    <s v="S2"/>
    <s v="P1"/>
    <s v="BG"/>
    <n v="30"/>
    <n v="842"/>
    <s v="S2"/>
    <n v="84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23"/>
    <s v="761 I2X"/>
    <s v="PA154000380"/>
    <s v="SEM SOJA 761 I2X BG ST"/>
    <s v="S2"/>
    <s v="P1"/>
    <s v="BG"/>
    <n v="30"/>
    <n v="851"/>
    <s v="S2"/>
    <n v="85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24"/>
    <s v="761 I2X"/>
    <s v="PA154000380"/>
    <s v="SEM SOJA 761 I2X BG ST"/>
    <s v="S2"/>
    <s v="P1"/>
    <s v="BG"/>
    <n v="30"/>
    <n v="850"/>
    <s v="S2"/>
    <n v="85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26"/>
    <s v="761 I2X"/>
    <s v="PA154000380"/>
    <s v="SEM SOJA 761 I2X BG ST"/>
    <s v="S2"/>
    <s v="P1"/>
    <s v="BG"/>
    <n v="30"/>
    <n v="850"/>
    <s v="S2"/>
    <n v="85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27"/>
    <s v="761 I2X"/>
    <s v="PA154000380"/>
    <s v="SEM SOJA 761 I2X BG ST"/>
    <s v="S2"/>
    <s v="P1"/>
    <s v="BG"/>
    <n v="30"/>
    <n v="830"/>
    <s v="S2"/>
    <n v="83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29"/>
    <s v="761 I2X"/>
    <s v="PA154000380"/>
    <s v="SEM SOJA 761 I2X BG ST"/>
    <s v="S2"/>
    <s v="P1"/>
    <s v="BG"/>
    <n v="30"/>
    <n v="846"/>
    <s v="S2"/>
    <n v="84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30"/>
    <s v="761 I2X"/>
    <s v="PA154000380"/>
    <s v="SEM SOJA 761 I2X BG ST"/>
    <s v="S2"/>
    <s v="P1"/>
    <s v="BG"/>
    <n v="30"/>
    <n v="841"/>
    <s v="S2"/>
    <n v="84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32"/>
    <s v="761 I2X"/>
    <s v="PA154000380"/>
    <s v="SEM SOJA 761 I2X BG ST"/>
    <s v="S2"/>
    <s v="P1"/>
    <s v="BG"/>
    <n v="30"/>
    <n v="857"/>
    <s v="S2"/>
    <n v="857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34"/>
    <s v="761 I2X"/>
    <s v="PA154000380"/>
    <s v="SEM SOJA 761 I2X BG ST"/>
    <s v="S2"/>
    <s v="P1"/>
    <s v="BG"/>
    <n v="30"/>
    <n v="858"/>
    <s v="S2"/>
    <n v="85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35"/>
    <s v="761 I2X"/>
    <s v="PA154000380"/>
    <s v="SEM SOJA 761 I2X BG ST"/>
    <s v="S2"/>
    <s v="P1"/>
    <s v="BG"/>
    <n v="30"/>
    <n v="852"/>
    <s v="S2"/>
    <n v="85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37"/>
    <s v="761 I2X"/>
    <s v="PA154000380"/>
    <s v="SEM SOJA 761 I2X BG ST"/>
    <s v="S2"/>
    <s v="P1"/>
    <s v="BG"/>
    <n v="30"/>
    <n v="854"/>
    <s v="S2"/>
    <n v="854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39"/>
    <s v="761 I2X"/>
    <s v="PA154000380"/>
    <s v="SEM SOJA 761 I2X BG ST"/>
    <s v="S2"/>
    <s v="P1"/>
    <s v="BG"/>
    <n v="30"/>
    <n v="863"/>
    <s v="S2"/>
    <n v="86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41"/>
    <s v="761 I2X"/>
    <s v="PA154000380"/>
    <s v="SEM SOJA 761 I2X BG ST"/>
    <s v="S2"/>
    <s v="P1"/>
    <s v="BG"/>
    <n v="30"/>
    <n v="844"/>
    <s v="S2"/>
    <n v="844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42"/>
    <s v="761 I2X"/>
    <s v="PA154000380"/>
    <s v="SEM SOJA 761 I2X BG ST"/>
    <s v="S2"/>
    <s v="P1"/>
    <s v="BG"/>
    <n v="30"/>
    <n v="857"/>
    <s v="S2"/>
    <n v="857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44"/>
    <s v="761 I2X"/>
    <s v="PA154000380"/>
    <s v="SEM SOJA 761 I2X BG ST"/>
    <s v="S2"/>
    <s v="P1"/>
    <s v="BG"/>
    <n v="30"/>
    <n v="833"/>
    <s v="S2"/>
    <n v="83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45"/>
    <s v="761 I2X"/>
    <s v="PA154000380"/>
    <s v="SEM SOJA 761 I2X BG ST"/>
    <s v="S2"/>
    <s v="P1"/>
    <s v="BG"/>
    <n v="30"/>
    <n v="862"/>
    <s v="S2"/>
    <n v="86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46"/>
    <s v="761 I2X"/>
    <s v="PA154000380"/>
    <s v="SEM SOJA 761 I2X BG ST"/>
    <s v="S2"/>
    <s v="P1"/>
    <s v="BG"/>
    <n v="30"/>
    <n v="830"/>
    <s v="S2"/>
    <n v="83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48"/>
    <s v="761 I2X"/>
    <s v="PA154000380"/>
    <s v="SEM SOJA 761 I2X BG ST"/>
    <s v="S2"/>
    <s v="P1"/>
    <s v="BG"/>
    <n v="30"/>
    <n v="830"/>
    <s v="S2"/>
    <n v="83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49"/>
    <s v="761 I2X"/>
    <s v="PA154000380"/>
    <s v="SEM SOJA 761 I2X BG ST"/>
    <s v="S2"/>
    <s v="P1"/>
    <s v="BG"/>
    <n v="30"/>
    <n v="839"/>
    <s v="S2"/>
    <n v="83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51"/>
    <s v="761 I2X"/>
    <s v="PA154000380"/>
    <s v="SEM SOJA 761 I2X BG ST"/>
    <s v="S2"/>
    <s v="P1"/>
    <s v="BG"/>
    <n v="30"/>
    <n v="845"/>
    <s v="S2"/>
    <n v="84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52"/>
    <s v="761 I2X"/>
    <s v="PA154000380"/>
    <s v="SEM SOJA 761 I2X BG ST"/>
    <s v="S2"/>
    <s v="P1"/>
    <s v="BG"/>
    <n v="30"/>
    <n v="851"/>
    <s v="S2"/>
    <n v="85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54"/>
    <s v="761 I2X"/>
    <s v="PA154000380"/>
    <s v="SEM SOJA 761 I2X BG ST"/>
    <s v="S2"/>
    <s v="P1"/>
    <s v="BG"/>
    <n v="30"/>
    <n v="857"/>
    <s v="S2"/>
    <n v="857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1755"/>
    <s v="761 I2X"/>
    <s v="PA154000380"/>
    <s v="SEM SOJA 761 I2X BG ST"/>
    <s v="S2"/>
    <s v="P1"/>
    <s v="BG"/>
    <n v="29"/>
    <n v="864"/>
    <s v="S2"/>
    <n v="864"/>
    <n v="29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01"/>
    <s v="761 I2X"/>
    <s v="PA154000380"/>
    <s v="SEM SOJA 761 I2X BG ST"/>
    <s v="S2"/>
    <s v="P2"/>
    <s v="BG"/>
    <n v="24"/>
    <n v="1029"/>
    <s v="S2"/>
    <n v="1029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04"/>
    <s v="761 I2X"/>
    <s v="PA154000380"/>
    <s v="SEM SOJA 761 I2X BG ST"/>
    <s v="S2"/>
    <s v="P2"/>
    <s v="BG"/>
    <n v="24"/>
    <n v="1030"/>
    <s v="S2"/>
    <n v="1030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06"/>
    <s v="761 I2X"/>
    <s v="PA154000380"/>
    <s v="SEM SOJA 761 I2X BG ST"/>
    <s v="S2"/>
    <s v="P2"/>
    <s v="BG"/>
    <n v="24"/>
    <n v="1026"/>
    <s v="S2"/>
    <n v="1026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09"/>
    <s v="761 I2X"/>
    <s v="PA154000380"/>
    <s v="SEM SOJA 761 I2X BG ST"/>
    <s v="S2"/>
    <s v="P2"/>
    <s v="BG"/>
    <n v="24"/>
    <n v="1023"/>
    <s v="S2"/>
    <n v="1023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11"/>
    <s v="761 I2X"/>
    <s v="PA154000380"/>
    <s v="SEM SOJA 761 I2X BG ST"/>
    <s v="S2"/>
    <s v="P2"/>
    <s v="BG"/>
    <n v="24"/>
    <n v="1031"/>
    <s v="S2"/>
    <n v="1031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13"/>
    <s v="761 I2X"/>
    <s v="PA154000380"/>
    <s v="SEM SOJA 761 I2X BG ST"/>
    <s v="S2"/>
    <s v="P2"/>
    <s v="BG"/>
    <n v="24"/>
    <n v="1019"/>
    <s v="S2"/>
    <n v="1019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16"/>
    <s v="761 I2X"/>
    <s v="PA154000380"/>
    <s v="SEM SOJA 761 I2X BG ST"/>
    <s v="S2"/>
    <s v="P2"/>
    <s v="BG"/>
    <n v="24"/>
    <n v="1029"/>
    <s v="S2"/>
    <n v="1029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19"/>
    <s v="761 I2X"/>
    <s v="PA154000380"/>
    <s v="SEM SOJA 761 I2X BG ST"/>
    <s v="S2"/>
    <s v="P2"/>
    <s v="BG"/>
    <n v="24"/>
    <n v="1027"/>
    <s v="S2"/>
    <n v="1027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22"/>
    <s v="761 I2X"/>
    <s v="PA154000380"/>
    <s v="SEM SOJA 761 I2X BG ST"/>
    <s v="S2"/>
    <s v="P2"/>
    <s v="BG"/>
    <n v="24"/>
    <n v="1032"/>
    <s v="S2"/>
    <n v="1032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25"/>
    <s v="761 I2X"/>
    <s v="PA154000380"/>
    <s v="SEM SOJA 761 I2X BG ST"/>
    <s v="S2"/>
    <s v="P2"/>
    <s v="BG"/>
    <n v="24"/>
    <n v="1039"/>
    <s v="S2"/>
    <n v="1039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28"/>
    <s v="761 I2X"/>
    <s v="PA154000380"/>
    <s v="SEM SOJA 761 I2X BG ST"/>
    <s v="S2"/>
    <s v="P2"/>
    <s v="BG"/>
    <n v="24"/>
    <n v="1029"/>
    <s v="S2"/>
    <n v="1029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31"/>
    <s v="761 I2X"/>
    <s v="PA154000380"/>
    <s v="SEM SOJA 761 I2X BG ST"/>
    <s v="S2"/>
    <s v="P2"/>
    <s v="BG"/>
    <n v="24"/>
    <n v="1045"/>
    <s v="S2"/>
    <n v="1045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33"/>
    <s v="761 I2X"/>
    <s v="PA154000380"/>
    <s v="SEM SOJA 761 I2X BG ST"/>
    <s v="S2"/>
    <s v="P2"/>
    <s v="BG"/>
    <n v="24"/>
    <n v="1030"/>
    <s v="S2"/>
    <n v="1030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36"/>
    <s v="761 I2X"/>
    <s v="PA154000380"/>
    <s v="SEM SOJA 761 I2X BG ST"/>
    <s v="S2"/>
    <s v="P2"/>
    <s v="BG"/>
    <n v="24"/>
    <n v="1020"/>
    <s v="S2"/>
    <n v="1020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38"/>
    <s v="761 I2X"/>
    <s v="PA154000380"/>
    <s v="SEM SOJA 761 I2X BG ST"/>
    <s v="S2"/>
    <s v="P2"/>
    <s v="BG"/>
    <n v="24"/>
    <n v="1016"/>
    <s v="S2"/>
    <n v="1016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40"/>
    <s v="761 I2X"/>
    <s v="PA154000380"/>
    <s v="SEM SOJA 761 I2X BG ST"/>
    <s v="S2"/>
    <s v="P2"/>
    <s v="BG"/>
    <n v="24"/>
    <n v="1025"/>
    <s v="S2"/>
    <n v="1025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43"/>
    <s v="761 I2X"/>
    <s v="PA154000380"/>
    <s v="SEM SOJA 761 I2X BG ST"/>
    <s v="S2"/>
    <s v="P2"/>
    <s v="BG"/>
    <n v="24"/>
    <n v="1027"/>
    <s v="S2"/>
    <n v="1027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47"/>
    <s v="761 I2X"/>
    <s v="PA154000380"/>
    <s v="SEM SOJA 761 I2X BG ST"/>
    <s v="S2"/>
    <s v="P2"/>
    <s v="BG"/>
    <n v="24"/>
    <n v="1030"/>
    <s v="S2"/>
    <n v="1030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50"/>
    <s v="761 I2X"/>
    <s v="PA154000380"/>
    <s v="SEM SOJA 761 I2X BG ST"/>
    <s v="S2"/>
    <s v="P2"/>
    <s v="BG"/>
    <n v="24"/>
    <n v="1012"/>
    <s v="S2"/>
    <n v="1012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53"/>
    <s v="761 I2X"/>
    <s v="PA154000380"/>
    <s v="SEM SOJA 761 I2X BG ST"/>
    <s v="S2"/>
    <s v="P2"/>
    <s v="BG"/>
    <n v="24"/>
    <n v="1023"/>
    <s v="S2"/>
    <n v="1023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5P2756"/>
    <s v="761 I2X"/>
    <s v="PA154000380"/>
    <s v="SEM SOJA 761 I2X BG ST"/>
    <s v="S2"/>
    <s v="P2"/>
    <s v="BG"/>
    <n v="15"/>
    <n v="1033"/>
    <s v="S2"/>
    <n v="1033"/>
    <n v="15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8P1502"/>
    <s v="C2705CE"/>
    <s v="PA154001079"/>
    <s v="SEM SOJA C2705CE BG ST"/>
    <s v="C1"/>
    <s v="P1"/>
    <s v="BG"/>
    <n v="27"/>
    <n v="913"/>
    <s v="C1"/>
    <n v="913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8P1503"/>
    <s v="C2705CE"/>
    <s v="PA154001079"/>
    <s v="SEM SOJA C2705CE BG ST"/>
    <s v="C1"/>
    <s v="P1"/>
    <s v="BG"/>
    <n v="27"/>
    <n v="917"/>
    <s v="C1"/>
    <n v="917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8P1505"/>
    <s v="C2705CE"/>
    <s v="PA154001079"/>
    <s v="SEM SOJA C2705CE BG ST"/>
    <s v="C1"/>
    <s v="P1"/>
    <s v="BG"/>
    <n v="27"/>
    <n v="912"/>
    <s v="C1"/>
    <n v="912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8P1507"/>
    <s v="C2705CE"/>
    <s v="PA154001079"/>
    <s v="SEM SOJA C2705CE BG ST"/>
    <s v="C1"/>
    <s v="P1"/>
    <s v="BG"/>
    <n v="4"/>
    <n v="905"/>
    <s v="C1"/>
    <n v="905"/>
    <n v="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8P2501"/>
    <s v="C2705CE"/>
    <s v="PA154001079"/>
    <s v="SEM SOJA C2705CE BG ST"/>
    <s v="C1"/>
    <s v="P2"/>
    <s v="BG"/>
    <n v="24"/>
    <n v="1112"/>
    <s v="C1"/>
    <n v="1112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8P2504"/>
    <s v="C2705CE"/>
    <s v="PA154001079"/>
    <s v="SEM SOJA C2705CE BG ST"/>
    <s v="C1"/>
    <s v="P2"/>
    <s v="BG"/>
    <n v="24"/>
    <n v="1102"/>
    <s v="C1"/>
    <n v="1102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8P2506"/>
    <s v="C2705CE"/>
    <s v="PA154001079"/>
    <s v="SEM SOJA C2705CE BG ST"/>
    <s v="C1"/>
    <s v="P2"/>
    <s v="BG"/>
    <n v="21"/>
    <n v="1105"/>
    <s v="C1"/>
    <n v="1105"/>
    <n v="21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01"/>
    <s v="NEO680 IPRO"/>
    <s v="PA154000037"/>
    <s v="SEM SOJA NEO680 IPRO BG ST"/>
    <s v="S2"/>
    <s v="P1"/>
    <s v="BG"/>
    <n v="30"/>
    <n v="838"/>
    <s v="S2"/>
    <n v="83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03"/>
    <s v="NEO680 IPRO"/>
    <s v="PA154000037"/>
    <s v="SEM SOJA NEO680 IPRO BG ST"/>
    <s v="S2"/>
    <s v="P1"/>
    <s v="BG"/>
    <n v="30"/>
    <n v="826"/>
    <s v="S2"/>
    <n v="82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04"/>
    <s v="NEO680 IPRO"/>
    <s v="PA154000037"/>
    <s v="SEM SOJA NEO680 IPRO BG ST"/>
    <s v="S2"/>
    <s v="P1"/>
    <s v="BG"/>
    <n v="30"/>
    <n v="822"/>
    <s v="S2"/>
    <n v="82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06"/>
    <s v="NEO680 IPRO"/>
    <s v="PA154000037"/>
    <s v="SEM SOJA NEO680 IPRO BG ST"/>
    <s v="S2"/>
    <s v="P1"/>
    <s v="BG"/>
    <n v="30"/>
    <n v="830"/>
    <s v="S2"/>
    <n v="83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07"/>
    <s v="NEO680 IPRO"/>
    <s v="PA154000037"/>
    <s v="SEM SOJA NEO680 IPRO BG ST"/>
    <s v="S2"/>
    <s v="P1"/>
    <s v="BG"/>
    <n v="30"/>
    <n v="794"/>
    <s v="S2"/>
    <n v="794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08"/>
    <s v="NEO680 IPRO"/>
    <s v="PA154000037"/>
    <s v="SEM SOJA NEO680 IPRO BG ST"/>
    <s v="S2"/>
    <s v="P1"/>
    <s v="BG"/>
    <n v="30"/>
    <n v="785"/>
    <s v="S2"/>
    <n v="78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09"/>
    <s v="NEO680 IPRO"/>
    <s v="PA154000037"/>
    <s v="SEM SOJA NEO680 IPRO BG ST"/>
    <s v="S2"/>
    <s v="P1"/>
    <s v="BG"/>
    <n v="30"/>
    <n v="789"/>
    <s v="S2"/>
    <n v="78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10"/>
    <s v="NEO680 IPRO"/>
    <s v="PA154000037"/>
    <s v="SEM SOJA NEO680 IPRO BG ST"/>
    <s v="S2"/>
    <s v="P1"/>
    <s v="BG"/>
    <n v="30"/>
    <n v="792"/>
    <s v="S2"/>
    <n v="79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11"/>
    <s v="NEO680 IPRO"/>
    <s v="PA154000037"/>
    <s v="SEM SOJA NEO680 IPRO BG ST"/>
    <s v="S2"/>
    <s v="P1"/>
    <s v="BG"/>
    <n v="30"/>
    <n v="802"/>
    <s v="S2"/>
    <n v="80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12"/>
    <s v="NEO680 IPRO"/>
    <s v="PA154000037"/>
    <s v="SEM SOJA NEO680 IPRO BG ST"/>
    <s v="S2"/>
    <s v="P1"/>
    <s v="BG"/>
    <n v="30"/>
    <n v="797"/>
    <s v="S2"/>
    <n v="797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13"/>
    <s v="NEO680 IPRO"/>
    <s v="PA154000037"/>
    <s v="SEM SOJA NEO680 IPRO BG ST"/>
    <s v="S2"/>
    <s v="P1"/>
    <s v="BG"/>
    <n v="30"/>
    <n v="764"/>
    <s v="S2"/>
    <n v="764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14"/>
    <s v="NEO680 IPRO"/>
    <s v="PA154000037"/>
    <s v="SEM SOJA NEO680 IPRO BG ST"/>
    <s v="S2"/>
    <s v="P1"/>
    <s v="BG"/>
    <n v="30"/>
    <n v="764"/>
    <s v="S2"/>
    <n v="764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16"/>
    <s v="NEO680 IPRO"/>
    <s v="PA154000037"/>
    <s v="SEM SOJA NEO680 IPRO BG ST"/>
    <s v="S2"/>
    <s v="P1"/>
    <s v="BG"/>
    <n v="30"/>
    <n v="765"/>
    <s v="S2"/>
    <n v="76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17"/>
    <s v="NEO680 IPRO"/>
    <s v="PA154000037"/>
    <s v="SEM SOJA NEO680 IPRO BG ST"/>
    <s v="S2"/>
    <s v="P1"/>
    <s v="BG"/>
    <n v="30"/>
    <n v="762"/>
    <s v="S2"/>
    <n v="76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18"/>
    <s v="NEO680 IPRO"/>
    <s v="PA154000037"/>
    <s v="SEM SOJA NEO680 IPRO BG ST"/>
    <s v="S2"/>
    <s v="P1"/>
    <s v="BG"/>
    <n v="30"/>
    <n v="787"/>
    <s v="S2"/>
    <n v="787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20"/>
    <s v="NEO680 IPRO"/>
    <s v="PA154000037"/>
    <s v="SEM SOJA NEO680 IPRO BG ST"/>
    <s v="C1"/>
    <s v="P1"/>
    <s v="BG"/>
    <n v="30"/>
    <n v="787"/>
    <s v="C1"/>
    <n v="787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21"/>
    <s v="NEO680 IPRO"/>
    <s v="PA154000037"/>
    <s v="SEM SOJA NEO680 IPRO BG ST"/>
    <s v="C1"/>
    <s v="P1"/>
    <s v="BG"/>
    <n v="30"/>
    <n v="778"/>
    <s v="C1"/>
    <n v="77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22"/>
    <s v="NEO680 IPRO"/>
    <s v="PA154000037"/>
    <s v="SEM SOJA NEO680 IPRO BG ST"/>
    <s v="C1"/>
    <s v="P1"/>
    <s v="BG"/>
    <n v="30"/>
    <n v="785"/>
    <s v="C1"/>
    <n v="78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24"/>
    <s v="NEO680 IPRO"/>
    <s v="PA154000037"/>
    <s v="SEM SOJA NEO680 IPRO BG ST"/>
    <s v="C1"/>
    <s v="P1"/>
    <s v="BG"/>
    <n v="30"/>
    <n v="789"/>
    <s v="C1"/>
    <n v="78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26"/>
    <s v="NEO680 IPRO"/>
    <s v="PA154000037"/>
    <s v="SEM SOJA NEO680 IPRO BG ST"/>
    <s v="C1"/>
    <s v="P1"/>
    <s v="BG"/>
    <n v="30"/>
    <n v="783"/>
    <s v="C1"/>
    <n v="78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27"/>
    <s v="NEO680 IPRO"/>
    <s v="PA154000037"/>
    <s v="SEM SOJA NEO680 IPRO BG ST"/>
    <s v="C1"/>
    <s v="P1"/>
    <s v="BG"/>
    <n v="30"/>
    <n v="775"/>
    <s v="C1"/>
    <n v="77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28"/>
    <s v="NEO680 IPRO"/>
    <s v="PA154000037"/>
    <s v="SEM SOJA NEO680 IPRO BG ST"/>
    <s v="C1"/>
    <s v="P1"/>
    <s v="BG"/>
    <n v="30"/>
    <n v="747"/>
    <s v="C1"/>
    <n v="747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30"/>
    <s v="NEO680 IPRO"/>
    <s v="PA154000037"/>
    <s v="SEM SOJA NEO680 IPRO BG ST"/>
    <s v="S2"/>
    <s v="P1"/>
    <s v="BG"/>
    <n v="30"/>
    <n v="786"/>
    <s v="S2"/>
    <n v="78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31"/>
    <s v="NEO680 IPRO"/>
    <s v="PA154000037"/>
    <s v="SEM SOJA NEO680 IPRO BG ST"/>
    <s v="S2"/>
    <s v="P1"/>
    <s v="BG"/>
    <n v="30"/>
    <n v="759"/>
    <s v="S2"/>
    <n v="75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32"/>
    <s v="NEO680 IPRO"/>
    <s v="PA154000037"/>
    <s v="SEM SOJA NEO680 IPRO BG ST"/>
    <s v="S2"/>
    <s v="P1"/>
    <s v="BG"/>
    <n v="30"/>
    <n v="760"/>
    <s v="S2"/>
    <n v="76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33"/>
    <s v="NEO680 IPRO"/>
    <s v="PA154000037"/>
    <s v="SEM SOJA NEO680 IPRO BG ST"/>
    <s v="S2"/>
    <s v="P1"/>
    <s v="BG"/>
    <n v="30"/>
    <n v="763"/>
    <s v="S2"/>
    <n v="76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35"/>
    <s v="NEO680 IPRO"/>
    <s v="PA154000037"/>
    <s v="SEM SOJA NEO680 IPRO BG ST"/>
    <s v="S2"/>
    <s v="P1"/>
    <s v="BG"/>
    <n v="30"/>
    <n v="769"/>
    <s v="S2"/>
    <n v="76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36"/>
    <s v="NEO680 IPRO"/>
    <s v="PA154000037"/>
    <s v="SEM SOJA NEO680 IPRO BG ST"/>
    <s v="S2"/>
    <s v="P1"/>
    <s v="BG"/>
    <n v="30"/>
    <n v="739"/>
    <s v="S2"/>
    <n v="73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37"/>
    <s v="NEO680 IPRO"/>
    <s v="PA154000037"/>
    <s v="SEM SOJA NEO680 IPRO BG ST"/>
    <s v="S2"/>
    <s v="P1"/>
    <s v="BG"/>
    <n v="30"/>
    <n v="720"/>
    <s v="S2"/>
    <n v="72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38"/>
    <s v="NEO680 IPRO"/>
    <s v="PA154000037"/>
    <s v="SEM SOJA NEO680 IPRO BG ST"/>
    <s v="S2"/>
    <s v="P1"/>
    <s v="BG"/>
    <n v="30"/>
    <n v="755"/>
    <s v="S2"/>
    <n v="75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39"/>
    <s v="NEO680 IPRO"/>
    <s v="PA154000037"/>
    <s v="SEM SOJA NEO680 IPRO BG ST"/>
    <s v="S2"/>
    <s v="P1"/>
    <s v="BG"/>
    <n v="30"/>
    <n v="746"/>
    <s v="S2"/>
    <n v="74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41"/>
    <s v="NEO680 IPRO"/>
    <s v="PA154000037"/>
    <s v="SEM SOJA NEO680 IPRO BG ST"/>
    <s v="S2"/>
    <s v="P1"/>
    <s v="BG"/>
    <n v="30"/>
    <n v="800"/>
    <s v="S2"/>
    <n v="80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43"/>
    <s v="NEO680 IPRO"/>
    <s v="PA154000037"/>
    <s v="SEM SOJA NEO680 IPRO BG ST"/>
    <s v="S2"/>
    <s v="P1"/>
    <s v="BG"/>
    <n v="30"/>
    <n v="766"/>
    <s v="S2"/>
    <n v="76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1644"/>
    <s v="NEO680 IPRO"/>
    <s v="PA154000037"/>
    <s v="SEM SOJA NEO680 IPRO BG ST"/>
    <s v="S2"/>
    <s v="P1"/>
    <s v="BG"/>
    <n v="9"/>
    <n v="777"/>
    <s v="S2"/>
    <n v="777"/>
    <n v="9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2602"/>
    <s v="NEO680 IPRO"/>
    <s v="PA154000037"/>
    <s v="SEM SOJA NEO680 IPRO BG ST"/>
    <s v="S2"/>
    <s v="P2"/>
    <s v="BG"/>
    <n v="24"/>
    <n v="1010"/>
    <s v="S2"/>
    <n v="1010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2605"/>
    <s v="NEO680 IPRO"/>
    <s v="PA154000037"/>
    <s v="SEM SOJA NEO680 IPRO BG ST"/>
    <s v="S2"/>
    <s v="P2"/>
    <s v="BG"/>
    <n v="27"/>
    <n v="998"/>
    <s v="S2"/>
    <n v="998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2615"/>
    <s v="NEO680 IPRO"/>
    <s v="PA154000037"/>
    <s v="SEM SOJA NEO680 IPRO BG ST"/>
    <s v="S2"/>
    <s v="P2"/>
    <s v="BG"/>
    <n v="27"/>
    <n v="931"/>
    <s v="S2"/>
    <n v="931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2619"/>
    <s v="NEO680 IPRO"/>
    <s v="PA154000037"/>
    <s v="SEM SOJA NEO680 IPRO BG ST"/>
    <s v="C1"/>
    <s v="P2"/>
    <s v="BG"/>
    <n v="27"/>
    <n v="928"/>
    <s v="C1"/>
    <n v="928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2623"/>
    <s v="NEO680 IPRO"/>
    <s v="PA154000037"/>
    <s v="SEM SOJA NEO680 IPRO BG ST"/>
    <s v="C1"/>
    <s v="P2"/>
    <s v="BG"/>
    <n v="27"/>
    <n v="937"/>
    <s v="C1"/>
    <n v="937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2625"/>
    <s v="NEO680 IPRO"/>
    <s v="PA154000037"/>
    <s v="SEM SOJA NEO680 IPRO BG ST"/>
    <s v="C1"/>
    <s v="P2"/>
    <s v="BG"/>
    <n v="27"/>
    <n v="934"/>
    <s v="C1"/>
    <n v="934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2629"/>
    <s v="NEO680 IPRO"/>
    <s v="PA154000037"/>
    <s v="SEM SOJA NEO680 IPRO BG ST"/>
    <s v="S2"/>
    <s v="P2"/>
    <s v="BG"/>
    <n v="27"/>
    <n v="917"/>
    <s v="S2"/>
    <n v="917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2634"/>
    <s v="NEO680 IPRO"/>
    <s v="PA154000037"/>
    <s v="SEM SOJA NEO680 IPRO BG ST"/>
    <s v="S2"/>
    <s v="P2"/>
    <s v="BG"/>
    <n v="27"/>
    <n v="933"/>
    <s v="S2"/>
    <n v="933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2640"/>
    <s v="NEO680 IPRO"/>
    <s v="PA154000037"/>
    <s v="SEM SOJA NEO680 IPRO BG ST"/>
    <s v="S2"/>
    <s v="P2"/>
    <s v="BG"/>
    <n v="30"/>
    <n v="911"/>
    <s v="S2"/>
    <n v="91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149P2642"/>
    <s v="NEO680 IPRO"/>
    <s v="PA154000037"/>
    <s v="SEM SOJA NEO680 IPRO BG ST"/>
    <s v="S2"/>
    <s v="P2"/>
    <s v="BG"/>
    <n v="11"/>
    <n v="928"/>
    <s v="S2"/>
    <n v="928"/>
    <n v="11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1901"/>
    <s v="NEO771 I2X"/>
    <s v="PA154000523"/>
    <s v="SEM SOJA NEO771 I2X BG ST"/>
    <s v="C2"/>
    <s v="P1"/>
    <s v="BG"/>
    <n v="30"/>
    <n v="771"/>
    <s v="C2"/>
    <n v="77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1903"/>
    <s v="NEO771 I2X"/>
    <s v="PA154000523"/>
    <s v="SEM SOJA NEO771 I2X BG ST"/>
    <s v="C2"/>
    <s v="P1"/>
    <s v="BG"/>
    <n v="30"/>
    <n v="683"/>
    <s v="C2"/>
    <n v="68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1905"/>
    <s v="NEO771 I2X"/>
    <s v="PA154000523"/>
    <s v="SEM SOJA NEO771 I2X BG ST"/>
    <s v="C2"/>
    <s v="P1"/>
    <s v="BG"/>
    <n v="30"/>
    <n v="688"/>
    <s v="C2"/>
    <n v="68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1907"/>
    <s v="NEO771 I2X"/>
    <s v="PA154000523"/>
    <s v="SEM SOJA NEO771 I2X BG ST"/>
    <s v="C2"/>
    <s v="P1"/>
    <s v="BG"/>
    <n v="30"/>
    <n v="689"/>
    <s v="C2"/>
    <n v="68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1910"/>
    <s v="NEO771 I2X"/>
    <s v="PA154000523"/>
    <s v="SEM SOJA NEO771 I2X BG ST"/>
    <s v="C2"/>
    <s v="P1"/>
    <s v="BG"/>
    <n v="30"/>
    <n v="685"/>
    <s v="C2"/>
    <n v="68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1911"/>
    <s v="NEO771 I2X"/>
    <s v="PA154000523"/>
    <s v="SEM SOJA NEO771 I2X BG ST"/>
    <s v="C2"/>
    <s v="P1"/>
    <s v="BG"/>
    <n v="30"/>
    <n v="680"/>
    <s v="C2"/>
    <n v="68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1913"/>
    <s v="NEO771 I2X"/>
    <s v="PA154000523"/>
    <s v="SEM SOJA NEO771 I2X BG ST"/>
    <s v="C2"/>
    <s v="P1"/>
    <s v="BG"/>
    <n v="30"/>
    <n v="688"/>
    <s v="C2"/>
    <n v="68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1916"/>
    <s v="NEO771 I2X"/>
    <s v="PA154000523"/>
    <s v="SEM SOJA NEO771 I2X BG ST"/>
    <s v="C2"/>
    <s v="P1"/>
    <s v="BG"/>
    <n v="30"/>
    <n v="688"/>
    <s v="C2"/>
    <n v="68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1918"/>
    <s v="NEO771 I2X"/>
    <s v="PA154000523"/>
    <s v="SEM SOJA NEO771 I2X BG ST"/>
    <s v="C2"/>
    <s v="P1"/>
    <s v="BG"/>
    <n v="30"/>
    <n v="679"/>
    <s v="C2"/>
    <n v="67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1920"/>
    <s v="NEO771 I2X"/>
    <s v="PA154000523"/>
    <s v="SEM SOJA NEO771 I2X BG ST"/>
    <s v="C2"/>
    <s v="P1"/>
    <s v="BG"/>
    <n v="30"/>
    <n v="678"/>
    <s v="C2"/>
    <n v="67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1923"/>
    <s v="NEO771 I2X"/>
    <s v="PA154000523"/>
    <s v="SEM SOJA NEO771 I2X BG ST"/>
    <s v="C2"/>
    <s v="P1"/>
    <s v="BG"/>
    <n v="30"/>
    <n v="682"/>
    <s v="C2"/>
    <n v="68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1925"/>
    <s v="NEO771 I2X"/>
    <s v="PA154000523"/>
    <s v="SEM SOJA NEO771 I2X BG ST"/>
    <s v="C2"/>
    <s v="P1"/>
    <s v="BG"/>
    <n v="30"/>
    <n v="673"/>
    <s v="C2"/>
    <n v="67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1928"/>
    <s v="NEO771 I2X"/>
    <s v="PA154000523"/>
    <s v="SEM SOJA NEO771 I2X BG ST"/>
    <s v="C2"/>
    <s v="P1"/>
    <s v="BG"/>
    <n v="5"/>
    <n v="676"/>
    <s v="C2"/>
    <n v="676"/>
    <n v="5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2902"/>
    <s v="NEO771 I2X"/>
    <s v="PA154000523"/>
    <s v="SEM SOJA NEO771 I2X BG ST"/>
    <s v="C2"/>
    <s v="P2"/>
    <s v="BG"/>
    <n v="27"/>
    <n v="941"/>
    <s v="C2"/>
    <n v="941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2904"/>
    <s v="NEO771 I2X"/>
    <s v="PA154000523"/>
    <s v="SEM SOJA NEO771 I2X BG ST"/>
    <s v="C2"/>
    <s v="P2"/>
    <s v="BG"/>
    <n v="30"/>
    <n v="870"/>
    <s v="C2"/>
    <n v="87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2906"/>
    <s v="NEO771 I2X"/>
    <s v="PA154000523"/>
    <s v="SEM SOJA NEO771 I2X BG ST"/>
    <s v="C2"/>
    <s v="P2"/>
    <s v="BG"/>
    <n v="30"/>
    <n v="874"/>
    <s v="C2"/>
    <n v="874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2908"/>
    <s v="NEO771 I2X"/>
    <s v="PA154000523"/>
    <s v="SEM SOJA NEO771 I2X BG ST"/>
    <s v="C2"/>
    <s v="P2"/>
    <s v="BG"/>
    <n v="30"/>
    <n v="874"/>
    <s v="C2"/>
    <n v="874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2909"/>
    <s v="NEO771 I2X"/>
    <s v="PA154000523"/>
    <s v="SEM SOJA NEO771 I2X BG ST"/>
    <s v="C2"/>
    <s v="P2"/>
    <s v="BG"/>
    <n v="30"/>
    <n v="865"/>
    <s v="C2"/>
    <n v="86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2912"/>
    <s v="NEO771 I2X"/>
    <s v="PA154000523"/>
    <s v="SEM SOJA NEO771 I2X BG ST"/>
    <s v="C2"/>
    <s v="P2"/>
    <s v="BG"/>
    <n v="30"/>
    <n v="872"/>
    <s v="C2"/>
    <n v="87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2914"/>
    <s v="NEO771 I2X"/>
    <s v="PA154000523"/>
    <s v="SEM SOJA NEO771 I2X BG ST"/>
    <s v="C2"/>
    <s v="P2"/>
    <s v="BG"/>
    <n v="30"/>
    <n v="878"/>
    <s v="C2"/>
    <n v="87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2915"/>
    <s v="NEO771 I2X"/>
    <s v="PA154000523"/>
    <s v="SEM SOJA NEO771 I2X BG ST"/>
    <s v="C2"/>
    <s v="P2"/>
    <s v="BG"/>
    <n v="30"/>
    <n v="885"/>
    <s v="C2"/>
    <n v="88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2917"/>
    <s v="NEO771 I2X"/>
    <s v="PA154000523"/>
    <s v="SEM SOJA NEO771 I2X BG ST"/>
    <s v="C2"/>
    <s v="P2"/>
    <s v="BG"/>
    <n v="30"/>
    <n v="871"/>
    <s v="C2"/>
    <n v="87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2919"/>
    <s v="NEO771 I2X"/>
    <s v="PA154000523"/>
    <s v="SEM SOJA NEO771 I2X BG ST"/>
    <s v="C2"/>
    <s v="P2"/>
    <s v="BG"/>
    <n v="30"/>
    <n v="879"/>
    <s v="C2"/>
    <n v="87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2921"/>
    <s v="NEO771 I2X"/>
    <s v="PA154000523"/>
    <s v="SEM SOJA NEO771 I2X BG ST"/>
    <s v="C2"/>
    <s v="P2"/>
    <s v="BG"/>
    <n v="30"/>
    <n v="878"/>
    <s v="C2"/>
    <n v="87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2922"/>
    <s v="NEO771 I2X"/>
    <s v="PA154000523"/>
    <s v="SEM SOJA NEO771 I2X BG ST"/>
    <s v="C2"/>
    <s v="P2"/>
    <s v="BG"/>
    <n v="30"/>
    <n v="870"/>
    <s v="C2"/>
    <n v="87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2924"/>
    <s v="NEO771 I2X"/>
    <s v="PA154000523"/>
    <s v="SEM SOJA NEO771 I2X BG ST"/>
    <s v="C2"/>
    <s v="P2"/>
    <s v="BG"/>
    <n v="30"/>
    <n v="874"/>
    <s v="C2"/>
    <n v="874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2926"/>
    <s v="NEO771 I2X"/>
    <s v="PA154000523"/>
    <s v="SEM SOJA NEO771 I2X BG ST"/>
    <s v="C2"/>
    <s v="P2"/>
    <s v="BG"/>
    <n v="30"/>
    <n v="866"/>
    <s v="C2"/>
    <n v="86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0P2927"/>
    <s v="NEO771 I2X"/>
    <s v="PA154000523"/>
    <s v="SEM SOJA NEO771 I2X BG ST"/>
    <s v="C2"/>
    <s v="P2"/>
    <s v="BG"/>
    <n v="27"/>
    <n v="881"/>
    <s v="C2"/>
    <n v="881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7P1801"/>
    <s v="NEO780 CE"/>
    <s v="PA154001107"/>
    <s v="SEM SOJA NEO780 CE BG ST"/>
    <s v="C1"/>
    <s v="P1"/>
    <s v="BG"/>
    <n v="30"/>
    <n v="846"/>
    <s v="C1"/>
    <n v="84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7P1803"/>
    <s v="NEO780 CE"/>
    <s v="PA154001107"/>
    <s v="SEM SOJA NEO780 CE BG ST"/>
    <s v="C1"/>
    <s v="P1"/>
    <s v="BG"/>
    <n v="30"/>
    <n v="848"/>
    <s v="C1"/>
    <n v="84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7P1805"/>
    <s v="NEO780 CE"/>
    <s v="PA154001107"/>
    <s v="SEM SOJA NEO780 CE BG ST"/>
    <s v="C1"/>
    <s v="P1"/>
    <s v="BG"/>
    <n v="30"/>
    <n v="855"/>
    <s v="C1"/>
    <n v="85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7P1807"/>
    <s v="NEO780 CE"/>
    <s v="PA154001107"/>
    <s v="SEM SOJA NEO780 CE BG ST"/>
    <s v="C1"/>
    <s v="P1"/>
    <s v="BG"/>
    <n v="30"/>
    <n v="846"/>
    <s v="C1"/>
    <n v="84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7P1808"/>
    <s v="NEO780 CE"/>
    <s v="PA154001107"/>
    <s v="SEM SOJA NEO780 CE BG ST"/>
    <s v="C1"/>
    <s v="P1"/>
    <s v="BG"/>
    <n v="30"/>
    <n v="850"/>
    <s v="C1"/>
    <n v="85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7P1810"/>
    <s v="NEO780 CE"/>
    <s v="PA154001107"/>
    <s v="SEM SOJA NEO780 CE BG ST"/>
    <s v="C1"/>
    <s v="P1"/>
    <s v="BG"/>
    <n v="2"/>
    <n v="851"/>
    <s v="C1"/>
    <n v="851"/>
    <n v="2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7P2802"/>
    <s v="NEO780 CE"/>
    <s v="PA154001107"/>
    <s v="SEM SOJA NEO780 CE BG ST"/>
    <s v="C1"/>
    <s v="P2"/>
    <s v="BG"/>
    <n v="24"/>
    <n v="1039"/>
    <s v="C1"/>
    <n v="1039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7P2804"/>
    <s v="NEO780 CE"/>
    <s v="PA154001107"/>
    <s v="SEM SOJA NEO780 CE BG ST"/>
    <s v="C1"/>
    <s v="P2"/>
    <s v="BG"/>
    <n v="24"/>
    <n v="1032"/>
    <s v="C1"/>
    <n v="1032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7P2806"/>
    <s v="NEO780 CE"/>
    <s v="PA154001107"/>
    <s v="SEM SOJA NEO780 CE BG ST"/>
    <s v="C1"/>
    <s v="P2"/>
    <s v="BG"/>
    <n v="24"/>
    <n v="1032"/>
    <s v="C1"/>
    <n v="1032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7P2809"/>
    <s v="NEO780 CE"/>
    <s v="PA154001107"/>
    <s v="SEM SOJA NEO780 CE BG ST"/>
    <s v="C1"/>
    <s v="P2"/>
    <s v="BG"/>
    <n v="17"/>
    <n v="1029"/>
    <s v="C1"/>
    <n v="1029"/>
    <n v="1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1301"/>
    <s v="NEO801 CE"/>
    <s v="PA154000551"/>
    <s v="SEM SOJA NEO801 CE BG ST"/>
    <s v="C2"/>
    <s v="P1"/>
    <s v="BG"/>
    <n v="30"/>
    <n v="815"/>
    <s v="C2"/>
    <n v="81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1304"/>
    <s v="NEO801 CE"/>
    <s v="PA154000551"/>
    <s v="SEM SOJA NEO801 CE BG ST"/>
    <s v="C2"/>
    <s v="P1"/>
    <s v="BG"/>
    <n v="30"/>
    <n v="823"/>
    <s v="C2"/>
    <n v="82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1306"/>
    <s v="NEO801 CE"/>
    <s v="PA154000551"/>
    <s v="SEM SOJA NEO801 CE BG ST"/>
    <s v="C2"/>
    <s v="P1"/>
    <s v="BG"/>
    <n v="19"/>
    <n v="832"/>
    <s v="C2"/>
    <n v="832"/>
    <n v="19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1309"/>
    <s v="NEO801 CE"/>
    <s v="PA154000551"/>
    <s v="SEM SOJA NEO801 CE BG ST"/>
    <s v="C2"/>
    <s v="P1"/>
    <s v="BG"/>
    <n v="30"/>
    <n v="689"/>
    <s v="C2"/>
    <n v="68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1310"/>
    <s v="NEO801 CE"/>
    <s v="PA154000551"/>
    <s v="SEM SOJA NEO801 CE BG ST"/>
    <s v="C2"/>
    <s v="P1"/>
    <s v="BG"/>
    <n v="30"/>
    <n v="668"/>
    <s v="C2"/>
    <n v="66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1312"/>
    <s v="NEO801 CE"/>
    <s v="PA154000551"/>
    <s v="SEM SOJA NEO801 CE BG ST"/>
    <s v="C2"/>
    <s v="P1"/>
    <s v="BG"/>
    <n v="30"/>
    <n v="668"/>
    <s v="C2"/>
    <n v="66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1314"/>
    <s v="NEO801 CE"/>
    <s v="PA154000551"/>
    <s v="SEM SOJA NEO801 CE BG ST"/>
    <s v="C2"/>
    <s v="P1"/>
    <s v="BG"/>
    <n v="30"/>
    <n v="673"/>
    <s v="C2"/>
    <n v="67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1315"/>
    <s v="NEO801 CE"/>
    <s v="PA154000551"/>
    <s v="SEM SOJA NEO801 CE BG ST"/>
    <s v="C2"/>
    <s v="P1"/>
    <s v="BG"/>
    <n v="30"/>
    <n v="669"/>
    <s v="C2"/>
    <n v="66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1317"/>
    <s v="NEO801 CE"/>
    <s v="PA154000551"/>
    <s v="SEM SOJA NEO801 CE BG ST"/>
    <s v="C2"/>
    <s v="P1"/>
    <s v="BG"/>
    <n v="30"/>
    <n v="676"/>
    <s v="C2"/>
    <n v="67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1319"/>
    <s v="NEO801 CE"/>
    <s v="PA154000551"/>
    <s v="SEM SOJA NEO801 CE BG ST"/>
    <s v="C2"/>
    <s v="P1"/>
    <s v="BG"/>
    <n v="30"/>
    <n v="667"/>
    <s v="C2"/>
    <n v="667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1320"/>
    <s v="NEO801 CE"/>
    <s v="PA154000551"/>
    <s v="SEM SOJA NEO801 CE BG ST"/>
    <s v="C2"/>
    <s v="P1"/>
    <s v="BG"/>
    <n v="30"/>
    <n v="680"/>
    <s v="C2"/>
    <n v="68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1322"/>
    <s v="NEO801 CE"/>
    <s v="PA154000551"/>
    <s v="SEM SOJA NEO801 CE BG ST"/>
    <s v="C2"/>
    <s v="P1"/>
    <s v="BG"/>
    <n v="30"/>
    <n v="703"/>
    <s v="C2"/>
    <n v="70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1324"/>
    <s v="NEO801 CE"/>
    <s v="PA154000551"/>
    <s v="SEM SOJA NEO801 CE BG ST"/>
    <s v="C2"/>
    <s v="P1"/>
    <s v="BG"/>
    <n v="11"/>
    <n v="702"/>
    <s v="C2"/>
    <n v="702"/>
    <n v="11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2302"/>
    <s v="NEO801 CE"/>
    <s v="PA154000551"/>
    <s v="SEM SOJA NEO801 CE BG ST"/>
    <s v="C2"/>
    <s v="P2"/>
    <s v="BG"/>
    <n v="24"/>
    <n v="1003"/>
    <s v="C2"/>
    <n v="1003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2303"/>
    <s v="NEO801 CE"/>
    <s v="PA154000551"/>
    <s v="SEM SOJA NEO801 CE BG ST"/>
    <s v="C2"/>
    <s v="P2"/>
    <s v="BG"/>
    <n v="27"/>
    <n v="1000"/>
    <s v="C2"/>
    <n v="1000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2305"/>
    <s v="NEO801 CE"/>
    <s v="PA154000551"/>
    <s v="SEM SOJA NEO801 CE BG ST"/>
    <s v="C2"/>
    <s v="P2"/>
    <s v="BG"/>
    <n v="24"/>
    <n v="1019"/>
    <s v="C2"/>
    <n v="1019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2307"/>
    <s v="NEO801 CE"/>
    <s v="PA154000551"/>
    <s v="SEM SOJA NEO801 CE BG ST"/>
    <s v="C2"/>
    <s v="P2"/>
    <s v="BG"/>
    <n v="14"/>
    <n v="955"/>
    <s v="C2"/>
    <n v="955"/>
    <n v="1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2308"/>
    <s v="NEO801 CE"/>
    <s v="PA154000551"/>
    <s v="SEM SOJA NEO801 CE BG ST"/>
    <s v="C2"/>
    <s v="P2"/>
    <s v="BG"/>
    <n v="30"/>
    <n v="884"/>
    <s v="C2"/>
    <n v="884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2311"/>
    <s v="NEO801 CE"/>
    <s v="PA154000551"/>
    <s v="SEM SOJA NEO801 CE BG ST"/>
    <s v="C2"/>
    <s v="P2"/>
    <s v="BG"/>
    <n v="30"/>
    <n v="859"/>
    <s v="C2"/>
    <n v="85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2313"/>
    <s v="NEO801 CE"/>
    <s v="PA154000551"/>
    <s v="SEM SOJA NEO801 CE BG ST"/>
    <s v="C2"/>
    <s v="P2"/>
    <s v="BG"/>
    <n v="30"/>
    <n v="868"/>
    <s v="C2"/>
    <n v="86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2316"/>
    <s v="NEO801 CE"/>
    <s v="PA154000551"/>
    <s v="SEM SOJA NEO801 CE BG ST"/>
    <s v="C2"/>
    <s v="P2"/>
    <s v="BG"/>
    <n v="30"/>
    <n v="861"/>
    <s v="C2"/>
    <n v="86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2318"/>
    <s v="NEO801 CE"/>
    <s v="PA154000551"/>
    <s v="SEM SOJA NEO801 CE BG ST"/>
    <s v="C2"/>
    <s v="P2"/>
    <s v="BG"/>
    <n v="30"/>
    <n v="869"/>
    <s v="C2"/>
    <n v="86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2321"/>
    <s v="NEO801 CE"/>
    <s v="PA154000551"/>
    <s v="SEM SOJA NEO801 CE BG ST"/>
    <s v="C2"/>
    <s v="P2"/>
    <s v="BG"/>
    <n v="30"/>
    <n v="880"/>
    <s v="C2"/>
    <n v="88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2323"/>
    <s v="NEO801 CE"/>
    <s v="PA154000551"/>
    <s v="SEM SOJA NEO801 CE BG ST"/>
    <s v="C2"/>
    <s v="P2"/>
    <s v="BG"/>
    <n v="30"/>
    <n v="884"/>
    <s v="C2"/>
    <n v="884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41P2325"/>
    <s v="NEO801 CE"/>
    <s v="PA154000551"/>
    <s v="SEM SOJA NEO801 CE BG ST"/>
    <s v="C2"/>
    <s v="P2"/>
    <s v="BG"/>
    <n v="21"/>
    <n v="884"/>
    <s v="C2"/>
    <n v="884"/>
    <n v="21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9P1409"/>
    <s v="NEO811 I2X"/>
    <s v="PA154001121"/>
    <s v="SEM SOJA NEO811 I2X BG ST"/>
    <s v="C1"/>
    <s v="P1"/>
    <s v="BG"/>
    <n v="30"/>
    <n v="652"/>
    <s v="C1"/>
    <n v="65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9P1410"/>
    <s v="NEO811 I2X"/>
    <s v="PA154001121"/>
    <s v="SEM SOJA NEO811 I2X BG ST"/>
    <s v="C1"/>
    <s v="P1"/>
    <s v="BG"/>
    <n v="30"/>
    <n v="656"/>
    <s v="C1"/>
    <n v="65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9P1412"/>
    <s v="NEO811 I2X"/>
    <s v="PA154001121"/>
    <s v="SEM SOJA NEO811 I2X BG ST"/>
    <s v="C1"/>
    <s v="P1"/>
    <s v="BG"/>
    <n v="30"/>
    <n v="656"/>
    <s v="C1"/>
    <n v="65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9P1414"/>
    <s v="NEO811 I2X"/>
    <s v="PA154001121"/>
    <s v="SEM SOJA NEO811 I2X BG ST"/>
    <s v="C1"/>
    <s v="P1"/>
    <s v="BG"/>
    <n v="30"/>
    <n v="658"/>
    <s v="C1"/>
    <n v="65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9P1415"/>
    <s v="NEO811 I2X"/>
    <s v="PA154001121"/>
    <s v="SEM SOJA NEO811 I2X BG ST"/>
    <s v="C1"/>
    <s v="P1"/>
    <s v="BG"/>
    <n v="18"/>
    <n v="640"/>
    <s v="C1"/>
    <n v="640"/>
    <n v="18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9P2408"/>
    <s v="NEO811 I2X"/>
    <s v="PA154001121"/>
    <s v="SEM SOJA NEO811 I2X BG ST"/>
    <s v="C1"/>
    <s v="P2"/>
    <s v="BG"/>
    <n v="30"/>
    <n v="809"/>
    <s v="C1"/>
    <n v="80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9P2411"/>
    <s v="NEO811 I2X"/>
    <s v="PA154001121"/>
    <s v="SEM SOJA NEO811 I2X BG ST"/>
    <s v="C1"/>
    <s v="P2"/>
    <s v="BG"/>
    <n v="30"/>
    <n v="801"/>
    <s v="C1"/>
    <n v="80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9P2413"/>
    <s v="NEO811 I2X"/>
    <s v="PA154001121"/>
    <s v="SEM SOJA NEO811 I2X BG ST"/>
    <s v="C1"/>
    <s v="P2"/>
    <s v="BG"/>
    <n v="30"/>
    <n v="826"/>
    <s v="C1"/>
    <n v="82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59P2416"/>
    <s v="NEO811 I2X"/>
    <s v="PA154001121"/>
    <s v="SEM SOJA NEO811 I2X BG ST"/>
    <s v="C1"/>
    <s v="P2"/>
    <s v="BG"/>
    <n v="1"/>
    <n v="794"/>
    <s v="C1"/>
    <n v="794"/>
    <n v="1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1101"/>
    <s v="O790 IPRO"/>
    <s v="PA154000045"/>
    <s v="SEM SOJA O790 IPRO BG ST"/>
    <s v="S1"/>
    <s v="P1"/>
    <s v="BG"/>
    <n v="30"/>
    <n v="792"/>
    <s v="S1"/>
    <n v="792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1103"/>
    <s v="O790 IPRO"/>
    <s v="PA154000045"/>
    <s v="SEM SOJA O790 IPRO BG ST"/>
    <s v="S1"/>
    <s v="P1"/>
    <s v="BG"/>
    <n v="30"/>
    <n v="775"/>
    <s v="S1"/>
    <n v="77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1105"/>
    <s v="O790 IPRO"/>
    <s v="PA154000045"/>
    <s v="SEM SOJA O790 IPRO BG ST"/>
    <s v="S1"/>
    <s v="P1"/>
    <s v="BG"/>
    <n v="30"/>
    <n v="818"/>
    <s v="S1"/>
    <n v="818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1107"/>
    <s v="O790 IPRO"/>
    <s v="PA154000045"/>
    <s v="SEM SOJA O790 IPRO BG ST"/>
    <s v="S1"/>
    <s v="P1"/>
    <s v="BG"/>
    <n v="30"/>
    <n v="806"/>
    <s v="S1"/>
    <n v="806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1109"/>
    <s v="O790 IPRO"/>
    <s v="PA154000045"/>
    <s v="SEM SOJA O790 IPRO BG ST"/>
    <s v="S1"/>
    <s v="P1"/>
    <s v="BG"/>
    <n v="30"/>
    <n v="800"/>
    <s v="S1"/>
    <n v="80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1111"/>
    <s v="O790 IPRO"/>
    <s v="PA154000045"/>
    <s v="SEM SOJA O790 IPRO BG ST"/>
    <s v="S1"/>
    <s v="P1"/>
    <s v="BG"/>
    <n v="30"/>
    <n v="803"/>
    <s v="S1"/>
    <n v="803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1113"/>
    <s v="O790 IPRO"/>
    <s v="PA154000045"/>
    <s v="SEM SOJA O790 IPRO BG ST"/>
    <s v="S1"/>
    <s v="P1"/>
    <s v="BG"/>
    <n v="30"/>
    <n v="801"/>
    <s v="S1"/>
    <n v="80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1116"/>
    <s v="O790 IPRO"/>
    <s v="PA154000045"/>
    <s v="SEM SOJA O790 IPRO BG ST"/>
    <s v="S1"/>
    <s v="P1"/>
    <s v="BG"/>
    <n v="30"/>
    <n v="810"/>
    <s v="S1"/>
    <n v="810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1118"/>
    <s v="O790 IPRO"/>
    <s v="PA154000045"/>
    <s v="SEM SOJA O790 IPRO BG ST"/>
    <s v="S1"/>
    <s v="P1"/>
    <s v="BG"/>
    <n v="30"/>
    <n v="811"/>
    <s v="S1"/>
    <n v="81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1120"/>
    <s v="O790 IPRO"/>
    <s v="PA154000045"/>
    <s v="SEM SOJA O790 IPRO BG ST"/>
    <s v="S1"/>
    <s v="P1"/>
    <s v="BG"/>
    <n v="30"/>
    <n v="805"/>
    <s v="S1"/>
    <n v="805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1122"/>
    <s v="O790 IPRO"/>
    <s v="PA154000045"/>
    <s v="SEM SOJA O790 IPRO BG ST"/>
    <s v="S1"/>
    <s v="P1"/>
    <s v="BG"/>
    <n v="30"/>
    <n v="791"/>
    <s v="S1"/>
    <n v="79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1124"/>
    <s v="O790 IPRO"/>
    <s v="PA154000045"/>
    <s v="SEM SOJA O790 IPRO BG ST"/>
    <s v="S1"/>
    <s v="P1"/>
    <s v="BG"/>
    <n v="30"/>
    <n v="791"/>
    <s v="S1"/>
    <n v="791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1126"/>
    <s v="O790 IPRO"/>
    <s v="PA154000045"/>
    <s v="SEM SOJA O790 IPRO BG ST"/>
    <s v="S1"/>
    <s v="P1"/>
    <s v="BG"/>
    <n v="30"/>
    <n v="814"/>
    <s v="S1"/>
    <n v="814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1129"/>
    <s v="O790 IPRO"/>
    <s v="PA154000045"/>
    <s v="SEM SOJA O790 IPRO BG ST"/>
    <s v="S1"/>
    <s v="P1"/>
    <s v="BG"/>
    <n v="30"/>
    <n v="799"/>
    <s v="S1"/>
    <n v="799"/>
    <n v="3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1130"/>
    <s v="O790 IPRO"/>
    <s v="PA154000045"/>
    <s v="SEM SOJA O790 IPRO BG ST"/>
    <s v="S1"/>
    <s v="P1"/>
    <s v="BG"/>
    <n v="20"/>
    <n v="792"/>
    <s v="S1"/>
    <n v="792"/>
    <n v="20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02"/>
    <s v="O790 IPRO"/>
    <s v="PA154000045"/>
    <s v="SEM SOJA O790 IPRO BG ST"/>
    <s v="S1"/>
    <s v="P2"/>
    <s v="BG"/>
    <n v="24"/>
    <n v="1028"/>
    <s v="S1"/>
    <n v="1028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04"/>
    <s v="O790 IPRO"/>
    <s v="PA154000045"/>
    <s v="SEM SOJA O790 IPRO BG ST"/>
    <s v="S1"/>
    <s v="P2"/>
    <s v="BG"/>
    <n v="24"/>
    <n v="1029"/>
    <s v="S1"/>
    <n v="1029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06"/>
    <s v="O790 IPRO"/>
    <s v="PA154000045"/>
    <s v="SEM SOJA O790 IPRO BG ST"/>
    <s v="S1"/>
    <s v="P2"/>
    <s v="BG"/>
    <n v="24"/>
    <n v="1033"/>
    <s v="S1"/>
    <n v="1033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08"/>
    <s v="O790 IPRO"/>
    <s v="PA154000045"/>
    <s v="SEM SOJA O790 IPRO BG ST"/>
    <s v="S1"/>
    <s v="P2"/>
    <s v="BG"/>
    <n v="24"/>
    <n v="1031"/>
    <s v="S1"/>
    <n v="1031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10"/>
    <s v="O790 IPRO"/>
    <s v="PA154000045"/>
    <s v="SEM SOJA O790 IPRO BG ST"/>
    <s v="S1"/>
    <s v="P2"/>
    <s v="BG"/>
    <n v="24"/>
    <n v="1030"/>
    <s v="S1"/>
    <n v="1030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12"/>
    <s v="O790 IPRO"/>
    <s v="PA154000045"/>
    <s v="SEM SOJA O790 IPRO BG ST"/>
    <s v="S1"/>
    <s v="P2"/>
    <s v="BG"/>
    <n v="24"/>
    <n v="1028"/>
    <s v="S1"/>
    <n v="1028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14"/>
    <s v="O790 IPRO"/>
    <s v="PA154000045"/>
    <s v="SEM SOJA O790 IPRO BG ST"/>
    <s v="S1"/>
    <s v="P2"/>
    <s v="BG"/>
    <n v="24"/>
    <n v="1022"/>
    <s v="S1"/>
    <n v="1022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15"/>
    <s v="O790 IPRO"/>
    <s v="PA154000045"/>
    <s v="SEM SOJA O790 IPRO BG ST"/>
    <s v="S1"/>
    <s v="P2"/>
    <s v="BG"/>
    <n v="24"/>
    <n v="1020"/>
    <s v="S1"/>
    <n v="1020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17"/>
    <s v="O790 IPRO"/>
    <s v="PA154000045"/>
    <s v="SEM SOJA O790 IPRO BG ST"/>
    <s v="S1"/>
    <s v="P2"/>
    <s v="BG"/>
    <n v="24"/>
    <n v="1038"/>
    <s v="S1"/>
    <n v="1038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19"/>
    <s v="O790 IPRO"/>
    <s v="PA154000045"/>
    <s v="SEM SOJA O790 IPRO BG ST"/>
    <s v="S1"/>
    <s v="P2"/>
    <s v="BG"/>
    <n v="24"/>
    <n v="1041"/>
    <s v="S1"/>
    <n v="1041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21"/>
    <s v="O790 IPRO"/>
    <s v="PA154000045"/>
    <s v="SEM SOJA O790 IPRO BG ST"/>
    <s v="S1"/>
    <s v="P2"/>
    <s v="BG"/>
    <n v="24"/>
    <n v="1053"/>
    <s v="S1"/>
    <n v="1053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23"/>
    <s v="O790 IPRO"/>
    <s v="PA154000045"/>
    <s v="SEM SOJA O790 IPRO BG ST"/>
    <s v="S1"/>
    <s v="P2"/>
    <s v="BG"/>
    <n v="24"/>
    <n v="1038"/>
    <s v="S1"/>
    <n v="1038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25"/>
    <s v="O790 IPRO"/>
    <s v="PA154000045"/>
    <s v="SEM SOJA O790 IPRO BG ST"/>
    <s v="S1"/>
    <s v="P2"/>
    <s v="BG"/>
    <n v="24"/>
    <n v="1015"/>
    <s v="S1"/>
    <n v="1015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27"/>
    <s v="O790 IPRO"/>
    <s v="PA154000045"/>
    <s v="SEM SOJA O790 IPRO BG ST"/>
    <s v="S1"/>
    <s v="P2"/>
    <s v="BG"/>
    <n v="24"/>
    <n v="1045"/>
    <s v="S1"/>
    <n v="1045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28"/>
    <s v="O790 IPRO"/>
    <s v="PA154000045"/>
    <s v="SEM SOJA O790 IPRO BG ST"/>
    <s v="S1"/>
    <s v="P2"/>
    <s v="BG"/>
    <n v="24"/>
    <n v="1015"/>
    <s v="S1"/>
    <n v="1015"/>
    <n v="24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714P2131"/>
    <s v="O790 IPRO"/>
    <s v="PA154000045"/>
    <s v="SEM SOJA O790 IPRO BG ST"/>
    <s v="S1"/>
    <s v="P2"/>
    <s v="BG"/>
    <n v="18"/>
    <n v="1023"/>
    <s v="S1"/>
    <n v="1023"/>
    <n v="18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64P1426"/>
    <s v="O820 IPRO"/>
    <s v="PA154001160"/>
    <s v="SOJA DEST STE O820 IPRO BG ST"/>
    <s v="S1"/>
    <s v="P1"/>
    <s v="BG"/>
    <n v="27"/>
    <n v="967"/>
    <s v="S1"/>
    <n v="967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64P1428"/>
    <s v="O820 IPRO"/>
    <s v="PA154001160"/>
    <s v="SOJA DEST STE O820 IPRO BG ST"/>
    <s v="S1"/>
    <s v="P1"/>
    <s v="BG"/>
    <n v="27"/>
    <n v="981"/>
    <s v="S1"/>
    <n v="981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64P1430"/>
    <s v="O820 IPRO"/>
    <s v="PA154001160"/>
    <s v="SOJA DEST STE O820 IPRO BG ST"/>
    <s v="S1"/>
    <s v="P1"/>
    <s v="BG"/>
    <n v="27"/>
    <n v="995"/>
    <s v="S1"/>
    <n v="995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64P1432"/>
    <s v="O820 IPRO"/>
    <s v="PA154001160"/>
    <s v="SOJA DEST STE O820 IPRO BG ST"/>
    <s v="S1"/>
    <s v="P1"/>
    <s v="BG"/>
    <n v="27"/>
    <n v="984"/>
    <s v="S1"/>
    <n v="984"/>
    <n v="27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64P1434"/>
    <s v="O820 IPRO"/>
    <s v="PA154001160"/>
    <s v="SOJA DEST STE O820 IPRO BG ST"/>
    <s v="S1"/>
    <s v="P1"/>
    <s v="BG"/>
    <n v="11"/>
    <n v="1002"/>
    <s v="S1"/>
    <n v="1002"/>
    <n v="11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64P2427"/>
    <s v="O820 IPRO"/>
    <s v="PA154001160"/>
    <s v="SOJA DEST STE O820 IPRO BG ST"/>
    <s v="S1"/>
    <s v="P2"/>
    <s v="BG"/>
    <n v="18"/>
    <n v="1177"/>
    <s v="S1"/>
    <n v="1177"/>
    <n v="18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64P2429"/>
    <s v="O820 IPRO"/>
    <s v="PA154001160"/>
    <s v="SOJA DEST STE O820 IPRO BG ST"/>
    <s v="S1"/>
    <s v="P2"/>
    <s v="BG"/>
    <n v="18"/>
    <n v="1178"/>
    <s v="S1"/>
    <n v="1178"/>
    <n v="18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64P2431"/>
    <s v="O820 IPRO"/>
    <s v="PA154001160"/>
    <s v="SOJA DEST STE O820 IPRO BG ST"/>
    <s v="S1"/>
    <s v="P2"/>
    <s v="BG"/>
    <n v="18"/>
    <n v="1182"/>
    <s v="S1"/>
    <n v="1182"/>
    <n v="18"/>
    <m/>
    <m/>
    <m/>
    <s v="SIM"/>
    <n v="1"/>
    <d v="2026-04-23T00:00:00"/>
    <x v="0"/>
    <s v="Renato de Castro"/>
    <s v="Evelyn Ataide"/>
    <s v="Luziano Alves"/>
  </r>
  <r>
    <x v="0"/>
    <s v="GO"/>
    <s v="0101"/>
    <n v="11"/>
    <x v="0"/>
    <s v="11264P2433"/>
    <s v="O820 IPRO"/>
    <s v="PA154001160"/>
    <s v="SOJA DEST STE O820 IPRO BG ST"/>
    <s v="S1"/>
    <s v="P2"/>
    <s v="BG"/>
    <n v="4"/>
    <n v="1193"/>
    <s v="S1"/>
    <n v="1193"/>
    <n v="4"/>
    <m/>
    <m/>
    <m/>
    <s v="SIM"/>
    <n v="1"/>
    <d v="2026-04-23T00:00:00"/>
    <x v="0"/>
    <s v="Renato de Castro"/>
    <s v="Evelyn Ataide"/>
    <s v="Luziano Alves"/>
  </r>
  <r>
    <x v="1"/>
    <s v="GO"/>
    <s v="0101"/>
    <n v="10"/>
    <x v="0"/>
    <s v="11026715P1061"/>
    <s v="761 I2X"/>
    <m/>
    <m/>
    <s v="S2"/>
    <s v="P1"/>
    <s v="BG"/>
    <n v="30"/>
    <n v="814"/>
    <s v="S2"/>
    <n v="81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1063"/>
    <s v="761 I2X"/>
    <m/>
    <m/>
    <s v="S2"/>
    <s v="P1"/>
    <s v="BG"/>
    <n v="30"/>
    <n v="824"/>
    <s v="S2"/>
    <n v="82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1067"/>
    <s v="761 I2X"/>
    <m/>
    <m/>
    <s v="S2"/>
    <s v="P1"/>
    <s v="BG"/>
    <n v="30"/>
    <n v="810"/>
    <s v="S2"/>
    <n v="81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1069"/>
    <s v="761 I2X"/>
    <m/>
    <m/>
    <s v="S2"/>
    <s v="P1"/>
    <s v="BG"/>
    <n v="30"/>
    <n v="819"/>
    <s v="S2"/>
    <n v="81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1073"/>
    <s v="761 I2X"/>
    <m/>
    <m/>
    <s v="S2"/>
    <s v="P1"/>
    <s v="BG"/>
    <n v="30"/>
    <n v="823"/>
    <s v="S2"/>
    <n v="82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1076"/>
    <s v="761 I2X"/>
    <m/>
    <m/>
    <s v="S2"/>
    <s v="P1"/>
    <s v="BG"/>
    <n v="30"/>
    <n v="804"/>
    <s v="S2"/>
    <n v="80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1079"/>
    <s v="761 I2X"/>
    <m/>
    <m/>
    <s v="S2"/>
    <s v="P1"/>
    <s v="BG"/>
    <n v="30"/>
    <n v="814"/>
    <s v="S2"/>
    <n v="81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1083"/>
    <s v="761 I2X"/>
    <m/>
    <m/>
    <s v="S2"/>
    <s v="P1"/>
    <s v="BG"/>
    <n v="30"/>
    <n v="793"/>
    <s v="S2"/>
    <n v="79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1087"/>
    <s v="761 I2X"/>
    <m/>
    <m/>
    <s v="C1"/>
    <s v="P1"/>
    <s v="BG"/>
    <n v="30"/>
    <n v="825"/>
    <s v="C1"/>
    <n v="82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1090"/>
    <s v="761 I2X"/>
    <m/>
    <m/>
    <s v="C1"/>
    <s v="P1"/>
    <s v="BG"/>
    <n v="12"/>
    <n v="804"/>
    <s v="C1"/>
    <n v="804"/>
    <n v="12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1153"/>
    <s v="761 I2X"/>
    <m/>
    <m/>
    <s v="C1"/>
    <s v="P1"/>
    <s v="BG"/>
    <n v="30"/>
    <n v="828"/>
    <s v="C1"/>
    <n v="82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1156"/>
    <s v="761 I2X"/>
    <m/>
    <m/>
    <s v="S2"/>
    <s v="P1"/>
    <s v="BG"/>
    <n v="30"/>
    <n v="804"/>
    <s v="S2"/>
    <n v="80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1161"/>
    <s v="761 I2X"/>
    <m/>
    <m/>
    <s v="S2"/>
    <s v="P1"/>
    <s v="BG"/>
    <n v="30"/>
    <n v="823"/>
    <s v="S2"/>
    <n v="82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1167"/>
    <s v="761 I2X"/>
    <m/>
    <m/>
    <s v="S2"/>
    <s v="P1"/>
    <s v="BG"/>
    <n v="20"/>
    <n v="817"/>
    <s v="S2"/>
    <n v="817"/>
    <n v="2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60"/>
    <s v="761 I2X"/>
    <m/>
    <m/>
    <s v="S2"/>
    <s v="P2"/>
    <s v="BG"/>
    <n v="24"/>
    <n v="1033"/>
    <s v="S2"/>
    <n v="1033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62"/>
    <s v="761 I2X"/>
    <m/>
    <m/>
    <s v="S2"/>
    <s v="P2"/>
    <s v="BG"/>
    <n v="24"/>
    <n v="1014"/>
    <s v="S2"/>
    <n v="1014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64"/>
    <s v="761 I2X"/>
    <m/>
    <m/>
    <s v="S2"/>
    <s v="P2"/>
    <s v="BG"/>
    <n v="24"/>
    <n v="1015"/>
    <s v="S2"/>
    <n v="1015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65"/>
    <s v="761 I2X"/>
    <m/>
    <m/>
    <s v="S2"/>
    <s v="P2"/>
    <s v="BG"/>
    <n v="27"/>
    <n v="1000"/>
    <s v="S2"/>
    <n v="1000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66"/>
    <s v="761 I2X"/>
    <m/>
    <m/>
    <s v="S2"/>
    <s v="P2"/>
    <s v="BG"/>
    <n v="27"/>
    <n v="992"/>
    <s v="S2"/>
    <n v="992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68"/>
    <s v="761 I2X"/>
    <m/>
    <m/>
    <s v="S2"/>
    <s v="P2"/>
    <s v="BG"/>
    <n v="24"/>
    <n v="1018"/>
    <s v="S2"/>
    <n v="1018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70"/>
    <s v="761 I2X"/>
    <m/>
    <m/>
    <s v="S2"/>
    <s v="P2"/>
    <s v="BG"/>
    <n v="24"/>
    <n v="1016"/>
    <s v="S2"/>
    <n v="1016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71"/>
    <s v="761 I2X"/>
    <m/>
    <m/>
    <s v="S2"/>
    <s v="P2"/>
    <s v="BG"/>
    <n v="27"/>
    <n v="1002"/>
    <s v="S2"/>
    <n v="1002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72"/>
    <s v="761 I2X"/>
    <m/>
    <m/>
    <s v="S2"/>
    <s v="P2"/>
    <s v="BG"/>
    <n v="24"/>
    <n v="1028"/>
    <s v="S2"/>
    <n v="1028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74"/>
    <s v="761 I2X"/>
    <m/>
    <m/>
    <s v="S2"/>
    <s v="P2"/>
    <s v="BG"/>
    <n v="27"/>
    <n v="998"/>
    <s v="S2"/>
    <n v="998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75"/>
    <s v="761 I2X"/>
    <m/>
    <m/>
    <s v="S2"/>
    <s v="P2"/>
    <s v="BG"/>
    <n v="27"/>
    <n v="993"/>
    <s v="S2"/>
    <n v="993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77"/>
    <s v="761 I2X"/>
    <m/>
    <m/>
    <s v="S2"/>
    <s v="P2"/>
    <s v="BG"/>
    <n v="27"/>
    <n v="999"/>
    <s v="S2"/>
    <n v="999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78"/>
    <s v="761 I2X"/>
    <m/>
    <m/>
    <s v="S2"/>
    <s v="P2"/>
    <s v="BG"/>
    <n v="24"/>
    <n v="1023"/>
    <s v="S2"/>
    <n v="1023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80"/>
    <s v="761 I2X"/>
    <m/>
    <m/>
    <s v="S2"/>
    <s v="P2"/>
    <s v="BG"/>
    <n v="24"/>
    <n v="1021"/>
    <s v="S2"/>
    <n v="1021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81"/>
    <s v="761 I2X"/>
    <m/>
    <m/>
    <s v="S2"/>
    <s v="P2"/>
    <s v="BG"/>
    <n v="27"/>
    <n v="977"/>
    <s v="S2"/>
    <n v="977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82"/>
    <s v="761 I2X"/>
    <m/>
    <m/>
    <s v="S2"/>
    <s v="P2"/>
    <s v="BG"/>
    <n v="27"/>
    <n v="981"/>
    <s v="S2"/>
    <n v="981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84"/>
    <s v="761 I2X"/>
    <m/>
    <m/>
    <s v="S2"/>
    <s v="P2"/>
    <s v="BG"/>
    <n v="27"/>
    <n v="996"/>
    <s v="S2"/>
    <n v="996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85"/>
    <s v="761 I2X"/>
    <m/>
    <m/>
    <s v="S2"/>
    <s v="P2"/>
    <s v="BG"/>
    <n v="27"/>
    <n v="995"/>
    <s v="S2"/>
    <n v="995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86"/>
    <s v="761 I2X"/>
    <m/>
    <m/>
    <s v="C1"/>
    <s v="P2"/>
    <s v="BG"/>
    <n v="24"/>
    <n v="1037"/>
    <s v="C1"/>
    <n v="1037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88"/>
    <s v="761 I2X"/>
    <m/>
    <m/>
    <s v="C1"/>
    <s v="P2"/>
    <s v="BG"/>
    <n v="24"/>
    <n v="1024"/>
    <s v="C1"/>
    <n v="1024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89"/>
    <s v="761 I2X"/>
    <m/>
    <m/>
    <s v="C1"/>
    <s v="P2"/>
    <s v="BG"/>
    <n v="24"/>
    <n v="1009"/>
    <s v="C1"/>
    <n v="1009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091"/>
    <s v="761 I2X"/>
    <m/>
    <m/>
    <s v="C1"/>
    <s v="P2"/>
    <s v="BG"/>
    <n v="12"/>
    <n v="1006"/>
    <s v="C1"/>
    <n v="1006"/>
    <n v="12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151"/>
    <s v="761 I2X"/>
    <m/>
    <m/>
    <s v="C1"/>
    <s v="P2"/>
    <s v="BG"/>
    <n v="24"/>
    <n v="1045"/>
    <s v="C1"/>
    <n v="1045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152"/>
    <s v="761 I2X"/>
    <m/>
    <m/>
    <s v="C1"/>
    <s v="P2"/>
    <s v="BG"/>
    <n v="24"/>
    <n v="1075"/>
    <s v="C1"/>
    <n v="1075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154"/>
    <s v="761 I2X"/>
    <m/>
    <m/>
    <s v="S2"/>
    <s v="P2"/>
    <s v="BG"/>
    <n v="24"/>
    <n v="1061"/>
    <s v="S2"/>
    <n v="1061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155"/>
    <s v="761 I2X"/>
    <m/>
    <m/>
    <s v="S2"/>
    <s v="P2"/>
    <s v="BG"/>
    <n v="27"/>
    <n v="995"/>
    <s v="S2"/>
    <n v="995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157"/>
    <s v="761 I2X"/>
    <m/>
    <m/>
    <s v="S2"/>
    <s v="P2"/>
    <s v="BG"/>
    <n v="24"/>
    <n v="1049"/>
    <s v="S2"/>
    <n v="1049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158"/>
    <s v="761 I2X"/>
    <m/>
    <m/>
    <s v="S2"/>
    <s v="P2"/>
    <s v="BG"/>
    <n v="24"/>
    <n v="1050"/>
    <s v="S2"/>
    <n v="1050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159"/>
    <s v="761 I2X"/>
    <m/>
    <m/>
    <s v="S2"/>
    <s v="P2"/>
    <s v="BG"/>
    <n v="24"/>
    <n v="1062"/>
    <s v="S2"/>
    <n v="1062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160"/>
    <s v="761 I2X"/>
    <m/>
    <m/>
    <s v="S2"/>
    <s v="P2"/>
    <s v="BG"/>
    <n v="24"/>
    <n v="1032"/>
    <s v="S2"/>
    <n v="1032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162"/>
    <s v="761 I2X"/>
    <m/>
    <m/>
    <s v="S2"/>
    <s v="P2"/>
    <s v="BG"/>
    <n v="24"/>
    <n v="1048"/>
    <s v="S2"/>
    <n v="1048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163"/>
    <s v="761 I2X"/>
    <m/>
    <m/>
    <s v="S2"/>
    <s v="P2"/>
    <s v="BG"/>
    <n v="24"/>
    <n v="1064"/>
    <s v="S2"/>
    <n v="1064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164"/>
    <s v="761 I2X"/>
    <m/>
    <m/>
    <s v="S2"/>
    <s v="P2"/>
    <s v="BG"/>
    <n v="24"/>
    <n v="1078"/>
    <s v="S2"/>
    <n v="1078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165"/>
    <s v="761 I2X"/>
    <m/>
    <m/>
    <s v="S2"/>
    <s v="P2"/>
    <s v="BG"/>
    <n v="24"/>
    <n v="1073"/>
    <s v="S2"/>
    <n v="1073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166"/>
    <s v="761 I2X"/>
    <m/>
    <m/>
    <s v="S2"/>
    <s v="P2"/>
    <s v="BG"/>
    <n v="24"/>
    <n v="1065"/>
    <s v="S2"/>
    <n v="1065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5P2168"/>
    <s v="761 I2X"/>
    <m/>
    <m/>
    <s v="S2"/>
    <s v="P2"/>
    <s v="BG"/>
    <n v="23"/>
    <n v="1077"/>
    <s v="S2"/>
    <n v="1077"/>
    <n v="23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1214"/>
    <s v="BSA74483I2X"/>
    <m/>
    <m/>
    <s v="C1"/>
    <s v="P1"/>
    <s v="BG"/>
    <n v="30"/>
    <n v="695"/>
    <s v="C1"/>
    <n v="69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1217"/>
    <s v="BSA74483I2X"/>
    <m/>
    <m/>
    <s v="C1"/>
    <s v="P1"/>
    <s v="BG"/>
    <n v="30"/>
    <n v="651"/>
    <s v="C1"/>
    <n v="65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1218"/>
    <s v="BSA74483I2X"/>
    <m/>
    <m/>
    <s v="C1"/>
    <s v="P1"/>
    <s v="BG"/>
    <n v="30"/>
    <n v="646"/>
    <s v="C1"/>
    <n v="64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1221"/>
    <s v="BSA74483I2X"/>
    <m/>
    <m/>
    <s v="C1"/>
    <s v="P1"/>
    <s v="BG"/>
    <n v="30"/>
    <n v="648"/>
    <s v="C1"/>
    <n v="64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1223"/>
    <s v="BSA74483I2X"/>
    <m/>
    <m/>
    <s v="C1"/>
    <s v="P1"/>
    <s v="BG"/>
    <n v="30"/>
    <n v="643"/>
    <s v="C1"/>
    <n v="64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1226"/>
    <s v="BSA74483I2X"/>
    <m/>
    <m/>
    <s v="C1"/>
    <s v="P1"/>
    <s v="BG"/>
    <n v="30"/>
    <n v="644"/>
    <s v="C1"/>
    <n v="64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1228"/>
    <s v="BSA74483I2X"/>
    <m/>
    <m/>
    <s v="C1"/>
    <s v="P1"/>
    <s v="BG"/>
    <n v="30"/>
    <n v="638"/>
    <s v="C1"/>
    <n v="63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1231"/>
    <s v="BSA74483I2X"/>
    <m/>
    <m/>
    <s v="C1"/>
    <s v="P1"/>
    <s v="BG"/>
    <n v="30"/>
    <n v="636"/>
    <s v="C1"/>
    <n v="63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2215"/>
    <s v="BSA74483I2X"/>
    <m/>
    <m/>
    <s v="C1"/>
    <s v="P2"/>
    <s v="BG"/>
    <n v="30"/>
    <n v="819"/>
    <s v="C1"/>
    <n v="81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2216"/>
    <s v="BSA74483I2X"/>
    <m/>
    <m/>
    <s v="C1"/>
    <s v="P2"/>
    <s v="BG"/>
    <n v="30"/>
    <n v="802"/>
    <s v="C1"/>
    <n v="80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2219"/>
    <s v="BSA74483I2X"/>
    <m/>
    <m/>
    <s v="C1"/>
    <s v="P2"/>
    <s v="BG"/>
    <n v="30"/>
    <n v="815"/>
    <s v="C1"/>
    <n v="81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2220"/>
    <s v="BSA74483I2X"/>
    <m/>
    <m/>
    <s v="C1"/>
    <s v="P2"/>
    <s v="BG"/>
    <n v="30"/>
    <n v="796"/>
    <s v="C1"/>
    <n v="79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2222"/>
    <s v="BSA74483I2X"/>
    <m/>
    <m/>
    <s v="C1"/>
    <s v="P2"/>
    <s v="BG"/>
    <n v="30"/>
    <n v="794"/>
    <s v="C1"/>
    <n v="79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2224"/>
    <s v="BSA74483I2X"/>
    <m/>
    <m/>
    <s v="C1"/>
    <s v="P2"/>
    <s v="BG"/>
    <n v="30"/>
    <n v="793"/>
    <s v="C1"/>
    <n v="79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2225"/>
    <s v="BSA74483I2X"/>
    <m/>
    <m/>
    <s v="C1"/>
    <s v="P2"/>
    <s v="BG"/>
    <n v="30"/>
    <n v="791"/>
    <s v="C1"/>
    <n v="79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2227"/>
    <s v="BSA74483I2X"/>
    <m/>
    <m/>
    <s v="C1"/>
    <s v="P2"/>
    <s v="BG"/>
    <n v="30"/>
    <n v="804"/>
    <s v="C1"/>
    <n v="80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2229"/>
    <s v="BSA74483I2X"/>
    <m/>
    <m/>
    <s v="C1"/>
    <s v="P2"/>
    <s v="BG"/>
    <n v="30"/>
    <n v="787"/>
    <s v="C1"/>
    <n v="787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2230"/>
    <s v="BSA74483I2X"/>
    <m/>
    <m/>
    <s v="C1"/>
    <s v="P2"/>
    <s v="BG"/>
    <n v="30"/>
    <n v="792"/>
    <s v="C1"/>
    <n v="79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0P2232"/>
    <s v="BSA74483I2X"/>
    <m/>
    <m/>
    <s v="C1"/>
    <s v="P2"/>
    <s v="BG"/>
    <n v="17"/>
    <n v="808"/>
    <s v="C1"/>
    <n v="808"/>
    <n v="1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56P1233"/>
    <s v="C2810CE"/>
    <m/>
    <m/>
    <s v="C1"/>
    <s v="P1"/>
    <s v="BG"/>
    <n v="30"/>
    <n v="730"/>
    <s v="C1"/>
    <n v="73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56P1235"/>
    <s v="C2810CE"/>
    <m/>
    <m/>
    <s v="C1"/>
    <s v="P1"/>
    <s v="BG"/>
    <n v="30"/>
    <n v="734"/>
    <s v="C1"/>
    <n v="73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56P2234"/>
    <s v="C2810CE"/>
    <m/>
    <m/>
    <s v="C1"/>
    <s v="P2"/>
    <s v="BG"/>
    <n v="30"/>
    <n v="871"/>
    <s v="C1"/>
    <n v="87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56P2236"/>
    <s v="C2810CE"/>
    <m/>
    <m/>
    <s v="C1"/>
    <s v="P2"/>
    <s v="BG"/>
    <n v="12"/>
    <n v="852"/>
    <s v="C1"/>
    <n v="852"/>
    <n v="12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242504306"/>
    <s v="CRV2874 PRO4"/>
    <m/>
    <m/>
    <s v="S1"/>
    <m/>
    <s v="SC"/>
    <n v="1"/>
    <m/>
    <s v="S1"/>
    <m/>
    <n v="1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CRV2I04002"/>
    <s v="CRV2874 PRO4"/>
    <m/>
    <m/>
    <s v="S1"/>
    <s v="R3L"/>
    <s v="SC"/>
    <n v="61"/>
    <m/>
    <s v="S1"/>
    <m/>
    <n v="61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CRV2I04016"/>
    <s v="CRV2874 PRO4"/>
    <m/>
    <m/>
    <s v="S1"/>
    <s v="C3C"/>
    <s v="SC"/>
    <n v="8"/>
    <m/>
    <s v="S1"/>
    <m/>
    <n v="8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CRV2I04018"/>
    <s v="CRV2874 PRO4"/>
    <m/>
    <m/>
    <s v="S1"/>
    <s v="R4C"/>
    <s v="SC"/>
    <n v="16"/>
    <m/>
    <s v="S1"/>
    <m/>
    <n v="16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CRV2I04020"/>
    <s v="CRV2874 PRO4"/>
    <m/>
    <m/>
    <s v="S1"/>
    <s v="C4C"/>
    <s v="SC"/>
    <n v="36"/>
    <m/>
    <s v="S1"/>
    <m/>
    <n v="36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CRV2I04021"/>
    <s v="CRV2874 PRO4"/>
    <m/>
    <m/>
    <s v="S1"/>
    <s v="R5C"/>
    <s v="SC"/>
    <n v="11"/>
    <m/>
    <s v="S1"/>
    <m/>
    <n v="11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CRV2I04022"/>
    <s v="CRV2874 PRO4"/>
    <m/>
    <m/>
    <s v="S1"/>
    <s v="C5L"/>
    <s v="SC"/>
    <n v="23"/>
    <m/>
    <s v="S1"/>
    <m/>
    <n v="23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CRV2I04025"/>
    <s v="CRV2874 PRO4"/>
    <m/>
    <m/>
    <s v="S1"/>
    <s v="C5C"/>
    <s v="SC"/>
    <n v="3"/>
    <m/>
    <s v="S1"/>
    <m/>
    <n v="3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CRV2I05007"/>
    <s v="CRV2874 PRO4"/>
    <m/>
    <m/>
    <s v="S1"/>
    <s v="R4C"/>
    <s v="SC"/>
    <n v="87"/>
    <m/>
    <s v="S1"/>
    <m/>
    <n v="8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CRV2I05010"/>
    <s v="CRV2874 PRO4"/>
    <m/>
    <m/>
    <s v="S1"/>
    <m/>
    <s v="SC"/>
    <n v="305"/>
    <m/>
    <s v="S1"/>
    <m/>
    <n v="305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CRV2I05012"/>
    <s v="CRV2874 PRO4"/>
    <m/>
    <m/>
    <s v="S1"/>
    <s v="C5L"/>
    <s v="SC"/>
    <n v="204"/>
    <m/>
    <s v="S1"/>
    <m/>
    <n v="20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CRV2I05014"/>
    <s v="CRV2874 PRO4"/>
    <m/>
    <m/>
    <s v="S1"/>
    <s v="C3L"/>
    <s v="SC"/>
    <n v="12"/>
    <m/>
    <s v="S1"/>
    <m/>
    <n v="12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CRV2I05016"/>
    <s v="CRV2874 PRO4"/>
    <m/>
    <m/>
    <s v="S1"/>
    <s v="C4L"/>
    <s v="SC"/>
    <n v="162"/>
    <m/>
    <s v="S1"/>
    <m/>
    <n v="162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CRV2I410TC"/>
    <s v="CRV2874 PRO4"/>
    <m/>
    <m/>
    <s v="S1"/>
    <s v="R5L"/>
    <s v="SC"/>
    <n v="1"/>
    <m/>
    <s v="S1"/>
    <m/>
    <n v="1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01"/>
    <s v="NEO700 I2X"/>
    <m/>
    <m/>
    <s v="C2"/>
    <s v="P1"/>
    <s v="BG"/>
    <n v="27"/>
    <n v="923"/>
    <s v="C2"/>
    <n v="923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03"/>
    <s v="NEO700 I2X"/>
    <m/>
    <m/>
    <s v="C2"/>
    <s v="P1"/>
    <s v="BG"/>
    <n v="30"/>
    <n v="868"/>
    <s v="C2"/>
    <n v="86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04"/>
    <s v="NEO700 I2X"/>
    <m/>
    <m/>
    <s v="C2"/>
    <s v="P1"/>
    <s v="BG"/>
    <n v="30"/>
    <n v="782"/>
    <s v="C2"/>
    <n v="78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06"/>
    <s v="NEO700 I2X"/>
    <m/>
    <m/>
    <s v="C2"/>
    <s v="P1"/>
    <s v="BG"/>
    <n v="30"/>
    <n v="795"/>
    <s v="C2"/>
    <n v="79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07"/>
    <s v="NEO700 I2X"/>
    <m/>
    <m/>
    <s v="C2"/>
    <s v="P1"/>
    <s v="BG"/>
    <n v="30"/>
    <n v="790"/>
    <s v="C2"/>
    <n v="79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09"/>
    <s v="NEO700 I2X"/>
    <m/>
    <m/>
    <s v="C2"/>
    <s v="P1"/>
    <s v="BG"/>
    <n v="30"/>
    <n v="791"/>
    <s v="C2"/>
    <n v="79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10"/>
    <s v="NEO700 I2X"/>
    <m/>
    <m/>
    <s v="C2"/>
    <s v="P1"/>
    <s v="BG"/>
    <n v="30"/>
    <n v="790"/>
    <s v="C2"/>
    <n v="79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12"/>
    <s v="NEO700 I2X"/>
    <m/>
    <m/>
    <s v="C2"/>
    <s v="P1"/>
    <s v="BG"/>
    <n v="30"/>
    <n v="775"/>
    <s v="C2"/>
    <n v="77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14"/>
    <s v="NEO700 I2X"/>
    <m/>
    <m/>
    <s v="C2"/>
    <s v="P1"/>
    <s v="BG"/>
    <n v="30"/>
    <n v="800"/>
    <s v="C2"/>
    <n v="80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15"/>
    <s v="NEO700 I2X"/>
    <m/>
    <m/>
    <s v="C2"/>
    <s v="P1"/>
    <s v="BG"/>
    <n v="30"/>
    <n v="787"/>
    <s v="C2"/>
    <n v="787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17"/>
    <s v="NEO700 I2X"/>
    <m/>
    <m/>
    <s v="C2"/>
    <s v="P1"/>
    <s v="BG"/>
    <n v="30"/>
    <n v="798"/>
    <s v="C2"/>
    <n v="79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18"/>
    <s v="NEO700 I2X"/>
    <m/>
    <m/>
    <s v="C2"/>
    <s v="P1"/>
    <s v="BG"/>
    <n v="30"/>
    <n v="804"/>
    <s v="C2"/>
    <n v="80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21"/>
    <s v="NEO700 I2X"/>
    <m/>
    <m/>
    <s v="C2"/>
    <s v="P1"/>
    <s v="BG"/>
    <n v="24"/>
    <n v="825"/>
    <s v="C2"/>
    <n v="825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23"/>
    <s v="NEO700 I2X"/>
    <m/>
    <m/>
    <s v="C2"/>
    <s v="P1"/>
    <s v="BG"/>
    <n v="30"/>
    <n v="813"/>
    <s v="C2"/>
    <n v="81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25"/>
    <s v="NEO700 I2X"/>
    <m/>
    <m/>
    <s v="C2"/>
    <s v="P1"/>
    <s v="BG"/>
    <n v="30"/>
    <n v="806"/>
    <s v="C2"/>
    <n v="80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28"/>
    <s v="NEO700 I2X"/>
    <m/>
    <m/>
    <s v="C2"/>
    <s v="P1"/>
    <s v="BG"/>
    <n v="30"/>
    <n v="805"/>
    <s v="C2"/>
    <n v="80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30"/>
    <s v="NEO700 I2X"/>
    <m/>
    <m/>
    <s v="C2"/>
    <s v="P1"/>
    <s v="BG"/>
    <n v="30"/>
    <n v="803"/>
    <s v="C2"/>
    <n v="80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33"/>
    <s v="NEO700 I2X"/>
    <m/>
    <m/>
    <s v="C2"/>
    <s v="P1"/>
    <s v="BG"/>
    <n v="30"/>
    <n v="829"/>
    <s v="C2"/>
    <n v="82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35"/>
    <s v="NEO700 I2X"/>
    <m/>
    <m/>
    <s v="C2"/>
    <s v="P1"/>
    <s v="BG"/>
    <n v="30"/>
    <n v="782"/>
    <s v="C2"/>
    <n v="78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36"/>
    <s v="NEO700 I2X"/>
    <m/>
    <m/>
    <s v="C2"/>
    <s v="P1"/>
    <s v="BG"/>
    <n v="30"/>
    <n v="782"/>
    <s v="C2"/>
    <n v="78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38"/>
    <s v="NEO700 I2X"/>
    <m/>
    <m/>
    <s v="C2"/>
    <s v="P1"/>
    <s v="BG"/>
    <n v="30"/>
    <n v="793"/>
    <s v="C2"/>
    <n v="79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41"/>
    <s v="NEO700 I2X"/>
    <m/>
    <m/>
    <s v="C2"/>
    <s v="P1"/>
    <s v="BG"/>
    <n v="30"/>
    <n v="814"/>
    <s v="C2"/>
    <n v="81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1043"/>
    <s v="NEO700 I2X"/>
    <m/>
    <m/>
    <s v="C2"/>
    <s v="P1"/>
    <s v="BG"/>
    <n v="30"/>
    <n v="820"/>
    <s v="C2"/>
    <n v="82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02"/>
    <s v="NEO700 I2X"/>
    <m/>
    <m/>
    <s v="C2"/>
    <s v="P2"/>
    <s v="BG"/>
    <n v="9"/>
    <n v="1127"/>
    <s v="C2"/>
    <n v="1127"/>
    <n v="9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05"/>
    <s v="NEO700 I2X"/>
    <m/>
    <m/>
    <s v="C2"/>
    <s v="P2"/>
    <s v="BG"/>
    <n v="27"/>
    <n v="964"/>
    <s v="C2"/>
    <n v="964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08"/>
    <s v="NEO700 I2X"/>
    <m/>
    <m/>
    <s v="C2"/>
    <s v="P2"/>
    <s v="BG"/>
    <n v="27"/>
    <n v="946"/>
    <s v="C2"/>
    <n v="946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11"/>
    <s v="NEO700 I2X"/>
    <m/>
    <m/>
    <s v="C2"/>
    <s v="P2"/>
    <s v="BG"/>
    <n v="27"/>
    <n v="955"/>
    <s v="C2"/>
    <n v="955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13"/>
    <s v="NEO700 I2X"/>
    <m/>
    <m/>
    <s v="C2"/>
    <s v="P2"/>
    <s v="BG"/>
    <n v="27"/>
    <n v="964"/>
    <s v="C2"/>
    <n v="964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16"/>
    <s v="NEO700 I2X"/>
    <m/>
    <m/>
    <s v="C2"/>
    <s v="P2"/>
    <s v="BG"/>
    <n v="27"/>
    <n v="949"/>
    <s v="C2"/>
    <n v="949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19"/>
    <s v="NEO700 I2X"/>
    <m/>
    <m/>
    <s v="C2"/>
    <s v="P2"/>
    <s v="BG"/>
    <n v="27"/>
    <n v="973"/>
    <s v="C2"/>
    <n v="973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20"/>
    <s v="NEO700 I2X"/>
    <m/>
    <m/>
    <s v="C2"/>
    <s v="P2"/>
    <s v="BG"/>
    <n v="27"/>
    <n v="998"/>
    <s v="C2"/>
    <n v="998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22"/>
    <s v="NEO700 I2X"/>
    <m/>
    <m/>
    <s v="C2"/>
    <s v="P2"/>
    <s v="BG"/>
    <n v="27"/>
    <n v="969"/>
    <s v="C2"/>
    <n v="969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24"/>
    <s v="NEO700 I2X"/>
    <m/>
    <m/>
    <s v="C2"/>
    <s v="P2"/>
    <s v="BG"/>
    <n v="27"/>
    <n v="964"/>
    <s v="C2"/>
    <n v="964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26"/>
    <s v="NEO700 I2X"/>
    <m/>
    <m/>
    <s v="C2"/>
    <s v="P2"/>
    <s v="BG"/>
    <n v="27"/>
    <n v="956"/>
    <s v="C2"/>
    <n v="956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27"/>
    <s v="NEO700 I2X"/>
    <m/>
    <m/>
    <s v="C2"/>
    <s v="P2"/>
    <s v="BG"/>
    <n v="27"/>
    <n v="963"/>
    <s v="C2"/>
    <n v="963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29"/>
    <s v="NEO700 I2X"/>
    <m/>
    <m/>
    <s v="C2"/>
    <s v="P2"/>
    <s v="BG"/>
    <n v="27"/>
    <n v="958"/>
    <s v="C2"/>
    <n v="958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31"/>
    <s v="NEO700 I2X"/>
    <m/>
    <m/>
    <s v="C2"/>
    <s v="P2"/>
    <s v="BG"/>
    <n v="27"/>
    <n v="940"/>
    <s v="C2"/>
    <n v="940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32"/>
    <s v="NEO700 I2X"/>
    <m/>
    <m/>
    <s v="C2"/>
    <s v="P2"/>
    <s v="BG"/>
    <n v="27"/>
    <n v="956"/>
    <s v="C2"/>
    <n v="956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34"/>
    <s v="NEO700 I2X"/>
    <m/>
    <m/>
    <s v="C2"/>
    <s v="P2"/>
    <s v="BG"/>
    <n v="27"/>
    <n v="937"/>
    <s v="C2"/>
    <n v="937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37"/>
    <s v="NEO700 I2X"/>
    <m/>
    <m/>
    <s v="C2"/>
    <s v="P2"/>
    <s v="BG"/>
    <n v="27"/>
    <n v="931"/>
    <s v="C2"/>
    <n v="931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39"/>
    <s v="NEO700 I2X"/>
    <m/>
    <m/>
    <s v="C2"/>
    <s v="P2"/>
    <s v="BG"/>
    <n v="27"/>
    <n v="948"/>
    <s v="C2"/>
    <n v="948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40"/>
    <s v="NEO700 I2X"/>
    <m/>
    <m/>
    <s v="C2"/>
    <s v="P2"/>
    <s v="BG"/>
    <n v="27"/>
    <n v="950"/>
    <s v="C2"/>
    <n v="950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42"/>
    <s v="NEO700 I2X"/>
    <m/>
    <m/>
    <s v="C2"/>
    <s v="P2"/>
    <s v="BG"/>
    <n v="27"/>
    <n v="981"/>
    <s v="C2"/>
    <n v="981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39P2044"/>
    <s v="NEO700 I2X"/>
    <m/>
    <m/>
    <s v="C2"/>
    <s v="P2"/>
    <s v="BG"/>
    <n v="17"/>
    <n v="977"/>
    <s v="C2"/>
    <n v="977"/>
    <n v="1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046"/>
    <s v="NEO771 I2X"/>
    <m/>
    <m/>
    <s v="C2"/>
    <s v="P1"/>
    <s v="BG"/>
    <n v="30"/>
    <n v="684"/>
    <s v="C2"/>
    <n v="68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048"/>
    <s v="NEO771 I2X"/>
    <m/>
    <m/>
    <s v="C2"/>
    <s v="P1"/>
    <s v="BG"/>
    <n v="30"/>
    <n v="693"/>
    <s v="C2"/>
    <n v="69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050"/>
    <s v="NEO771 I2X"/>
    <m/>
    <m/>
    <s v="C2"/>
    <s v="P1"/>
    <s v="BG"/>
    <n v="30"/>
    <n v="697"/>
    <s v="C2"/>
    <n v="697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052"/>
    <s v="NEO771 I2X"/>
    <m/>
    <m/>
    <s v="C2"/>
    <s v="P1"/>
    <s v="BG"/>
    <n v="30"/>
    <n v="696"/>
    <s v="C2"/>
    <n v="69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054"/>
    <s v="NEO771 I2X"/>
    <m/>
    <m/>
    <s v="C2"/>
    <s v="P1"/>
    <s v="BG"/>
    <n v="30"/>
    <n v="698"/>
    <s v="C2"/>
    <n v="69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056"/>
    <s v="NEO771 I2X"/>
    <m/>
    <m/>
    <s v="C2"/>
    <s v="P1"/>
    <s v="BG"/>
    <n v="30"/>
    <n v="699"/>
    <s v="C2"/>
    <n v="69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058"/>
    <s v="NEO771 I2X"/>
    <m/>
    <m/>
    <s v="C2"/>
    <s v="P1"/>
    <s v="BG"/>
    <n v="30"/>
    <n v="696"/>
    <s v="C2"/>
    <n v="69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093"/>
    <s v="NEO771 I2X"/>
    <m/>
    <m/>
    <s v="C2"/>
    <s v="P1"/>
    <s v="BG"/>
    <n v="30"/>
    <n v="708"/>
    <s v="C2"/>
    <n v="70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094"/>
    <s v="NEO771 I2X"/>
    <m/>
    <m/>
    <s v="C2"/>
    <s v="P1"/>
    <s v="BG"/>
    <n v="30"/>
    <n v="715"/>
    <s v="C2"/>
    <n v="71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096"/>
    <s v="NEO771 I2X"/>
    <m/>
    <m/>
    <s v="C2"/>
    <s v="P1"/>
    <s v="BG"/>
    <n v="30"/>
    <n v="699"/>
    <s v="C2"/>
    <n v="69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098"/>
    <s v="NEO771 I2X"/>
    <m/>
    <m/>
    <s v="C2"/>
    <s v="P1"/>
    <s v="BG"/>
    <n v="30"/>
    <n v="712"/>
    <s v="C2"/>
    <n v="71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00"/>
    <s v="NEO771 I2X"/>
    <m/>
    <m/>
    <s v="C2"/>
    <s v="P1"/>
    <s v="BG"/>
    <n v="30"/>
    <n v="712"/>
    <s v="C2"/>
    <n v="71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01"/>
    <s v="NEO771 I2X"/>
    <m/>
    <m/>
    <s v="C2"/>
    <s v="P1"/>
    <s v="BG"/>
    <n v="30"/>
    <n v="714"/>
    <s v="C2"/>
    <n v="71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03"/>
    <s v="NEO771 I2X"/>
    <m/>
    <m/>
    <s v="C2"/>
    <s v="P1"/>
    <s v="BG"/>
    <n v="30"/>
    <n v="718"/>
    <s v="C2"/>
    <n v="71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05"/>
    <s v="NEO771 I2X"/>
    <m/>
    <m/>
    <s v="C2"/>
    <s v="P1"/>
    <s v="BG"/>
    <n v="30"/>
    <n v="721"/>
    <s v="C2"/>
    <n v="72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07"/>
    <s v="NEO771 I2X"/>
    <m/>
    <m/>
    <s v="C2"/>
    <s v="P1"/>
    <s v="BG"/>
    <n v="30"/>
    <n v="718"/>
    <s v="C2"/>
    <n v="71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09"/>
    <s v="NEO771 I2X"/>
    <m/>
    <m/>
    <s v="C2"/>
    <s v="P1"/>
    <s v="BG"/>
    <n v="30"/>
    <n v="721"/>
    <s v="C2"/>
    <n v="72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11"/>
    <s v="NEO771 I2X"/>
    <m/>
    <m/>
    <s v="C2"/>
    <s v="P1"/>
    <s v="BG"/>
    <n v="30"/>
    <n v="728"/>
    <s v="C2"/>
    <n v="72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13"/>
    <s v="NEO771 I2X"/>
    <m/>
    <m/>
    <s v="C2"/>
    <s v="P1"/>
    <s v="BG"/>
    <n v="30"/>
    <n v="710"/>
    <s v="C2"/>
    <n v="71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14"/>
    <s v="NEO771 I2X"/>
    <m/>
    <m/>
    <s v="C2"/>
    <s v="P1"/>
    <s v="BG"/>
    <n v="30"/>
    <n v="715"/>
    <s v="C2"/>
    <n v="71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16"/>
    <s v="NEO771 I2X"/>
    <m/>
    <m/>
    <s v="C2"/>
    <s v="P1"/>
    <s v="BG"/>
    <n v="30"/>
    <n v="709"/>
    <s v="C2"/>
    <n v="70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18"/>
    <s v="NEO771 I2X"/>
    <m/>
    <m/>
    <s v="C2"/>
    <s v="P1"/>
    <s v="BG"/>
    <n v="30"/>
    <n v="705"/>
    <s v="C2"/>
    <n v="70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19"/>
    <s v="NEO771 I2X"/>
    <m/>
    <m/>
    <s v="C2"/>
    <s v="P1"/>
    <s v="BG"/>
    <n v="30"/>
    <n v="702"/>
    <s v="C2"/>
    <n v="70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21"/>
    <s v="NEO771 I2X"/>
    <m/>
    <m/>
    <s v="C2"/>
    <s v="P1"/>
    <s v="BG"/>
    <n v="30"/>
    <n v="694"/>
    <s v="C2"/>
    <n v="69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23"/>
    <s v="NEO771 I2X"/>
    <m/>
    <m/>
    <s v="C2"/>
    <s v="P1"/>
    <s v="BG"/>
    <n v="30"/>
    <n v="705"/>
    <s v="C2"/>
    <n v="70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24"/>
    <s v="NEO771 I2X"/>
    <m/>
    <m/>
    <s v="C2"/>
    <s v="P1"/>
    <s v="BG"/>
    <n v="30"/>
    <n v="708"/>
    <s v="C2"/>
    <n v="70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26"/>
    <s v="NEO771 I2X"/>
    <m/>
    <m/>
    <s v="C2"/>
    <s v="P1"/>
    <s v="BG"/>
    <n v="30"/>
    <n v="713"/>
    <s v="C2"/>
    <n v="71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28"/>
    <s v="NEO771 I2X"/>
    <m/>
    <m/>
    <s v="C2"/>
    <s v="P1"/>
    <s v="BG"/>
    <n v="30"/>
    <n v="718"/>
    <s v="C2"/>
    <n v="71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30"/>
    <s v="NEO771 I2X"/>
    <m/>
    <m/>
    <s v="C2"/>
    <s v="P1"/>
    <s v="BG"/>
    <n v="30"/>
    <n v="710"/>
    <s v="C2"/>
    <n v="71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31"/>
    <s v="NEO771 I2X"/>
    <m/>
    <m/>
    <s v="C2"/>
    <s v="P1"/>
    <s v="BG"/>
    <n v="30"/>
    <n v="712"/>
    <s v="C2"/>
    <n v="71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33"/>
    <s v="NEO771 I2X"/>
    <m/>
    <m/>
    <s v="C2"/>
    <s v="P1"/>
    <s v="BG"/>
    <n v="30"/>
    <n v="713"/>
    <s v="C2"/>
    <n v="71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35"/>
    <s v="NEO771 I2X"/>
    <m/>
    <m/>
    <s v="C2"/>
    <s v="P1"/>
    <s v="BG"/>
    <n v="30"/>
    <n v="712"/>
    <s v="C2"/>
    <n v="71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37"/>
    <s v="NEO771 I2X"/>
    <m/>
    <m/>
    <s v="C2"/>
    <s v="P1"/>
    <s v="BG"/>
    <n v="30"/>
    <n v="710"/>
    <s v="C2"/>
    <n v="71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38"/>
    <s v="NEO771 I2X"/>
    <m/>
    <m/>
    <s v="C2"/>
    <s v="P1"/>
    <s v="BG"/>
    <n v="30"/>
    <n v="713"/>
    <s v="C2"/>
    <n v="71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40"/>
    <s v="NEO771 I2X"/>
    <m/>
    <m/>
    <s v="C2"/>
    <s v="P1"/>
    <s v="BG"/>
    <n v="30"/>
    <n v="723"/>
    <s v="C2"/>
    <n v="72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42"/>
    <s v="NEO771 I2X"/>
    <m/>
    <m/>
    <s v="C2"/>
    <s v="P1"/>
    <s v="BG"/>
    <n v="30"/>
    <n v="705"/>
    <s v="C2"/>
    <n v="70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44"/>
    <s v="NEO771 I2X"/>
    <m/>
    <m/>
    <s v="C2"/>
    <s v="P1"/>
    <s v="BG"/>
    <n v="30"/>
    <n v="697"/>
    <s v="C2"/>
    <n v="697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45"/>
    <s v="NEO771 I2X"/>
    <m/>
    <m/>
    <s v="C2"/>
    <s v="P1"/>
    <s v="BG"/>
    <n v="30"/>
    <n v="708"/>
    <s v="C2"/>
    <n v="70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46"/>
    <s v="NEO771 I2X"/>
    <m/>
    <m/>
    <s v="C2"/>
    <s v="P1"/>
    <s v="BG"/>
    <n v="30"/>
    <n v="683"/>
    <s v="C2"/>
    <n v="68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47"/>
    <s v="NEO771 I2X"/>
    <m/>
    <m/>
    <s v="C2"/>
    <s v="P1"/>
    <s v="BG"/>
    <n v="30"/>
    <n v="690"/>
    <s v="C2"/>
    <n v="69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49"/>
    <s v="NEO771 I2X"/>
    <m/>
    <m/>
    <s v="C2"/>
    <s v="P1"/>
    <s v="BG"/>
    <n v="30"/>
    <n v="704"/>
    <s v="C2"/>
    <n v="70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50"/>
    <s v="NEO771 I2X"/>
    <m/>
    <m/>
    <s v="C2"/>
    <s v="P1"/>
    <s v="BG"/>
    <n v="22"/>
    <n v="705"/>
    <s v="C2"/>
    <n v="705"/>
    <n v="22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69"/>
    <s v="NEO771 I2X"/>
    <m/>
    <m/>
    <s v="C2"/>
    <s v="P1"/>
    <s v="BG"/>
    <n v="30"/>
    <n v="735"/>
    <s v="C2"/>
    <n v="73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71"/>
    <s v="NEO771 I2X"/>
    <m/>
    <m/>
    <s v="C2"/>
    <s v="P1"/>
    <s v="BG"/>
    <n v="30"/>
    <n v="732"/>
    <s v="C2"/>
    <n v="73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73"/>
    <s v="NEO771 I2X"/>
    <m/>
    <m/>
    <s v="C2"/>
    <s v="P1"/>
    <s v="BG"/>
    <n v="30"/>
    <n v="716"/>
    <s v="C2"/>
    <n v="71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75"/>
    <s v="NEO771 I2X"/>
    <m/>
    <m/>
    <s v="C2"/>
    <s v="P1"/>
    <s v="BG"/>
    <n v="30"/>
    <n v="741"/>
    <s v="C2"/>
    <n v="74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76"/>
    <s v="NEO771 I2X"/>
    <m/>
    <m/>
    <s v="C2"/>
    <s v="P1"/>
    <s v="BG"/>
    <n v="30"/>
    <n v="732"/>
    <s v="C2"/>
    <n v="73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78"/>
    <s v="NEO771 I2X"/>
    <m/>
    <m/>
    <s v="C2"/>
    <s v="P1"/>
    <s v="BG"/>
    <n v="30"/>
    <n v="742"/>
    <s v="C2"/>
    <n v="74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81"/>
    <s v="NEO771 I2X"/>
    <m/>
    <m/>
    <s v="C2"/>
    <s v="P1"/>
    <s v="BG"/>
    <n v="30"/>
    <n v="734"/>
    <s v="C2"/>
    <n v="73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83"/>
    <s v="NEO771 I2X"/>
    <m/>
    <m/>
    <s v="C2"/>
    <s v="P1"/>
    <s v="BG"/>
    <n v="30"/>
    <n v="738"/>
    <s v="C2"/>
    <n v="73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1185"/>
    <s v="NEO771 I2X"/>
    <m/>
    <m/>
    <s v="C2"/>
    <s v="P1"/>
    <s v="BG"/>
    <n v="24"/>
    <n v="743"/>
    <s v="C2"/>
    <n v="743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045"/>
    <s v="NEO771 I2X"/>
    <m/>
    <m/>
    <s v="C2"/>
    <s v="P2"/>
    <s v="BG"/>
    <n v="30"/>
    <n v="834"/>
    <s v="C2"/>
    <n v="83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047"/>
    <s v="NEO771 I2X"/>
    <m/>
    <m/>
    <s v="C2"/>
    <s v="P2"/>
    <s v="BG"/>
    <n v="30"/>
    <n v="856"/>
    <s v="C2"/>
    <n v="85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049"/>
    <s v="NEO771 I2X"/>
    <m/>
    <m/>
    <s v="C2"/>
    <s v="P2"/>
    <s v="BG"/>
    <n v="30"/>
    <n v="872"/>
    <s v="C2"/>
    <n v="87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051"/>
    <s v="NEO771 I2X"/>
    <m/>
    <m/>
    <s v="C2"/>
    <s v="P2"/>
    <s v="BG"/>
    <n v="30"/>
    <n v="876"/>
    <s v="C2"/>
    <n v="87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053"/>
    <s v="NEO771 I2X"/>
    <m/>
    <m/>
    <s v="C2"/>
    <s v="P2"/>
    <s v="BG"/>
    <n v="30"/>
    <n v="852"/>
    <s v="C2"/>
    <n v="85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055"/>
    <s v="NEO771 I2X"/>
    <m/>
    <m/>
    <s v="C2"/>
    <s v="P2"/>
    <s v="BG"/>
    <n v="30"/>
    <n v="854"/>
    <s v="C2"/>
    <n v="85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057"/>
    <s v="NEO771 I2X"/>
    <m/>
    <m/>
    <s v="C2"/>
    <s v="P2"/>
    <s v="BG"/>
    <n v="30"/>
    <n v="883"/>
    <s v="C2"/>
    <n v="88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059"/>
    <s v="NEO771 I2X"/>
    <m/>
    <m/>
    <s v="C2"/>
    <s v="P2"/>
    <s v="BG"/>
    <n v="30"/>
    <n v="868"/>
    <s v="C2"/>
    <n v="86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092"/>
    <s v="NEO771 I2X"/>
    <m/>
    <m/>
    <s v="C2"/>
    <s v="P2"/>
    <s v="BG"/>
    <n v="30"/>
    <n v="881"/>
    <s v="C2"/>
    <n v="88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095"/>
    <s v="NEO771 I2X"/>
    <m/>
    <m/>
    <s v="C2"/>
    <s v="P2"/>
    <s v="BG"/>
    <n v="30"/>
    <n v="862"/>
    <s v="C2"/>
    <n v="86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097"/>
    <s v="NEO771 I2X"/>
    <m/>
    <m/>
    <s v="C2"/>
    <s v="P2"/>
    <s v="BG"/>
    <n v="30"/>
    <n v="896"/>
    <s v="C2"/>
    <n v="89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099"/>
    <s v="NEO771 I2X"/>
    <m/>
    <m/>
    <s v="C2"/>
    <s v="P2"/>
    <s v="BG"/>
    <n v="30"/>
    <n v="904"/>
    <s v="C2"/>
    <n v="90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02"/>
    <s v="NEO771 I2X"/>
    <m/>
    <m/>
    <s v="C2"/>
    <s v="P2"/>
    <s v="BG"/>
    <n v="30"/>
    <n v="882"/>
    <s v="C2"/>
    <n v="88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04"/>
    <s v="NEO771 I2X"/>
    <m/>
    <m/>
    <s v="C2"/>
    <s v="P2"/>
    <s v="BG"/>
    <n v="30"/>
    <n v="882"/>
    <s v="C2"/>
    <n v="88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06"/>
    <s v="NEO771 I2X"/>
    <m/>
    <m/>
    <s v="C2"/>
    <s v="P2"/>
    <s v="BG"/>
    <n v="30"/>
    <n v="904"/>
    <s v="C2"/>
    <n v="90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08"/>
    <s v="NEO771 I2X"/>
    <m/>
    <m/>
    <s v="C2"/>
    <s v="P2"/>
    <s v="BG"/>
    <n v="30"/>
    <n v="897"/>
    <s v="C2"/>
    <n v="897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10"/>
    <s v="NEO771 I2X"/>
    <m/>
    <m/>
    <s v="C2"/>
    <s v="P2"/>
    <s v="BG"/>
    <n v="30"/>
    <n v="876"/>
    <s v="C2"/>
    <n v="87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12"/>
    <s v="NEO771 I2X"/>
    <m/>
    <m/>
    <s v="C2"/>
    <s v="P2"/>
    <s v="BG"/>
    <n v="30"/>
    <n v="866"/>
    <s v="C2"/>
    <n v="86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15"/>
    <s v="NEO771 I2X"/>
    <m/>
    <m/>
    <s v="C2"/>
    <s v="P2"/>
    <s v="BG"/>
    <n v="30"/>
    <n v="876"/>
    <s v="C2"/>
    <n v="87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17"/>
    <s v="NEO771 I2X"/>
    <m/>
    <m/>
    <s v="C2"/>
    <s v="P2"/>
    <s v="BG"/>
    <n v="30"/>
    <n v="884"/>
    <s v="C2"/>
    <n v="88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20"/>
    <s v="NEO771 I2X"/>
    <m/>
    <m/>
    <s v="C2"/>
    <s v="P2"/>
    <s v="BG"/>
    <n v="30"/>
    <n v="832"/>
    <s v="C2"/>
    <n v="83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22"/>
    <s v="NEO771 I2X"/>
    <m/>
    <m/>
    <s v="C2"/>
    <s v="P2"/>
    <s v="BG"/>
    <n v="30"/>
    <n v="848"/>
    <s v="C2"/>
    <n v="84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25"/>
    <s v="NEO771 I2X"/>
    <m/>
    <m/>
    <s v="C2"/>
    <s v="P2"/>
    <s v="BG"/>
    <n v="30"/>
    <n v="877"/>
    <s v="C2"/>
    <n v="877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27"/>
    <s v="NEO771 I2X"/>
    <m/>
    <m/>
    <s v="C2"/>
    <s v="P2"/>
    <s v="BG"/>
    <n v="30"/>
    <n v="892"/>
    <s v="C2"/>
    <n v="89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29"/>
    <s v="NEO771 I2X"/>
    <m/>
    <m/>
    <s v="C2"/>
    <s v="P2"/>
    <s v="BG"/>
    <n v="30"/>
    <n v="883"/>
    <s v="C2"/>
    <n v="88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32"/>
    <s v="NEO771 I2X"/>
    <m/>
    <m/>
    <s v="C2"/>
    <s v="P2"/>
    <s v="BG"/>
    <n v="30"/>
    <n v="883"/>
    <s v="C2"/>
    <n v="88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34"/>
    <s v="NEO771 I2X"/>
    <m/>
    <m/>
    <s v="C2"/>
    <s v="P2"/>
    <s v="BG"/>
    <n v="30"/>
    <n v="867"/>
    <s v="C2"/>
    <n v="867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36"/>
    <s v="NEO771 I2X"/>
    <m/>
    <m/>
    <s v="C2"/>
    <s v="P2"/>
    <s v="BG"/>
    <n v="30"/>
    <n v="852"/>
    <s v="C2"/>
    <n v="85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39"/>
    <s v="NEO771 I2X"/>
    <m/>
    <m/>
    <s v="C2"/>
    <s v="P2"/>
    <s v="BG"/>
    <n v="30"/>
    <n v="879"/>
    <s v="C2"/>
    <n v="87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41"/>
    <s v="NEO771 I2X"/>
    <m/>
    <m/>
    <s v="C2"/>
    <s v="P2"/>
    <s v="BG"/>
    <n v="30"/>
    <n v="861"/>
    <s v="C2"/>
    <n v="86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43"/>
    <s v="NEO771 I2X"/>
    <m/>
    <m/>
    <s v="C2"/>
    <s v="P2"/>
    <s v="BG"/>
    <n v="30"/>
    <n v="853"/>
    <s v="C2"/>
    <n v="85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48"/>
    <s v="NEO771 I2X"/>
    <m/>
    <m/>
    <s v="C2"/>
    <s v="P2"/>
    <s v="BG"/>
    <n v="26"/>
    <n v="820"/>
    <s v="C2"/>
    <n v="820"/>
    <n v="26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70"/>
    <s v="NEO771 I2X"/>
    <m/>
    <m/>
    <s v="C2"/>
    <s v="P2"/>
    <s v="BG"/>
    <n v="30"/>
    <n v="878"/>
    <s v="C2"/>
    <n v="87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72"/>
    <s v="NEO771 I2X"/>
    <m/>
    <m/>
    <s v="C2"/>
    <s v="P2"/>
    <s v="BG"/>
    <n v="30"/>
    <n v="859"/>
    <s v="C2"/>
    <n v="85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74"/>
    <s v="NEO771 I2X"/>
    <m/>
    <m/>
    <s v="C2"/>
    <s v="P2"/>
    <s v="BG"/>
    <n v="30"/>
    <n v="879"/>
    <s v="C2"/>
    <n v="87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77"/>
    <s v="NEO771 I2X"/>
    <m/>
    <m/>
    <s v="C2"/>
    <s v="P2"/>
    <s v="BG"/>
    <n v="30"/>
    <n v="872"/>
    <s v="C2"/>
    <n v="87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79"/>
    <s v="NEO771 I2X"/>
    <m/>
    <m/>
    <s v="C2"/>
    <s v="P2"/>
    <s v="BG"/>
    <n v="30"/>
    <n v="876"/>
    <s v="C2"/>
    <n v="87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80"/>
    <s v="NEO771 I2X"/>
    <m/>
    <m/>
    <s v="C2"/>
    <s v="P2"/>
    <s v="BG"/>
    <n v="30"/>
    <n v="872"/>
    <s v="C2"/>
    <n v="87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82"/>
    <s v="NEO771 I2X"/>
    <m/>
    <m/>
    <s v="C2"/>
    <s v="P2"/>
    <s v="BG"/>
    <n v="30"/>
    <n v="871"/>
    <s v="C2"/>
    <n v="87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40P2184"/>
    <s v="NEO771 I2X"/>
    <m/>
    <m/>
    <s v="C2"/>
    <s v="P2"/>
    <s v="BG"/>
    <n v="23"/>
    <n v="870"/>
    <s v="C2"/>
    <n v="870"/>
    <n v="23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57P1282"/>
    <s v="NEO780 CE"/>
    <m/>
    <m/>
    <s v="C1"/>
    <s v="P1"/>
    <s v="BG"/>
    <n v="30"/>
    <n v="729"/>
    <s v="C1"/>
    <n v="72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57P1285"/>
    <s v="NEO780 CE"/>
    <m/>
    <m/>
    <s v="C1"/>
    <s v="P1"/>
    <s v="BG"/>
    <n v="30"/>
    <n v="760"/>
    <s v="C1"/>
    <n v="76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57P1286"/>
    <s v="NEO780 CE"/>
    <m/>
    <m/>
    <s v="C1"/>
    <s v="P1"/>
    <s v="BG"/>
    <n v="30"/>
    <n v="740"/>
    <s v="C1"/>
    <n v="74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57P1288"/>
    <s v="NEO780 CE"/>
    <m/>
    <m/>
    <s v="C1"/>
    <s v="P1"/>
    <s v="BG"/>
    <n v="6"/>
    <n v="733"/>
    <s v="C1"/>
    <n v="733"/>
    <n v="6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57P2283"/>
    <s v="NEO780 CE"/>
    <m/>
    <m/>
    <s v="C1"/>
    <s v="P2"/>
    <s v="BG"/>
    <n v="30"/>
    <n v="929"/>
    <s v="C1"/>
    <n v="92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57P2284"/>
    <s v="NEO780 CE"/>
    <m/>
    <m/>
    <s v="C1"/>
    <s v="P2"/>
    <s v="BG"/>
    <n v="30"/>
    <n v="913"/>
    <s v="C1"/>
    <n v="91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57P2287"/>
    <s v="NEO780 CE"/>
    <m/>
    <m/>
    <s v="C1"/>
    <s v="P2"/>
    <s v="BG"/>
    <n v="30"/>
    <n v="900"/>
    <s v="C1"/>
    <n v="90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4P1290"/>
    <s v="NEO791 CE"/>
    <m/>
    <m/>
    <s v="C1"/>
    <s v="P1"/>
    <s v="BG"/>
    <n v="30"/>
    <n v="583"/>
    <s v="C1"/>
    <n v="58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4P1294"/>
    <s v="NEO791 CE"/>
    <m/>
    <m/>
    <s v="C1"/>
    <s v="P1"/>
    <s v="BG"/>
    <n v="30"/>
    <n v="544"/>
    <s v="C1"/>
    <n v="54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4P1299"/>
    <s v="NEO791 CE"/>
    <m/>
    <m/>
    <s v="C1"/>
    <s v="P1"/>
    <s v="BG"/>
    <n v="9"/>
    <n v="553"/>
    <s v="C1"/>
    <n v="553"/>
    <n v="9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4P2289"/>
    <s v="NEO791 CE"/>
    <m/>
    <m/>
    <s v="C1"/>
    <s v="P2"/>
    <s v="BG"/>
    <n v="30"/>
    <n v="712"/>
    <s v="C1"/>
    <n v="71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4P2291"/>
    <s v="NEO791 CE"/>
    <m/>
    <m/>
    <s v="C1"/>
    <s v="P2"/>
    <s v="BG"/>
    <n v="30"/>
    <n v="720"/>
    <s v="C1"/>
    <n v="72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4P2292"/>
    <s v="NEO791 CE"/>
    <m/>
    <m/>
    <s v="C1"/>
    <s v="P2"/>
    <s v="BG"/>
    <n v="30"/>
    <n v="770"/>
    <s v="C1"/>
    <n v="77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4P2293"/>
    <s v="NEO791 CE"/>
    <m/>
    <m/>
    <s v="C1"/>
    <s v="P2"/>
    <s v="BG"/>
    <n v="30"/>
    <n v="718"/>
    <s v="C1"/>
    <n v="71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4P2295"/>
    <s v="NEO791 CE"/>
    <m/>
    <m/>
    <s v="C1"/>
    <s v="P2"/>
    <s v="BG"/>
    <n v="30"/>
    <n v="720"/>
    <s v="C1"/>
    <n v="72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4P2296"/>
    <s v="NEO791 CE"/>
    <m/>
    <m/>
    <s v="C1"/>
    <s v="P2"/>
    <s v="BG"/>
    <n v="30"/>
    <n v="717"/>
    <s v="C1"/>
    <n v="717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4P2297"/>
    <s v="NEO791 CE"/>
    <m/>
    <m/>
    <s v="C1"/>
    <s v="P2"/>
    <s v="BG"/>
    <n v="30"/>
    <n v="725"/>
    <s v="C1"/>
    <n v="72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64P2298"/>
    <s v="NEO791 CE"/>
    <m/>
    <m/>
    <s v="C1"/>
    <s v="P2"/>
    <s v="BG"/>
    <n v="18"/>
    <n v="723"/>
    <s v="C1"/>
    <n v="723"/>
    <n v="18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187"/>
    <s v="O790 IPRO"/>
    <m/>
    <m/>
    <s v="S1"/>
    <s v="P1"/>
    <s v="BG"/>
    <n v="30"/>
    <n v="765"/>
    <s v="S1"/>
    <n v="76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188"/>
    <s v="O790 IPRO"/>
    <m/>
    <m/>
    <s v="S1"/>
    <s v="P1"/>
    <s v="BG"/>
    <n v="30"/>
    <n v="771"/>
    <s v="S1"/>
    <n v="77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190"/>
    <s v="O790 IPRO"/>
    <m/>
    <m/>
    <s v="S1"/>
    <s v="P1"/>
    <s v="BG"/>
    <n v="30"/>
    <n v="780"/>
    <s v="S1"/>
    <n v="78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191"/>
    <s v="O790 IPRO"/>
    <m/>
    <m/>
    <s v="S1"/>
    <s v="P1"/>
    <s v="BG"/>
    <n v="10"/>
    <n v="767"/>
    <s v="S1"/>
    <n v="767"/>
    <n v="1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194"/>
    <s v="O790 IPRO"/>
    <m/>
    <m/>
    <s v="S1"/>
    <s v="P1"/>
    <s v="BG"/>
    <n v="30"/>
    <n v="695"/>
    <s v="S1"/>
    <n v="69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196"/>
    <s v="O790 IPRO"/>
    <m/>
    <m/>
    <s v="S1"/>
    <s v="P1"/>
    <s v="BG"/>
    <n v="30"/>
    <n v="694"/>
    <s v="S1"/>
    <n v="69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200"/>
    <s v="O790 IPRO"/>
    <m/>
    <m/>
    <s v="S1"/>
    <s v="P1"/>
    <s v="BG"/>
    <n v="30"/>
    <n v="696"/>
    <s v="S1"/>
    <n v="69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203"/>
    <s v="O790 IPRO"/>
    <m/>
    <m/>
    <s v="S1"/>
    <s v="P1"/>
    <s v="BG"/>
    <n v="30"/>
    <n v="711"/>
    <s v="S1"/>
    <n v="71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238"/>
    <s v="O790 IPRO"/>
    <m/>
    <m/>
    <s v="S1"/>
    <s v="P1"/>
    <s v="BG"/>
    <n v="30"/>
    <n v="706"/>
    <s v="S1"/>
    <n v="70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240"/>
    <s v="O790 IPRO"/>
    <m/>
    <m/>
    <s v="S1"/>
    <s v="P1"/>
    <s v="BG"/>
    <n v="30"/>
    <n v="705"/>
    <s v="S1"/>
    <n v="70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242"/>
    <s v="O790 IPRO"/>
    <m/>
    <m/>
    <s v="S1"/>
    <s v="P1"/>
    <s v="BG"/>
    <n v="30"/>
    <n v="705"/>
    <s v="S1"/>
    <n v="70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245"/>
    <s v="O790 IPRO"/>
    <m/>
    <m/>
    <s v="S1"/>
    <s v="P1"/>
    <s v="BG"/>
    <n v="30"/>
    <n v="711"/>
    <s v="S1"/>
    <n v="71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248"/>
    <s v="O790 IPRO"/>
    <m/>
    <m/>
    <s v="S1"/>
    <s v="P1"/>
    <s v="BG"/>
    <n v="30"/>
    <n v="707"/>
    <s v="S1"/>
    <n v="707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251"/>
    <s v="O790 IPRO"/>
    <m/>
    <m/>
    <s v="S1"/>
    <s v="P1"/>
    <s v="BG"/>
    <n v="30"/>
    <n v="701"/>
    <s v="S1"/>
    <n v="70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253"/>
    <s v="O790 IPRO"/>
    <m/>
    <m/>
    <s v="S1"/>
    <s v="P1"/>
    <s v="BG"/>
    <n v="30"/>
    <n v="700"/>
    <s v="S1"/>
    <n v="70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256"/>
    <s v="O790 IPRO"/>
    <m/>
    <m/>
    <s v="S1"/>
    <s v="P1"/>
    <s v="BG"/>
    <n v="30"/>
    <n v="708"/>
    <s v="S1"/>
    <n v="70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259"/>
    <s v="O790 IPRO"/>
    <m/>
    <m/>
    <s v="S1"/>
    <s v="P1"/>
    <s v="BG"/>
    <n v="30"/>
    <n v="702"/>
    <s v="S1"/>
    <n v="70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261"/>
    <s v="O790 IPRO"/>
    <m/>
    <m/>
    <s v="S1"/>
    <s v="P1"/>
    <s v="BG"/>
    <n v="30"/>
    <n v="692"/>
    <s v="S1"/>
    <n v="69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263"/>
    <s v="O790 IPRO"/>
    <m/>
    <m/>
    <s v="S1"/>
    <s v="P1"/>
    <s v="BG"/>
    <n v="30"/>
    <n v="705"/>
    <s v="S1"/>
    <n v="70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266"/>
    <s v="O790 IPRO"/>
    <m/>
    <m/>
    <s v="S1"/>
    <s v="P1"/>
    <s v="BG"/>
    <n v="29"/>
    <n v="710"/>
    <s v="S1"/>
    <n v="710"/>
    <n v="29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301"/>
    <s v="O790 IPRO"/>
    <m/>
    <m/>
    <s v="S1"/>
    <s v="P1"/>
    <s v="BG"/>
    <n v="30"/>
    <n v="702"/>
    <s v="S1"/>
    <n v="70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1304"/>
    <s v="O790 IPRO"/>
    <m/>
    <m/>
    <s v="S1"/>
    <s v="P1"/>
    <s v="BG"/>
    <n v="8"/>
    <n v="715"/>
    <s v="S1"/>
    <n v="715"/>
    <n v="8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186"/>
    <s v="O790 IPRO"/>
    <m/>
    <m/>
    <s v="S1"/>
    <s v="P2"/>
    <s v="BG"/>
    <n v="27"/>
    <n v="954"/>
    <s v="S1"/>
    <n v="954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189"/>
    <s v="O790 IPRO"/>
    <m/>
    <m/>
    <s v="S1"/>
    <s v="P2"/>
    <s v="BG"/>
    <n v="27"/>
    <n v="972"/>
    <s v="S1"/>
    <n v="972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192"/>
    <s v="O790 IPRO"/>
    <m/>
    <m/>
    <s v="S1"/>
    <s v="P2"/>
    <s v="BG"/>
    <n v="6"/>
    <n v="941"/>
    <s v="S1"/>
    <n v="941"/>
    <n v="6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193"/>
    <s v="O790 IPRO"/>
    <m/>
    <m/>
    <s v="S1"/>
    <s v="P2"/>
    <s v="BG"/>
    <n v="30"/>
    <n v="895"/>
    <s v="S1"/>
    <n v="89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195"/>
    <s v="O790 IPRO"/>
    <m/>
    <m/>
    <s v="S1"/>
    <s v="P2"/>
    <s v="BG"/>
    <n v="30"/>
    <n v="879"/>
    <s v="S1"/>
    <n v="87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197"/>
    <s v="O790 IPRO"/>
    <m/>
    <m/>
    <s v="S1"/>
    <s v="P2"/>
    <s v="BG"/>
    <n v="30"/>
    <n v="882"/>
    <s v="S1"/>
    <n v="88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198"/>
    <s v="O790 IPRO"/>
    <m/>
    <m/>
    <s v="S1"/>
    <s v="P2"/>
    <s v="BG"/>
    <n v="27"/>
    <n v="921"/>
    <s v="S1"/>
    <n v="921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199"/>
    <s v="O790 IPRO"/>
    <m/>
    <m/>
    <s v="S1"/>
    <s v="P2"/>
    <s v="BG"/>
    <n v="30"/>
    <n v="898"/>
    <s v="S1"/>
    <n v="89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01"/>
    <s v="O790 IPRO"/>
    <m/>
    <m/>
    <s v="S1"/>
    <s v="P2"/>
    <s v="BG"/>
    <n v="30"/>
    <n v="904"/>
    <s v="S1"/>
    <n v="90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02"/>
    <s v="O790 IPRO"/>
    <m/>
    <m/>
    <s v="S1"/>
    <s v="P2"/>
    <s v="BG"/>
    <n v="30"/>
    <n v="909"/>
    <s v="S1"/>
    <n v="90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37"/>
    <s v="O790 IPRO"/>
    <m/>
    <m/>
    <s v="S1"/>
    <s v="P2"/>
    <s v="BG"/>
    <n v="30"/>
    <n v="900"/>
    <s v="S1"/>
    <n v="90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39"/>
    <s v="O790 IPRO"/>
    <m/>
    <m/>
    <s v="S1"/>
    <s v="P2"/>
    <s v="BG"/>
    <n v="30"/>
    <n v="898"/>
    <s v="S1"/>
    <n v="89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41"/>
    <s v="O790 IPRO"/>
    <m/>
    <m/>
    <s v="S1"/>
    <s v="P2"/>
    <s v="BG"/>
    <n v="27"/>
    <n v="927"/>
    <s v="S1"/>
    <n v="927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43"/>
    <s v="O790 IPRO"/>
    <m/>
    <m/>
    <s v="S1"/>
    <s v="P2"/>
    <s v="BG"/>
    <n v="30"/>
    <n v="904"/>
    <s v="S1"/>
    <n v="90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44"/>
    <s v="O790 IPRO"/>
    <m/>
    <m/>
    <s v="S1"/>
    <s v="P2"/>
    <s v="BG"/>
    <n v="27"/>
    <n v="910"/>
    <s v="S1"/>
    <n v="910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46"/>
    <s v="O790 IPRO"/>
    <m/>
    <m/>
    <s v="S1"/>
    <s v="P2"/>
    <s v="BG"/>
    <n v="30"/>
    <n v="902"/>
    <s v="S1"/>
    <n v="90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47"/>
    <s v="O790 IPRO"/>
    <m/>
    <m/>
    <s v="S1"/>
    <s v="P2"/>
    <s v="BG"/>
    <n v="30"/>
    <n v="899"/>
    <s v="S1"/>
    <n v="89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49"/>
    <s v="O790 IPRO"/>
    <m/>
    <m/>
    <s v="S1"/>
    <s v="P2"/>
    <s v="BG"/>
    <n v="27"/>
    <n v="917"/>
    <s v="S1"/>
    <n v="917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50"/>
    <s v="O790 IPRO"/>
    <m/>
    <m/>
    <s v="S1"/>
    <s v="P2"/>
    <s v="BG"/>
    <n v="30"/>
    <n v="909"/>
    <s v="S1"/>
    <n v="90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52"/>
    <s v="O790 IPRO"/>
    <m/>
    <m/>
    <s v="S1"/>
    <s v="P2"/>
    <s v="BG"/>
    <n v="30"/>
    <n v="887"/>
    <s v="S1"/>
    <n v="887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54"/>
    <s v="O790 IPRO"/>
    <m/>
    <m/>
    <s v="S1"/>
    <s v="P2"/>
    <s v="BG"/>
    <n v="30"/>
    <n v="904"/>
    <s v="S1"/>
    <n v="90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55"/>
    <s v="O790 IPRO"/>
    <m/>
    <m/>
    <s v="S1"/>
    <s v="P2"/>
    <s v="BG"/>
    <n v="27"/>
    <n v="920"/>
    <s v="S1"/>
    <n v="920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57"/>
    <s v="O790 IPRO"/>
    <m/>
    <m/>
    <s v="S1"/>
    <s v="P2"/>
    <s v="BG"/>
    <n v="30"/>
    <n v="894"/>
    <s v="S1"/>
    <n v="89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58"/>
    <s v="O790 IPRO"/>
    <m/>
    <m/>
    <s v="S1"/>
    <s v="P2"/>
    <s v="BG"/>
    <n v="30"/>
    <n v="903"/>
    <s v="S1"/>
    <n v="90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60"/>
    <s v="O790 IPRO"/>
    <m/>
    <m/>
    <s v="S1"/>
    <s v="P2"/>
    <s v="BG"/>
    <n v="27"/>
    <n v="918"/>
    <s v="S1"/>
    <n v="918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62"/>
    <s v="O790 IPRO"/>
    <m/>
    <m/>
    <s v="S1"/>
    <s v="P2"/>
    <s v="BG"/>
    <n v="30"/>
    <n v="884"/>
    <s v="S1"/>
    <n v="88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64"/>
    <s v="O790 IPRO"/>
    <m/>
    <m/>
    <s v="S1"/>
    <s v="P2"/>
    <s v="BG"/>
    <n v="30"/>
    <n v="901"/>
    <s v="S1"/>
    <n v="90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65"/>
    <s v="O790 IPRO"/>
    <m/>
    <m/>
    <s v="S1"/>
    <s v="P2"/>
    <s v="BG"/>
    <n v="30"/>
    <n v="896"/>
    <s v="S1"/>
    <n v="89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267"/>
    <s v="O790 IPRO"/>
    <m/>
    <m/>
    <s v="S1"/>
    <s v="P2"/>
    <s v="BG"/>
    <n v="24"/>
    <n v="925"/>
    <s v="S1"/>
    <n v="925"/>
    <n v="2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300"/>
    <s v="O790 IPRO"/>
    <m/>
    <m/>
    <s v="S1"/>
    <s v="P2"/>
    <s v="BG"/>
    <n v="30"/>
    <n v="906"/>
    <s v="S1"/>
    <n v="90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302"/>
    <s v="O790 IPRO"/>
    <m/>
    <m/>
    <s v="S1"/>
    <s v="P2"/>
    <s v="BG"/>
    <n v="27"/>
    <n v="936"/>
    <s v="S1"/>
    <n v="936"/>
    <n v="2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14P2303"/>
    <s v="O790 IPRO"/>
    <m/>
    <m/>
    <s v="S1"/>
    <s v="P2"/>
    <s v="BG"/>
    <n v="14"/>
    <n v="920"/>
    <s v="S1"/>
    <n v="920"/>
    <n v="1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204"/>
    <s v="O800 I2X"/>
    <m/>
    <m/>
    <s v="S1"/>
    <s v="P1"/>
    <s v="BG"/>
    <n v="30"/>
    <n v="697"/>
    <s v="S1"/>
    <n v="697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206"/>
    <s v="O800 I2X"/>
    <m/>
    <m/>
    <s v="S1"/>
    <s v="P1"/>
    <s v="BG"/>
    <n v="30"/>
    <n v="680"/>
    <s v="S1"/>
    <n v="68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208"/>
    <s v="O800 I2X"/>
    <m/>
    <m/>
    <s v="S1"/>
    <s v="P1"/>
    <s v="BG"/>
    <n v="30"/>
    <n v="677"/>
    <s v="S1"/>
    <n v="677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209"/>
    <s v="O800 I2X"/>
    <m/>
    <m/>
    <s v="S1"/>
    <s v="P1"/>
    <s v="BG"/>
    <n v="30"/>
    <n v="690"/>
    <s v="S1"/>
    <n v="69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211"/>
    <s v="O800 I2X"/>
    <m/>
    <m/>
    <s v="S1"/>
    <s v="P1"/>
    <s v="BG"/>
    <n v="30"/>
    <n v="674"/>
    <s v="S1"/>
    <n v="67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212"/>
    <s v="O800 I2X"/>
    <m/>
    <m/>
    <s v="S1"/>
    <s v="P1"/>
    <s v="BG"/>
    <n v="30"/>
    <n v="639"/>
    <s v="S1"/>
    <n v="63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268"/>
    <s v="O800 I2X"/>
    <m/>
    <m/>
    <s v="S1"/>
    <s v="P1"/>
    <s v="BG"/>
    <n v="30"/>
    <n v="629"/>
    <s v="S1"/>
    <n v="62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270"/>
    <s v="O800 I2X"/>
    <m/>
    <m/>
    <s v="S1"/>
    <s v="P1"/>
    <s v="BG"/>
    <n v="30"/>
    <n v="651"/>
    <s v="S1"/>
    <n v="651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272"/>
    <s v="O800 I2X"/>
    <m/>
    <m/>
    <s v="S1"/>
    <s v="P1"/>
    <s v="BG"/>
    <n v="30"/>
    <n v="628"/>
    <s v="S1"/>
    <n v="62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274"/>
    <s v="O800 I2X"/>
    <m/>
    <m/>
    <s v="S1"/>
    <s v="P1"/>
    <s v="BG"/>
    <n v="30"/>
    <n v="649"/>
    <s v="S1"/>
    <n v="649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276"/>
    <s v="O800 I2X"/>
    <m/>
    <m/>
    <s v="S1"/>
    <s v="P1"/>
    <s v="BG"/>
    <n v="30"/>
    <n v="664"/>
    <s v="S1"/>
    <n v="66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278"/>
    <s v="O800 I2X"/>
    <m/>
    <m/>
    <s v="S1"/>
    <s v="P1"/>
    <s v="BG"/>
    <n v="30"/>
    <n v="645"/>
    <s v="S1"/>
    <n v="64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281"/>
    <s v="O800 I2X"/>
    <m/>
    <m/>
    <s v="S1"/>
    <s v="P1"/>
    <s v="BG"/>
    <n v="30"/>
    <n v="652"/>
    <s v="S1"/>
    <n v="65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306"/>
    <s v="O800 I2X"/>
    <m/>
    <m/>
    <s v="S1"/>
    <s v="P1"/>
    <s v="BG"/>
    <n v="30"/>
    <n v="660"/>
    <s v="S1"/>
    <n v="660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308"/>
    <s v="O800 I2X"/>
    <m/>
    <m/>
    <s v="S1"/>
    <s v="P1"/>
    <s v="BG"/>
    <n v="30"/>
    <n v="645"/>
    <s v="S1"/>
    <n v="64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311"/>
    <s v="O800 I2X"/>
    <m/>
    <m/>
    <s v="S1"/>
    <s v="P1"/>
    <s v="BG"/>
    <n v="30"/>
    <n v="628"/>
    <s v="S1"/>
    <n v="62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312"/>
    <s v="O800 I2X"/>
    <m/>
    <m/>
    <s v="S1"/>
    <s v="P1"/>
    <s v="BG"/>
    <n v="30"/>
    <n v="635"/>
    <s v="S1"/>
    <n v="63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1315"/>
    <s v="O800 I2X"/>
    <m/>
    <m/>
    <s v="S1"/>
    <s v="P1"/>
    <s v="BG"/>
    <n v="30"/>
    <n v="648"/>
    <s v="S1"/>
    <n v="64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205"/>
    <s v="O800 I2X"/>
    <m/>
    <m/>
    <s v="S1"/>
    <s v="P2"/>
    <s v="BG"/>
    <n v="30"/>
    <n v="854"/>
    <s v="S1"/>
    <n v="85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207"/>
    <s v="O800 I2X"/>
    <m/>
    <m/>
    <s v="S1"/>
    <s v="P2"/>
    <s v="BG"/>
    <n v="30"/>
    <n v="838"/>
    <s v="S1"/>
    <n v="83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210"/>
    <s v="O800 I2X"/>
    <m/>
    <m/>
    <s v="S1"/>
    <s v="P2"/>
    <s v="BG"/>
    <n v="30"/>
    <n v="822"/>
    <s v="S1"/>
    <n v="82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213"/>
    <s v="O800 I2X"/>
    <m/>
    <m/>
    <s v="S1"/>
    <s v="P2"/>
    <s v="BG"/>
    <n v="10"/>
    <n v="832"/>
    <s v="S1"/>
    <n v="832"/>
    <n v="1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269"/>
    <s v="O800 I2X"/>
    <m/>
    <m/>
    <s v="S1"/>
    <s v="P2"/>
    <s v="BG"/>
    <n v="30"/>
    <n v="814"/>
    <s v="S1"/>
    <n v="81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271"/>
    <s v="O800 I2X"/>
    <m/>
    <m/>
    <s v="S1"/>
    <s v="P2"/>
    <s v="BG"/>
    <n v="30"/>
    <n v="834"/>
    <s v="S1"/>
    <n v="834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273"/>
    <s v="O800 I2X"/>
    <m/>
    <m/>
    <s v="S1"/>
    <s v="P2"/>
    <s v="BG"/>
    <n v="30"/>
    <n v="828"/>
    <s v="S1"/>
    <n v="82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275"/>
    <s v="O800 I2X"/>
    <m/>
    <m/>
    <s v="S1"/>
    <s v="P2"/>
    <s v="BG"/>
    <n v="30"/>
    <n v="862"/>
    <s v="S1"/>
    <n v="86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277"/>
    <s v="O800 I2X"/>
    <m/>
    <m/>
    <s v="S1"/>
    <s v="P2"/>
    <s v="BG"/>
    <n v="30"/>
    <n v="852"/>
    <s v="S1"/>
    <n v="852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279"/>
    <s v="O800 I2X"/>
    <m/>
    <m/>
    <s v="S1"/>
    <s v="P2"/>
    <s v="BG"/>
    <n v="30"/>
    <n v="835"/>
    <s v="S1"/>
    <n v="83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280"/>
    <s v="O800 I2X"/>
    <m/>
    <m/>
    <s v="S1"/>
    <s v="P2"/>
    <s v="BG"/>
    <n v="30"/>
    <n v="826"/>
    <s v="S1"/>
    <n v="826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305"/>
    <s v="O800 I2X"/>
    <m/>
    <m/>
    <s v="S1"/>
    <s v="P2"/>
    <s v="BG"/>
    <n v="30"/>
    <n v="837"/>
    <s v="S1"/>
    <n v="837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307"/>
    <s v="O800 I2X"/>
    <m/>
    <m/>
    <s v="S1"/>
    <s v="P2"/>
    <s v="BG"/>
    <n v="30"/>
    <n v="833"/>
    <s v="S1"/>
    <n v="83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309"/>
    <s v="O800 I2X"/>
    <m/>
    <m/>
    <s v="S1"/>
    <s v="P2"/>
    <s v="BG"/>
    <n v="30"/>
    <n v="833"/>
    <s v="S1"/>
    <n v="833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313"/>
    <s v="O800 I2X"/>
    <m/>
    <m/>
    <s v="S1"/>
    <s v="P2"/>
    <s v="BG"/>
    <n v="30"/>
    <n v="827"/>
    <s v="S1"/>
    <n v="827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314"/>
    <s v="O800 I2X"/>
    <m/>
    <m/>
    <s v="S1"/>
    <s v="P2"/>
    <s v="BG"/>
    <n v="30"/>
    <n v="835"/>
    <s v="S1"/>
    <n v="835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273P2316"/>
    <s v="O800 I2X"/>
    <m/>
    <m/>
    <s v="S1"/>
    <s v="P2"/>
    <s v="BG"/>
    <n v="30"/>
    <n v="828"/>
    <s v="S1"/>
    <n v="828"/>
    <n v="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34Z35501PB"/>
    <s v="SS183E VIP3"/>
    <m/>
    <m/>
    <s v="S1"/>
    <s v="R4C"/>
    <s v="BG"/>
    <n v="3"/>
    <m/>
    <s v="S1"/>
    <m/>
    <n v="3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44X35501ON"/>
    <s v="SS183E VIP3"/>
    <m/>
    <m/>
    <s v="S1"/>
    <s v="C4C"/>
    <s v="BG"/>
    <n v="14"/>
    <m/>
    <s v="S1"/>
    <m/>
    <n v="1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44X35505ON"/>
    <s v="SS183E VIP3"/>
    <m/>
    <m/>
    <s v="S1"/>
    <s v="C4C"/>
    <s v="BG"/>
    <n v="14"/>
    <m/>
    <s v="S1"/>
    <m/>
    <n v="1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44X35506ON"/>
    <s v="SS183E VIP3"/>
    <m/>
    <m/>
    <s v="S1"/>
    <s v="C4C"/>
    <s v="BG"/>
    <n v="9"/>
    <m/>
    <s v="S1"/>
    <m/>
    <n v="9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44X35518ON"/>
    <s v="SS183E VIP3"/>
    <m/>
    <m/>
    <s v="S1"/>
    <s v="R4M"/>
    <s v="BG"/>
    <n v="1"/>
    <m/>
    <s v="S1"/>
    <m/>
    <n v="1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46W35006ON"/>
    <s v="SS183E VIP3"/>
    <m/>
    <m/>
    <s v="S1"/>
    <s v="C3M"/>
    <s v="BG"/>
    <n v="9"/>
    <m/>
    <s v="S1"/>
    <m/>
    <n v="9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46W35008ON"/>
    <s v="SS183E VIP3"/>
    <m/>
    <m/>
    <s v="S1"/>
    <s v="R4M"/>
    <s v="BG"/>
    <n v="10"/>
    <m/>
    <s v="S1"/>
    <m/>
    <n v="1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46W35015ON"/>
    <s v="SS183E VIP3"/>
    <m/>
    <m/>
    <s v="S1"/>
    <s v="R4C"/>
    <s v="SC"/>
    <n v="881"/>
    <m/>
    <s v="S1"/>
    <m/>
    <n v="881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46W35016ON"/>
    <s v="SS183E VIP3"/>
    <m/>
    <m/>
    <s v="S1"/>
    <s v="R4M"/>
    <s v="SC"/>
    <n v="466"/>
    <m/>
    <s v="S1"/>
    <m/>
    <n v="466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46W35022ON"/>
    <s v="SS183E VIP3"/>
    <m/>
    <m/>
    <s v="S1"/>
    <s v="R5C"/>
    <s v="SC"/>
    <n v="322"/>
    <m/>
    <s v="S1"/>
    <m/>
    <n v="322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14260067SN"/>
    <s v="SX7331 TG"/>
    <m/>
    <m/>
    <s v="S1"/>
    <s v="C4C"/>
    <s v="SC"/>
    <n v="95"/>
    <m/>
    <s v="S1"/>
    <m/>
    <n v="95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14260083SN"/>
    <s v="SX7331 TG"/>
    <m/>
    <m/>
    <s v="S1"/>
    <s v="C3C"/>
    <s v="SC"/>
    <n v="73"/>
    <m/>
    <s v="S1"/>
    <m/>
    <n v="73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14260090SN"/>
    <s v="SX7331 TG"/>
    <m/>
    <m/>
    <s v="S1"/>
    <s v="C4C"/>
    <s v="SC"/>
    <n v="125"/>
    <m/>
    <s v="S1"/>
    <m/>
    <n v="125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24260037SN"/>
    <s v="SX7331 TG"/>
    <m/>
    <m/>
    <s v="S1"/>
    <s v="C4M"/>
    <s v="SC"/>
    <n v="417"/>
    <m/>
    <s v="S1"/>
    <m/>
    <n v="41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24260038SN"/>
    <s v="SX7331 TG"/>
    <m/>
    <m/>
    <s v="S1"/>
    <s v="C4C"/>
    <s v="SC"/>
    <n v="130"/>
    <m/>
    <s v="S1"/>
    <m/>
    <n v="130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24260046SN"/>
    <s v="SX7331 TG"/>
    <m/>
    <m/>
    <s v="S1"/>
    <s v="C3M"/>
    <s v="SC"/>
    <n v="97"/>
    <m/>
    <s v="S1"/>
    <m/>
    <n v="97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44160002SN"/>
    <s v="SX7331 TG"/>
    <m/>
    <m/>
    <s v="S1"/>
    <s v="R5C"/>
    <s v="SC"/>
    <n v="254"/>
    <m/>
    <s v="S1"/>
    <m/>
    <n v="254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1"/>
    <s v="44160004SN"/>
    <s v="SX7331 TG"/>
    <m/>
    <m/>
    <s v="S1"/>
    <s v="C3M"/>
    <s v="SC"/>
    <n v="456"/>
    <m/>
    <s v="S1"/>
    <m/>
    <n v="456"/>
    <m/>
    <m/>
    <m/>
    <s v="SIM"/>
    <n v="1"/>
    <d v="2026-04-29T00:00:00"/>
    <x v="0"/>
    <s v="Renato de Castro"/>
    <s v="Sergio Mench do Prado"/>
    <s v="Cláudio Mecenas"/>
  </r>
  <r>
    <x v="1"/>
    <s v="GO"/>
    <s v="0101"/>
    <n v="10"/>
    <x v="0"/>
    <s v="11026755P1336"/>
    <s v="7535I2X"/>
    <m/>
    <m/>
    <s v="C1"/>
    <s v="P1"/>
    <s v="BG"/>
    <n v="30"/>
    <n v="752"/>
    <s v="C1"/>
    <n v="752"/>
    <n v="30"/>
    <s v="Cam.C"/>
    <s v="QD.16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55P1339"/>
    <s v="7535I2X"/>
    <m/>
    <m/>
    <s v="C1"/>
    <s v="P1"/>
    <s v="BG"/>
    <n v="8"/>
    <n v="746"/>
    <s v="C1"/>
    <n v="746"/>
    <n v="8"/>
    <s v="Cam.C"/>
    <s v="QD.04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55P2337"/>
    <s v="7535I2X"/>
    <m/>
    <m/>
    <s v="C1"/>
    <s v="P2"/>
    <s v="BG"/>
    <n v="30"/>
    <n v="888"/>
    <s v="C1"/>
    <n v="888"/>
    <n v="30"/>
    <s v="Cam.C"/>
    <s v="QD.16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55P2338"/>
    <s v="7535I2X"/>
    <m/>
    <m/>
    <s v="C1"/>
    <s v="P2"/>
    <s v="BG"/>
    <n v="30"/>
    <n v="889"/>
    <s v="C1"/>
    <n v="889"/>
    <n v="30"/>
    <s v="Cam.C"/>
    <s v="QD.16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55P2340"/>
    <s v="7535I2X"/>
    <m/>
    <m/>
    <s v="C1"/>
    <s v="P2"/>
    <s v="BG"/>
    <n v="10"/>
    <n v="878"/>
    <s v="C1"/>
    <n v="878"/>
    <n v="10"/>
    <s v="Cam.C"/>
    <s v="QD.04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1061"/>
    <s v="761 I2X"/>
    <m/>
    <m/>
    <s v="S2"/>
    <s v="P1"/>
    <s v="BG"/>
    <n v="30"/>
    <n v="814"/>
    <s v="S2"/>
    <n v="814"/>
    <n v="30"/>
    <s v="Cam.C"/>
    <s v="QD.23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1063"/>
    <s v="761 I2X"/>
    <m/>
    <m/>
    <s v="S2"/>
    <s v="P1"/>
    <s v="BG"/>
    <n v="30"/>
    <n v="824"/>
    <s v="S2"/>
    <n v="824"/>
    <n v="30"/>
    <s v="Cam.C"/>
    <s v="QD.23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1067"/>
    <s v="761 I2X"/>
    <m/>
    <m/>
    <s v="S2"/>
    <s v="P1"/>
    <s v="BG"/>
    <n v="30"/>
    <n v="810"/>
    <s v="S2"/>
    <n v="810"/>
    <n v="30"/>
    <s v="Cam.C"/>
    <s v="QD.23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1069"/>
    <s v="761 I2X"/>
    <m/>
    <m/>
    <s v="S2"/>
    <s v="P1"/>
    <s v="BG"/>
    <n v="30"/>
    <n v="819"/>
    <s v="S2"/>
    <n v="819"/>
    <n v="30"/>
    <s v="Cam.C"/>
    <s v="QD.23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1073"/>
    <s v="761 I2X"/>
    <m/>
    <m/>
    <s v="S2"/>
    <s v="P1"/>
    <s v="BG"/>
    <n v="30"/>
    <n v="823"/>
    <s v="S2"/>
    <n v="823"/>
    <n v="30"/>
    <s v="Cam.C"/>
    <s v="QD.19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1076"/>
    <s v="761 I2X"/>
    <m/>
    <m/>
    <s v="S2"/>
    <s v="P1"/>
    <s v="BG"/>
    <n v="30"/>
    <n v="804"/>
    <s v="S2"/>
    <n v="804"/>
    <n v="30"/>
    <s v="Cam.C"/>
    <s v="QD.19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1079"/>
    <s v="761 I2X"/>
    <m/>
    <m/>
    <s v="S2"/>
    <s v="P1"/>
    <s v="BG"/>
    <n v="30"/>
    <n v="814"/>
    <s v="S2"/>
    <n v="814"/>
    <n v="30"/>
    <s v="Cam.C"/>
    <s v="QD.19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1083"/>
    <s v="761 I2X"/>
    <m/>
    <m/>
    <s v="S2"/>
    <s v="P1"/>
    <s v="BG"/>
    <n v="30"/>
    <n v="793"/>
    <s v="S2"/>
    <n v="793"/>
    <n v="30"/>
    <s v="Cam.C"/>
    <s v="QD.19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1087"/>
    <s v="761 I2X"/>
    <m/>
    <m/>
    <s v="C1"/>
    <s v="P1"/>
    <s v="BG"/>
    <n v="30"/>
    <n v="825"/>
    <s v="C1"/>
    <n v="825"/>
    <n v="30"/>
    <s v="Cam.C"/>
    <s v="QD.06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1090"/>
    <s v="761 I2X"/>
    <m/>
    <m/>
    <s v="C1"/>
    <s v="P1"/>
    <s v="BG"/>
    <n v="12"/>
    <n v="804"/>
    <s v="C1"/>
    <n v="804"/>
    <n v="12"/>
    <s v="Cam.C"/>
    <s v="QD.06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1153"/>
    <s v="761 I2X"/>
    <m/>
    <m/>
    <s v="C1"/>
    <s v="P1"/>
    <s v="BG"/>
    <n v="30"/>
    <n v="828"/>
    <s v="C1"/>
    <n v="828"/>
    <n v="30"/>
    <s v="Cam.C"/>
    <s v="QD.18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1156"/>
    <s v="761 I2X"/>
    <m/>
    <m/>
    <s v="S2"/>
    <s v="P1"/>
    <s v="BG"/>
    <n v="30"/>
    <n v="804"/>
    <s v="S2"/>
    <n v="804"/>
    <n v="30"/>
    <s v="Cam.C"/>
    <s v="QD.18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1161"/>
    <s v="761 I2X"/>
    <m/>
    <m/>
    <s v="S2"/>
    <s v="P1"/>
    <s v="BG"/>
    <n v="30"/>
    <n v="823"/>
    <s v="S2"/>
    <n v="823"/>
    <n v="30"/>
    <s v="Cam.C"/>
    <s v="QD.18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1167"/>
    <s v="761 I2X"/>
    <m/>
    <m/>
    <s v="S2"/>
    <s v="P1"/>
    <s v="BG"/>
    <n v="20"/>
    <n v="817"/>
    <s v="S2"/>
    <n v="817"/>
    <n v="20"/>
    <s v="Cam.C"/>
    <s v="QD.17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60"/>
    <s v="761 I2X"/>
    <m/>
    <m/>
    <s v="S2"/>
    <s v="P2"/>
    <s v="BG"/>
    <n v="24"/>
    <n v="1033"/>
    <s v="S2"/>
    <n v="1033"/>
    <n v="24"/>
    <s v="Cam.C"/>
    <s v="QD.24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62"/>
    <s v="761 I2X"/>
    <m/>
    <m/>
    <s v="S2"/>
    <s v="P2"/>
    <s v="BG"/>
    <n v="24"/>
    <n v="1014"/>
    <s v="S2"/>
    <n v="1014"/>
    <n v="24"/>
    <s v="Cam.C"/>
    <s v="QD.24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64"/>
    <s v="761 I2X"/>
    <m/>
    <m/>
    <s v="S2"/>
    <s v="P2"/>
    <s v="BG"/>
    <n v="24"/>
    <n v="1015"/>
    <s v="S2"/>
    <n v="1015"/>
    <n v="24"/>
    <s v="Cam.C"/>
    <s v="QD.24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65"/>
    <s v="761 I2X"/>
    <m/>
    <m/>
    <s v="S2"/>
    <s v="P2"/>
    <s v="BG"/>
    <n v="27"/>
    <n v="1000"/>
    <s v="S2"/>
    <n v="1000"/>
    <n v="27"/>
    <s v="Cam.C"/>
    <s v="QD.24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66"/>
    <s v="761 I2X"/>
    <m/>
    <m/>
    <s v="S2"/>
    <s v="P2"/>
    <s v="BG"/>
    <n v="27"/>
    <n v="992"/>
    <s v="S2"/>
    <n v="992"/>
    <n v="27"/>
    <s v="Cam.C"/>
    <s v="QD.22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68"/>
    <s v="761 I2X"/>
    <m/>
    <m/>
    <s v="S2"/>
    <s v="P2"/>
    <s v="BG"/>
    <n v="24"/>
    <n v="1018"/>
    <s v="S2"/>
    <n v="1018"/>
    <n v="24"/>
    <s v="Cam.C"/>
    <s v="QD.22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70"/>
    <s v="761 I2X"/>
    <m/>
    <m/>
    <s v="S2"/>
    <s v="P2"/>
    <s v="BG"/>
    <n v="24"/>
    <n v="1016"/>
    <s v="S2"/>
    <n v="1016"/>
    <n v="24"/>
    <s v="Cam.C"/>
    <s v="QD.22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71"/>
    <s v="761 I2X"/>
    <m/>
    <m/>
    <s v="S2"/>
    <s v="P2"/>
    <s v="BG"/>
    <n v="27"/>
    <n v="1002"/>
    <s v="S2"/>
    <n v="1002"/>
    <n v="27"/>
    <s v="Cam.C"/>
    <s v="QD.22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72"/>
    <s v="761 I2X"/>
    <m/>
    <m/>
    <s v="S2"/>
    <s v="P2"/>
    <s v="BG"/>
    <n v="24"/>
    <n v="1028"/>
    <s v="S2"/>
    <n v="1028"/>
    <n v="24"/>
    <s v="Cam.C"/>
    <s v="QD.20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74"/>
    <s v="761 I2X"/>
    <m/>
    <m/>
    <s v="S2"/>
    <s v="P2"/>
    <s v="BG"/>
    <n v="27"/>
    <n v="998"/>
    <s v="S2"/>
    <n v="998"/>
    <n v="27"/>
    <s v="Cam.C"/>
    <s v="QD.20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75"/>
    <s v="761 I2X"/>
    <m/>
    <m/>
    <s v="S2"/>
    <s v="P2"/>
    <s v="BG"/>
    <n v="27"/>
    <n v="993"/>
    <s v="S2"/>
    <n v="993"/>
    <n v="27"/>
    <s v="Cam.C"/>
    <s v="QD.20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77"/>
    <s v="761 I2X"/>
    <m/>
    <m/>
    <s v="S2"/>
    <s v="P2"/>
    <s v="BG"/>
    <n v="27"/>
    <n v="999"/>
    <s v="S2"/>
    <n v="999"/>
    <n v="27"/>
    <s v="Cam.C"/>
    <s v="QD.20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78"/>
    <s v="761 I2X"/>
    <m/>
    <m/>
    <s v="S2"/>
    <s v="P2"/>
    <s v="BG"/>
    <n v="24"/>
    <n v="1023"/>
    <s v="S2"/>
    <n v="1023"/>
    <n v="24"/>
    <s v="Cam.C"/>
    <s v="QD.08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80"/>
    <s v="761 I2X"/>
    <m/>
    <m/>
    <s v="S2"/>
    <s v="P2"/>
    <s v="BG"/>
    <n v="24"/>
    <n v="1021"/>
    <s v="S2"/>
    <n v="1021"/>
    <n v="24"/>
    <s v="Cam.C"/>
    <s v="QD.09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81"/>
    <s v="761 I2X"/>
    <m/>
    <m/>
    <s v="S2"/>
    <s v="P2"/>
    <s v="BG"/>
    <n v="27"/>
    <n v="977"/>
    <s v="S2"/>
    <n v="977"/>
    <n v="27"/>
    <s v="Cam.C"/>
    <s v="QD.09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82"/>
    <s v="761 I2X"/>
    <m/>
    <m/>
    <s v="S2"/>
    <s v="P2"/>
    <s v="BG"/>
    <n v="27"/>
    <n v="981"/>
    <s v="S2"/>
    <n v="981"/>
    <n v="27"/>
    <s v="Cam.C"/>
    <s v="QD.09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84"/>
    <s v="761 I2X"/>
    <m/>
    <m/>
    <s v="S2"/>
    <s v="P2"/>
    <s v="BG"/>
    <n v="27"/>
    <n v="996"/>
    <s v="S2"/>
    <n v="996"/>
    <n v="27"/>
    <s v="Cam.C"/>
    <s v="QD.08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85"/>
    <s v="761 I2X"/>
    <m/>
    <m/>
    <s v="S2"/>
    <s v="P2"/>
    <s v="BG"/>
    <n v="27"/>
    <n v="995"/>
    <s v="S2"/>
    <n v="995"/>
    <n v="27"/>
    <s v="Cam.C"/>
    <s v="QD.08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86"/>
    <s v="761 I2X"/>
    <m/>
    <m/>
    <s v="C1"/>
    <s v="P2"/>
    <s v="BG"/>
    <n v="24"/>
    <n v="1037"/>
    <s v="C1"/>
    <n v="1037"/>
    <n v="24"/>
    <s v="Cam.C"/>
    <s v="QD.07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88"/>
    <s v="761 I2X"/>
    <m/>
    <m/>
    <s v="C1"/>
    <s v="P2"/>
    <s v="BG"/>
    <n v="24"/>
    <n v="1024"/>
    <s v="C1"/>
    <n v="1024"/>
    <n v="24"/>
    <s v="Cam.C"/>
    <s v="QD.07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89"/>
    <s v="761 I2X"/>
    <m/>
    <m/>
    <s v="C1"/>
    <s v="P2"/>
    <s v="BG"/>
    <n v="24"/>
    <n v="1009"/>
    <s v="C1"/>
    <n v="1009"/>
    <n v="24"/>
    <s v="Cam.C"/>
    <s v="QD.07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091"/>
    <s v="761 I2X"/>
    <m/>
    <m/>
    <s v="C1"/>
    <s v="P2"/>
    <s v="BG"/>
    <n v="12"/>
    <n v="1006"/>
    <s v="C1"/>
    <n v="1006"/>
    <n v="12"/>
    <s v="Cam.C"/>
    <s v="QD.06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151"/>
    <s v="761 I2X"/>
    <m/>
    <m/>
    <s v="C1"/>
    <s v="P2"/>
    <s v="BG"/>
    <n v="24"/>
    <n v="1045"/>
    <s v="C1"/>
    <n v="1045"/>
    <n v="24"/>
    <s v="Cam.A"/>
    <s v="QD.23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152"/>
    <s v="761 I2X"/>
    <m/>
    <m/>
    <s v="C1"/>
    <s v="P2"/>
    <s v="BG"/>
    <n v="24"/>
    <n v="1075"/>
    <s v="C1"/>
    <n v="1075"/>
    <n v="24"/>
    <s v="Cam.A"/>
    <s v="QD.22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154"/>
    <s v="761 I2X"/>
    <m/>
    <m/>
    <s v="S2"/>
    <s v="P2"/>
    <s v="BG"/>
    <n v="24"/>
    <n v="1061"/>
    <s v="S2"/>
    <n v="1061"/>
    <n v="24"/>
    <s v="Cam.A"/>
    <s v="QD.22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155"/>
    <s v="761 I2X"/>
    <m/>
    <m/>
    <s v="S2"/>
    <s v="P2"/>
    <s v="BG"/>
    <n v="27"/>
    <n v="995"/>
    <s v="S2"/>
    <n v="995"/>
    <n v="27"/>
    <s v="Cam.A"/>
    <s v="QD.23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157"/>
    <s v="761 I2X"/>
    <m/>
    <m/>
    <s v="S2"/>
    <s v="P2"/>
    <s v="BG"/>
    <n v="24"/>
    <n v="1049"/>
    <s v="S2"/>
    <n v="1049"/>
    <n v="24"/>
    <s v="Cam.A"/>
    <s v="QD.23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158"/>
    <s v="761 I2X"/>
    <m/>
    <m/>
    <s v="S2"/>
    <s v="P2"/>
    <s v="BG"/>
    <n v="24"/>
    <n v="1050"/>
    <s v="S2"/>
    <n v="1050"/>
    <n v="24"/>
    <s v="Cam.A"/>
    <s v="QD.22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159"/>
    <s v="761 I2X"/>
    <m/>
    <m/>
    <s v="S2"/>
    <s v="P2"/>
    <s v="BG"/>
    <n v="24"/>
    <n v="1062"/>
    <s v="S2"/>
    <n v="1062"/>
    <n v="24"/>
    <s v="Cam.A"/>
    <s v="QD.24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160"/>
    <s v="761 I2X"/>
    <m/>
    <m/>
    <s v="S2"/>
    <s v="P2"/>
    <s v="BG"/>
    <n v="24"/>
    <n v="1032"/>
    <s v="S2"/>
    <n v="1032"/>
    <n v="24"/>
    <s v="Cam.A"/>
    <s v="QD.24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162"/>
    <s v="761 I2X"/>
    <m/>
    <m/>
    <s v="S2"/>
    <s v="P2"/>
    <s v="BG"/>
    <n v="24"/>
    <n v="1048"/>
    <s v="S2"/>
    <n v="1048"/>
    <n v="24"/>
    <s v="Cam.A"/>
    <s v="QD.24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163"/>
    <s v="761 I2X"/>
    <m/>
    <m/>
    <s v="S2"/>
    <s v="P2"/>
    <s v="BG"/>
    <n v="24"/>
    <n v="1064"/>
    <s v="S2"/>
    <n v="1064"/>
    <n v="24"/>
    <s v="Cam.A"/>
    <s v="QD.25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164"/>
    <s v="761 I2X"/>
    <m/>
    <m/>
    <s v="S2"/>
    <s v="P2"/>
    <s v="BG"/>
    <n v="24"/>
    <n v="1078"/>
    <s v="S2"/>
    <n v="1078"/>
    <n v="24"/>
    <s v="Cam.A"/>
    <s v="QD.25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165"/>
    <s v="761 I2X"/>
    <m/>
    <m/>
    <s v="S2"/>
    <s v="P2"/>
    <s v="BG"/>
    <n v="24"/>
    <n v="1073"/>
    <s v="S2"/>
    <n v="1073"/>
    <n v="24"/>
    <s v="Cam.A"/>
    <s v="QD.25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166"/>
    <s v="761 I2X"/>
    <m/>
    <m/>
    <s v="S2"/>
    <s v="P2"/>
    <s v="BG"/>
    <n v="24"/>
    <n v="1065"/>
    <s v="S2"/>
    <n v="1065"/>
    <n v="24"/>
    <s v="Cam.A"/>
    <s v="QD.30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5P2168"/>
    <s v="761 I2X"/>
    <m/>
    <m/>
    <s v="S2"/>
    <s v="P2"/>
    <s v="BG"/>
    <n v="23"/>
    <n v="1077"/>
    <s v="S2"/>
    <n v="1077"/>
    <n v="23"/>
    <s v="Cam.A"/>
    <s v="QD.30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1214"/>
    <s v="BSA74483I2X"/>
    <m/>
    <m/>
    <s v="C1"/>
    <s v="P1"/>
    <s v="BG"/>
    <n v="30"/>
    <n v="695"/>
    <s v="C1"/>
    <n v="695"/>
    <n v="30"/>
    <s v="Cam.B"/>
    <s v="QD.38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1217"/>
    <s v="BSA74483I2X"/>
    <m/>
    <m/>
    <s v="C1"/>
    <s v="P1"/>
    <s v="BG"/>
    <n v="30"/>
    <n v="651"/>
    <s v="C1"/>
    <n v="651"/>
    <n v="30"/>
    <s v="Cam.B"/>
    <s v="QD.24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1218"/>
    <s v="BSA74483I2X"/>
    <m/>
    <m/>
    <s v="C1"/>
    <s v="P1"/>
    <s v="BG"/>
    <n v="30"/>
    <n v="646"/>
    <s v="C1"/>
    <n v="646"/>
    <n v="30"/>
    <s v="Cam.B"/>
    <s v="QD.24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1221"/>
    <s v="BSA74483I2X"/>
    <m/>
    <m/>
    <s v="C1"/>
    <s v="P1"/>
    <s v="BG"/>
    <n v="30"/>
    <n v="648"/>
    <s v="C1"/>
    <n v="648"/>
    <n v="30"/>
    <s v="Cam.B"/>
    <s v="QD.24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1223"/>
    <s v="BSA74483I2X"/>
    <m/>
    <m/>
    <s v="C1"/>
    <s v="P1"/>
    <s v="BG"/>
    <n v="30"/>
    <n v="643"/>
    <s v="C1"/>
    <n v="643"/>
    <n v="30"/>
    <s v="Cam.B"/>
    <s v="QD.38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1226"/>
    <s v="BSA74483I2X"/>
    <m/>
    <m/>
    <s v="C1"/>
    <s v="P1"/>
    <s v="BG"/>
    <n v="30"/>
    <n v="644"/>
    <s v="C1"/>
    <n v="644"/>
    <n v="30"/>
    <s v="Cam.B"/>
    <s v="QD.13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1228"/>
    <s v="BSA74483I2X"/>
    <m/>
    <m/>
    <s v="C1"/>
    <s v="P1"/>
    <s v="BG"/>
    <n v="30"/>
    <n v="638"/>
    <s v="C1"/>
    <n v="638"/>
    <n v="30"/>
    <s v="Cam.B"/>
    <s v="QD.38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1231"/>
    <s v="BSA74483I2X"/>
    <m/>
    <m/>
    <s v="C1"/>
    <s v="P1"/>
    <s v="BG"/>
    <n v="30"/>
    <n v="636"/>
    <s v="C1"/>
    <n v="636"/>
    <n v="30"/>
    <s v="Cam.B"/>
    <s v="QD.38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2215"/>
    <s v="BSA74483I2X"/>
    <m/>
    <m/>
    <s v="C1"/>
    <s v="P2"/>
    <s v="BG"/>
    <n v="30"/>
    <n v="819"/>
    <s v="C1"/>
    <n v="819"/>
    <n v="30"/>
    <s v="Cam.B"/>
    <s v="QD.39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2216"/>
    <s v="BSA74483I2X"/>
    <m/>
    <m/>
    <s v="C1"/>
    <s v="P2"/>
    <s v="BG"/>
    <n v="30"/>
    <n v="802"/>
    <s v="C1"/>
    <n v="802"/>
    <n v="30"/>
    <s v="Cam.B"/>
    <s v="QD.26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2219"/>
    <s v="BSA74483I2X"/>
    <m/>
    <m/>
    <s v="C1"/>
    <s v="P2"/>
    <s v="BG"/>
    <n v="30"/>
    <n v="815"/>
    <s v="C1"/>
    <n v="815"/>
    <n v="30"/>
    <s v="Cam.B"/>
    <s v="QD.26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2220"/>
    <s v="BSA74483I2X"/>
    <m/>
    <m/>
    <s v="C1"/>
    <s v="P2"/>
    <s v="BG"/>
    <n v="30"/>
    <n v="796"/>
    <s v="C1"/>
    <n v="796"/>
    <n v="30"/>
    <s v="Cam.B"/>
    <s v="QD.23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2222"/>
    <s v="BSA74483I2X"/>
    <m/>
    <m/>
    <s v="C1"/>
    <s v="P2"/>
    <s v="BG"/>
    <n v="30"/>
    <n v="794"/>
    <s v="C1"/>
    <n v="794"/>
    <n v="30"/>
    <s v="Cam.B"/>
    <s v="QD.23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2224"/>
    <s v="BSA74483I2X"/>
    <m/>
    <m/>
    <s v="C1"/>
    <s v="P2"/>
    <s v="BG"/>
    <n v="30"/>
    <n v="793"/>
    <s v="C1"/>
    <n v="793"/>
    <n v="30"/>
    <s v="Cam.B"/>
    <s v="QD.26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2225"/>
    <s v="BSA74483I2X"/>
    <m/>
    <m/>
    <s v="C1"/>
    <s v="P2"/>
    <s v="BG"/>
    <n v="30"/>
    <n v="791"/>
    <s v="C1"/>
    <n v="791"/>
    <n v="30"/>
    <s v="Cam.B"/>
    <s v="QD.23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2227"/>
    <s v="BSA74483I2X"/>
    <m/>
    <m/>
    <s v="C1"/>
    <s v="P2"/>
    <s v="BG"/>
    <n v="30"/>
    <n v="804"/>
    <s v="C1"/>
    <n v="804"/>
    <n v="30"/>
    <s v="Cam.B"/>
    <s v="QD.39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2229"/>
    <s v="BSA74483I2X"/>
    <m/>
    <m/>
    <s v="C1"/>
    <s v="P2"/>
    <s v="BG"/>
    <n v="30"/>
    <n v="787"/>
    <s v="C1"/>
    <n v="787"/>
    <n v="30"/>
    <s v="Cam.B"/>
    <s v="QD.39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2230"/>
    <s v="BSA74483I2X"/>
    <m/>
    <m/>
    <s v="C1"/>
    <s v="P2"/>
    <s v="BG"/>
    <n v="30"/>
    <n v="792"/>
    <s v="C1"/>
    <n v="792"/>
    <n v="30"/>
    <s v="Cam.B"/>
    <s v="QD.39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0P2232"/>
    <s v="BSA74483I2X"/>
    <m/>
    <m/>
    <s v="C1"/>
    <s v="P2"/>
    <s v="BG"/>
    <n v="17"/>
    <n v="808"/>
    <s v="C1"/>
    <n v="808"/>
    <n v="17"/>
    <s v="Cam.B"/>
    <s v="CORREDOR"/>
    <s v="(vazio)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56P1233"/>
    <s v="C2810CE"/>
    <m/>
    <m/>
    <s v="C1"/>
    <s v="P1"/>
    <s v="BG"/>
    <n v="30"/>
    <n v="730"/>
    <s v="C1"/>
    <n v="730"/>
    <n v="30"/>
    <s v="Cam.B"/>
    <s v="QD.40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56P1235"/>
    <s v="C2810CE"/>
    <m/>
    <m/>
    <s v="C1"/>
    <s v="P1"/>
    <s v="BG"/>
    <n v="30"/>
    <n v="734"/>
    <s v="C1"/>
    <n v="734"/>
    <n v="30"/>
    <s v="Cam.B"/>
    <s v="QD.40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56P2234"/>
    <s v="C2810CE"/>
    <m/>
    <m/>
    <s v="C1"/>
    <s v="P2"/>
    <s v="BG"/>
    <n v="30"/>
    <n v="871"/>
    <s v="C1"/>
    <n v="871"/>
    <n v="30"/>
    <s v="Cam.B"/>
    <s v="QD.40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56P2236"/>
    <s v="C2810CE"/>
    <m/>
    <m/>
    <s v="C1"/>
    <s v="P2"/>
    <s v="BG"/>
    <n v="12"/>
    <n v="852"/>
    <s v="C1"/>
    <n v="852"/>
    <n v="12"/>
    <s v="Cam.B"/>
    <s v="CORREDOR"/>
    <s v="(vazio)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01"/>
    <s v="NEO700 I2X"/>
    <m/>
    <m/>
    <s v="C2"/>
    <s v="P1"/>
    <s v="BG"/>
    <n v="27"/>
    <n v="923"/>
    <s v="C2"/>
    <n v="923"/>
    <n v="27"/>
    <s v="Cam.C"/>
    <s v="QD.37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03"/>
    <s v="NEO700 I2X"/>
    <m/>
    <m/>
    <s v="C2"/>
    <s v="P1"/>
    <s v="BG"/>
    <n v="30"/>
    <n v="868"/>
    <s v="C2"/>
    <n v="868"/>
    <n v="30"/>
    <s v="Cam.C"/>
    <s v="QD.37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04"/>
    <s v="NEO700 I2X"/>
    <m/>
    <m/>
    <s v="C2"/>
    <s v="P1"/>
    <s v="BG"/>
    <n v="30"/>
    <n v="782"/>
    <s v="C2"/>
    <n v="782"/>
    <n v="30"/>
    <s v="Cam.C"/>
    <s v="QD.37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06"/>
    <s v="NEO700 I2X"/>
    <m/>
    <m/>
    <s v="C2"/>
    <s v="P1"/>
    <s v="BG"/>
    <n v="30"/>
    <n v="795"/>
    <s v="C2"/>
    <n v="795"/>
    <n v="30"/>
    <s v="Cam.C"/>
    <s v="QD.35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07"/>
    <s v="NEO700 I2X"/>
    <m/>
    <m/>
    <s v="C2"/>
    <s v="P1"/>
    <s v="BG"/>
    <n v="30"/>
    <n v="790"/>
    <s v="C2"/>
    <n v="790"/>
    <n v="30"/>
    <s v="Cam.C"/>
    <s v="QD.35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09"/>
    <s v="NEO700 I2X"/>
    <m/>
    <m/>
    <s v="C2"/>
    <s v="P1"/>
    <s v="BG"/>
    <n v="30"/>
    <n v="791"/>
    <s v="C2"/>
    <n v="791"/>
    <n v="30"/>
    <s v="Cam.C"/>
    <s v="QD.35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10"/>
    <s v="NEO700 I2X"/>
    <m/>
    <m/>
    <s v="C2"/>
    <s v="P1"/>
    <s v="BG"/>
    <n v="30"/>
    <n v="790"/>
    <s v="C2"/>
    <n v="790"/>
    <n v="30"/>
    <s v="Cam.C"/>
    <s v="QD.35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12"/>
    <s v="NEO700 I2X"/>
    <m/>
    <m/>
    <s v="C2"/>
    <s v="P1"/>
    <s v="BG"/>
    <n v="30"/>
    <n v="775"/>
    <s v="C2"/>
    <n v="775"/>
    <n v="30"/>
    <s v="Cam.C"/>
    <s v="QD.33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14"/>
    <s v="NEO700 I2X"/>
    <m/>
    <m/>
    <s v="C2"/>
    <s v="P1"/>
    <s v="BG"/>
    <n v="30"/>
    <n v="800"/>
    <s v="C2"/>
    <n v="800"/>
    <n v="30"/>
    <s v="Cam.C"/>
    <s v="QD.37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15"/>
    <s v="NEO700 I2X"/>
    <m/>
    <m/>
    <s v="C2"/>
    <s v="P1"/>
    <s v="BG"/>
    <n v="30"/>
    <n v="787"/>
    <s v="C2"/>
    <n v="787"/>
    <n v="30"/>
    <s v="Cam.C"/>
    <s v="QD.33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17"/>
    <s v="NEO700 I2X"/>
    <m/>
    <m/>
    <s v="C2"/>
    <s v="P1"/>
    <s v="BG"/>
    <n v="30"/>
    <n v="798"/>
    <s v="C2"/>
    <n v="798"/>
    <n v="30"/>
    <s v="Cam.C"/>
    <s v="QD.33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18"/>
    <s v="NEO700 I2X"/>
    <m/>
    <m/>
    <s v="C2"/>
    <s v="P1"/>
    <s v="BG"/>
    <n v="30"/>
    <n v="804"/>
    <s v="C2"/>
    <n v="804"/>
    <n v="30"/>
    <s v="Cam.C"/>
    <s v="QD.31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21"/>
    <s v="NEO700 I2X"/>
    <m/>
    <m/>
    <s v="C2"/>
    <s v="P1"/>
    <s v="BG"/>
    <n v="24"/>
    <n v="825"/>
    <s v="C2"/>
    <n v="825"/>
    <n v="24"/>
    <s v="Cam.C"/>
    <s v="QD.33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23"/>
    <s v="NEO700 I2X"/>
    <m/>
    <m/>
    <s v="C2"/>
    <s v="P1"/>
    <s v="BG"/>
    <n v="30"/>
    <n v="813"/>
    <s v="C2"/>
    <n v="813"/>
    <n v="30"/>
    <s v="Cam.C"/>
    <s v="QD.31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25"/>
    <s v="NEO700 I2X"/>
    <m/>
    <m/>
    <s v="C2"/>
    <s v="P1"/>
    <s v="BG"/>
    <n v="30"/>
    <n v="806"/>
    <s v="C2"/>
    <n v="806"/>
    <n v="30"/>
    <s v="Cam.C"/>
    <s v="QD.31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28"/>
    <s v="NEO700 I2X"/>
    <m/>
    <m/>
    <s v="C2"/>
    <s v="P1"/>
    <s v="BG"/>
    <n v="30"/>
    <n v="805"/>
    <s v="C2"/>
    <n v="805"/>
    <n v="30"/>
    <s v="Cam.C"/>
    <s v="QD.31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30"/>
    <s v="NEO700 I2X"/>
    <m/>
    <m/>
    <s v="C2"/>
    <s v="P1"/>
    <s v="BG"/>
    <n v="30"/>
    <n v="803"/>
    <s v="C2"/>
    <n v="803"/>
    <n v="30"/>
    <s v="Cam.C"/>
    <s v="QD.29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33"/>
    <s v="NEO700 I2X"/>
    <m/>
    <m/>
    <s v="C2"/>
    <s v="P1"/>
    <s v="BG"/>
    <n v="30"/>
    <n v="829"/>
    <s v="C2"/>
    <n v="829"/>
    <n v="30"/>
    <s v="Cam.C"/>
    <s v="QD.29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35"/>
    <s v="NEO700 I2X"/>
    <m/>
    <m/>
    <s v="C2"/>
    <s v="P1"/>
    <s v="BG"/>
    <n v="30"/>
    <n v="782"/>
    <s v="C2"/>
    <n v="782"/>
    <n v="30"/>
    <s v="Cam.C"/>
    <s v="QD.29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36"/>
    <s v="NEO700 I2X"/>
    <m/>
    <m/>
    <s v="C2"/>
    <s v="P1"/>
    <s v="BG"/>
    <n v="30"/>
    <n v="782"/>
    <s v="C2"/>
    <n v="782"/>
    <n v="30"/>
    <s v="Cam.C"/>
    <s v="QD.29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38"/>
    <s v="NEO700 I2X"/>
    <m/>
    <m/>
    <s v="C2"/>
    <s v="P1"/>
    <s v="BG"/>
    <n v="30"/>
    <n v="793"/>
    <s v="C2"/>
    <n v="793"/>
    <n v="30"/>
    <s v="Cam.C"/>
    <s v="QD.26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41"/>
    <s v="NEO700 I2X"/>
    <m/>
    <m/>
    <s v="C2"/>
    <s v="P1"/>
    <s v="BG"/>
    <n v="30"/>
    <n v="814"/>
    <s v="C2"/>
    <n v="814"/>
    <n v="30"/>
    <s v="Cam.C"/>
    <s v="QD.26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043"/>
    <s v="NEO700 I2X"/>
    <m/>
    <m/>
    <s v="C2"/>
    <s v="P1"/>
    <s v="BG"/>
    <n v="30"/>
    <n v="820"/>
    <s v="C2"/>
    <n v="820"/>
    <n v="30"/>
    <s v="Cam.C"/>
    <s v="QD.26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322"/>
    <s v="NEO700 I2X"/>
    <m/>
    <m/>
    <s v="C2"/>
    <s v="P1"/>
    <s v="BG"/>
    <n v="30"/>
    <n v="824"/>
    <s v="C2"/>
    <n v="824"/>
    <n v="30"/>
    <s v="Cam.C"/>
    <s v="QD.11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324"/>
    <s v="NEO700 I2X"/>
    <m/>
    <m/>
    <s v="C2"/>
    <s v="P1"/>
    <s v="BG"/>
    <n v="30"/>
    <n v="818"/>
    <s v="C2"/>
    <n v="818"/>
    <n v="30"/>
    <s v="Cam.C"/>
    <s v="QD.10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328"/>
    <s v="NEO700 I2X"/>
    <m/>
    <m/>
    <s v="C2"/>
    <s v="P1"/>
    <s v="BG"/>
    <n v="30"/>
    <n v="827"/>
    <s v="C2"/>
    <n v="827"/>
    <n v="30"/>
    <s v="Cam.C"/>
    <s v="QD.13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329"/>
    <s v="NEO700 I2X"/>
    <m/>
    <m/>
    <s v="C2"/>
    <s v="P1"/>
    <s v="BG"/>
    <n v="30"/>
    <n v="822"/>
    <s v="C2"/>
    <n v="822"/>
    <n v="30"/>
    <s v="Cam.C"/>
    <s v="QD.13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1332"/>
    <s v="NEO700 I2X"/>
    <m/>
    <m/>
    <s v="S2 "/>
    <s v="P1"/>
    <s v="BG"/>
    <n v="20"/>
    <n v="828"/>
    <s v="S2 "/>
    <n v="828"/>
    <n v="20"/>
    <s v="Cam.C"/>
    <s v="QD.14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02"/>
    <s v="NEO700 I2X"/>
    <m/>
    <m/>
    <s v="C2"/>
    <s v="P2"/>
    <s v="BG"/>
    <n v="9"/>
    <n v="1127"/>
    <s v="C2"/>
    <n v="1127"/>
    <n v="9"/>
    <s v="Cam.C"/>
    <s v="QD.38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05"/>
    <s v="NEO700 I2X"/>
    <m/>
    <m/>
    <s v="C2"/>
    <s v="P2"/>
    <s v="BG"/>
    <n v="27"/>
    <n v="964"/>
    <s v="C2"/>
    <n v="964"/>
    <n v="27"/>
    <s v="Cam.C"/>
    <s v="QD.34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08"/>
    <s v="NEO700 I2X"/>
    <m/>
    <m/>
    <s v="C2"/>
    <s v="P2"/>
    <s v="BG"/>
    <n v="27"/>
    <n v="946"/>
    <s v="C2"/>
    <n v="946"/>
    <n v="27"/>
    <s v="Cam.C"/>
    <s v="QD.34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11"/>
    <s v="NEO700 I2X"/>
    <m/>
    <m/>
    <s v="C2"/>
    <s v="P2"/>
    <s v="BG"/>
    <n v="27"/>
    <n v="955"/>
    <s v="C2"/>
    <n v="955"/>
    <n v="27"/>
    <s v="Cam.C"/>
    <s v="QD.34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13"/>
    <s v="NEO700 I2X"/>
    <m/>
    <m/>
    <s v="C2"/>
    <s v="P2"/>
    <s v="BG"/>
    <n v="27"/>
    <n v="964"/>
    <s v="C2"/>
    <n v="964"/>
    <n v="27"/>
    <s v="Cam.C"/>
    <s v="QD.34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16"/>
    <s v="NEO700 I2X"/>
    <m/>
    <m/>
    <s v="C2"/>
    <s v="P2"/>
    <s v="BG"/>
    <n v="27"/>
    <n v="949"/>
    <s v="C2"/>
    <n v="949"/>
    <n v="27"/>
    <s v="Cam.C"/>
    <s v="QD.32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19"/>
    <s v="NEO700 I2X"/>
    <m/>
    <m/>
    <s v="C2"/>
    <s v="P2"/>
    <s v="BG"/>
    <n v="27"/>
    <n v="973"/>
    <s v="C2"/>
    <n v="973"/>
    <n v="27"/>
    <s v="Cam.C"/>
    <s v="QD.32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20"/>
    <s v="NEO700 I2X"/>
    <m/>
    <m/>
    <s v="C2"/>
    <s v="P2"/>
    <s v="BG"/>
    <n v="27"/>
    <n v="998"/>
    <s v="C2"/>
    <n v="998"/>
    <n v="27"/>
    <s v="Cam.C"/>
    <s v="QD.32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22"/>
    <s v="NEO700 I2X"/>
    <m/>
    <m/>
    <s v="C2"/>
    <s v="P2"/>
    <s v="BG"/>
    <n v="27"/>
    <n v="969"/>
    <s v="C2"/>
    <n v="969"/>
    <n v="27"/>
    <s v="Cam.C"/>
    <s v="QD.32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24"/>
    <s v="NEO700 I2X"/>
    <m/>
    <m/>
    <s v="C2"/>
    <s v="P2"/>
    <s v="BG"/>
    <n v="27"/>
    <n v="964"/>
    <s v="C2"/>
    <n v="964"/>
    <n v="27"/>
    <s v="Cam.C"/>
    <s v="QD.30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26"/>
    <s v="NEO700 I2X"/>
    <m/>
    <m/>
    <s v="C2"/>
    <s v="P2"/>
    <s v="BG"/>
    <n v="27"/>
    <n v="956"/>
    <s v="C2"/>
    <n v="956"/>
    <n v="27"/>
    <s v="Cam.C"/>
    <s v="QD.30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27"/>
    <s v="NEO700 I2X"/>
    <m/>
    <m/>
    <s v="C2"/>
    <s v="P2"/>
    <s v="BG"/>
    <n v="27"/>
    <n v="963"/>
    <s v="C2"/>
    <n v="963"/>
    <n v="27"/>
    <s v="Cam.C"/>
    <s v="QD.30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29"/>
    <s v="NEO700 I2X"/>
    <m/>
    <m/>
    <s v="C2"/>
    <s v="P2"/>
    <s v="BG"/>
    <n v="27"/>
    <n v="958"/>
    <s v="C2"/>
    <n v="958"/>
    <n v="27"/>
    <s v="Cam.C"/>
    <s v="QD.30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31"/>
    <s v="NEO700 I2X"/>
    <m/>
    <m/>
    <s v="C2"/>
    <s v="P2"/>
    <s v="BG"/>
    <n v="27"/>
    <n v="940"/>
    <s v="C2"/>
    <n v="940"/>
    <n v="27"/>
    <s v="Cam.C"/>
    <s v="QD.27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32"/>
    <s v="NEO700 I2X"/>
    <m/>
    <m/>
    <s v="C2"/>
    <s v="P2"/>
    <s v="BG"/>
    <n v="27"/>
    <n v="956"/>
    <s v="C2"/>
    <n v="956"/>
    <n v="27"/>
    <s v="Cam.C"/>
    <s v="QD.27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34"/>
    <s v="NEO700 I2X"/>
    <m/>
    <m/>
    <s v="C2"/>
    <s v="P2"/>
    <s v="BG"/>
    <n v="27"/>
    <n v="937"/>
    <s v="C2"/>
    <n v="937"/>
    <n v="27"/>
    <s v="Cam.C"/>
    <s v="QD.27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37"/>
    <s v="NEO700 I2X"/>
    <m/>
    <m/>
    <s v="C2"/>
    <s v="P2"/>
    <s v="BG"/>
    <n v="27"/>
    <n v="931"/>
    <s v="C2"/>
    <n v="931"/>
    <n v="27"/>
    <s v="Cam.C"/>
    <s v="QD.27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39"/>
    <s v="NEO700 I2X"/>
    <m/>
    <m/>
    <s v="C2"/>
    <s v="P2"/>
    <s v="BG"/>
    <n v="27"/>
    <n v="948"/>
    <s v="C2"/>
    <n v="948"/>
    <n v="27"/>
    <s v="Cam.C"/>
    <s v="QD.25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40"/>
    <s v="NEO700 I2X"/>
    <m/>
    <m/>
    <s v="C2"/>
    <s v="P2"/>
    <s v="BG"/>
    <n v="27"/>
    <n v="950"/>
    <s v="C2"/>
    <n v="950"/>
    <n v="27"/>
    <s v="Cam.C"/>
    <s v="QD.25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42"/>
    <s v="NEO700 I2X"/>
    <m/>
    <m/>
    <s v="C2"/>
    <s v="P2"/>
    <s v="BG"/>
    <n v="27"/>
    <n v="981"/>
    <s v="C2"/>
    <n v="981"/>
    <n v="27"/>
    <s v="Cam.C"/>
    <s v="QD.25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044"/>
    <s v="NEO700 I2X"/>
    <m/>
    <m/>
    <s v="C2"/>
    <s v="P2"/>
    <s v="BG"/>
    <n v="17"/>
    <n v="977"/>
    <s v="C2"/>
    <n v="977"/>
    <n v="17"/>
    <s v="Cam.C"/>
    <s v="QD.25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321"/>
    <s v="NEO700 I2X"/>
    <m/>
    <m/>
    <s v="C2"/>
    <s v="P2"/>
    <s v="BG"/>
    <n v="27"/>
    <n v="988"/>
    <s v="C2"/>
    <n v="988"/>
    <n v="27"/>
    <s v="Cam.C"/>
    <s v="QD.17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323"/>
    <s v="NEO700 I2X"/>
    <m/>
    <m/>
    <s v="C2"/>
    <s v="P2"/>
    <s v="BG"/>
    <n v="27"/>
    <n v="977"/>
    <s v="C2"/>
    <n v="977"/>
    <n v="27"/>
    <s v="Cam.C"/>
    <s v="QD.11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325"/>
    <s v="NEO700 I2X"/>
    <m/>
    <m/>
    <s v="C2"/>
    <s v="P2"/>
    <s v="BG"/>
    <n v="27"/>
    <n v="986"/>
    <s v="C2"/>
    <n v="986"/>
    <n v="27"/>
    <s v="Cam.C"/>
    <s v="QD.11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326"/>
    <s v="NEO700 I2X"/>
    <m/>
    <m/>
    <s v="C2"/>
    <s v="P2"/>
    <s v="BG"/>
    <n v="27"/>
    <n v="983"/>
    <s v="C2"/>
    <n v="983"/>
    <n v="27"/>
    <s v="Cam.C"/>
    <s v="QD.10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327"/>
    <s v="NEO700 I2X"/>
    <m/>
    <m/>
    <s v="C2"/>
    <s v="P2"/>
    <s v="BG"/>
    <n v="27"/>
    <n v="968"/>
    <s v="C2"/>
    <n v="968"/>
    <n v="27"/>
    <s v="Cam.C"/>
    <s v="QD.10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330"/>
    <s v="NEO700 I2X"/>
    <m/>
    <m/>
    <s v="S2"/>
    <s v="P2"/>
    <s v="BG"/>
    <n v="27"/>
    <n v="955"/>
    <s v="S2"/>
    <n v="955"/>
    <n v="27"/>
    <s v="Cam.C"/>
    <s v="QD.28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331"/>
    <s v="NEO700 I2X"/>
    <m/>
    <m/>
    <s v="S2"/>
    <s v="P2"/>
    <s v="BG"/>
    <n v="27"/>
    <n v="939"/>
    <s v="S2"/>
    <n v="939"/>
    <n v="27"/>
    <s v="Cam.C"/>
    <s v="QD.17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333"/>
    <s v="NEO700 I2X"/>
    <m/>
    <m/>
    <s v="S2"/>
    <s v="P2"/>
    <s v="BG"/>
    <n v="27"/>
    <n v="970"/>
    <s v="S2"/>
    <n v="970"/>
    <n v="27"/>
    <s v="Cam.C"/>
    <s v="QD.28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334"/>
    <s v="NEO700 I2X"/>
    <m/>
    <m/>
    <s v="S2"/>
    <s v="P2"/>
    <s v="BG"/>
    <n v="27"/>
    <n v="985"/>
    <s v="S2"/>
    <n v="985"/>
    <n v="27"/>
    <s v="Cam.C"/>
    <s v="QD.13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39P2335"/>
    <s v="NEO700 I2X"/>
    <m/>
    <m/>
    <s v="S2"/>
    <s v="P2"/>
    <s v="BG"/>
    <n v="16"/>
    <n v="989"/>
    <s v="S2"/>
    <n v="989"/>
    <n v="16"/>
    <s v="Cam.C"/>
    <s v="QD.26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046"/>
    <s v="NEO771 I2X"/>
    <m/>
    <m/>
    <s v="C2"/>
    <s v="P1"/>
    <s v="BG"/>
    <n v="30"/>
    <n v="684"/>
    <s v="C2"/>
    <n v="684"/>
    <n v="30"/>
    <s v="Cam.A"/>
    <s v="QD.02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048"/>
    <s v="NEO771 I2X"/>
    <m/>
    <m/>
    <s v="C2"/>
    <s v="P1"/>
    <s v="BG"/>
    <n v="30"/>
    <n v="693"/>
    <s v="C2"/>
    <n v="693"/>
    <n v="30"/>
    <s v="Cam.A"/>
    <s v="QD.02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050"/>
    <s v="NEO771 I2X"/>
    <m/>
    <m/>
    <s v="C2"/>
    <s v="P1"/>
    <s v="BG"/>
    <n v="30"/>
    <n v="697"/>
    <s v="C2"/>
    <n v="697"/>
    <n v="30"/>
    <s v="Cam.A"/>
    <s v="QD.02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052"/>
    <s v="NEO771 I2X"/>
    <m/>
    <m/>
    <s v="C2"/>
    <s v="P1"/>
    <s v="BG"/>
    <n v="30"/>
    <n v="696"/>
    <s v="C2"/>
    <n v="696"/>
    <n v="30"/>
    <s v="Cam.A"/>
    <s v="QD.02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054"/>
    <s v="NEO771 I2X"/>
    <m/>
    <m/>
    <s v="C2"/>
    <s v="P1"/>
    <s v="BG"/>
    <n v="30"/>
    <n v="698"/>
    <s v="C2"/>
    <n v="698"/>
    <n v="30"/>
    <s v="Cam.A"/>
    <s v="QD.04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056"/>
    <s v="NEO771 I2X"/>
    <m/>
    <m/>
    <s v="C2"/>
    <s v="P1"/>
    <s v="BG"/>
    <n v="30"/>
    <n v="699"/>
    <s v="C2"/>
    <n v="699"/>
    <n v="30"/>
    <s v="Cam.A"/>
    <s v="QD.04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058"/>
    <s v="NEO771 I2X"/>
    <m/>
    <m/>
    <s v="C2"/>
    <s v="P1"/>
    <s v="BG"/>
    <n v="30"/>
    <n v="696"/>
    <s v="C2"/>
    <n v="696"/>
    <n v="30"/>
    <s v="Cam.A"/>
    <s v="QD.04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093"/>
    <s v="NEO771 I2X"/>
    <m/>
    <m/>
    <s v="C2"/>
    <s v="P1"/>
    <s v="BG"/>
    <n v="30"/>
    <n v="708"/>
    <s v="C2"/>
    <n v="708"/>
    <n v="30"/>
    <s v="Cam.A"/>
    <s v="QD.04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094"/>
    <s v="NEO771 I2X"/>
    <m/>
    <m/>
    <s v="C2"/>
    <s v="P1"/>
    <s v="BG"/>
    <n v="30"/>
    <n v="715"/>
    <s v="C2"/>
    <n v="715"/>
    <n v="30"/>
    <s v="Cam.A"/>
    <s v="QD.06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096"/>
    <s v="NEO771 I2X"/>
    <m/>
    <m/>
    <s v="C2"/>
    <s v="P1"/>
    <s v="BG"/>
    <n v="30"/>
    <n v="699"/>
    <s v="C2"/>
    <n v="699"/>
    <n v="30"/>
    <s v="Cam.A"/>
    <s v="QD.06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098"/>
    <s v="NEO771 I2X"/>
    <m/>
    <m/>
    <s v="C2"/>
    <s v="P1"/>
    <s v="BG"/>
    <n v="30"/>
    <n v="712"/>
    <s v="C2"/>
    <n v="712"/>
    <n v="30"/>
    <s v="Cam.A"/>
    <s v="QD.06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00"/>
    <s v="NEO771 I2X"/>
    <m/>
    <m/>
    <s v="C2"/>
    <s v="P1"/>
    <s v="BG"/>
    <n v="30"/>
    <n v="712"/>
    <s v="C2"/>
    <n v="712"/>
    <n v="30"/>
    <s v="Cam.A"/>
    <s v="QD.06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01"/>
    <s v="NEO771 I2X"/>
    <m/>
    <m/>
    <s v="C2"/>
    <s v="P1"/>
    <s v="BG"/>
    <n v="30"/>
    <n v="714"/>
    <s v="C2"/>
    <n v="714"/>
    <n v="30"/>
    <s v="Cam.A"/>
    <s v="QD.07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03"/>
    <s v="NEO771 I2X"/>
    <m/>
    <m/>
    <s v="C2"/>
    <s v="P1"/>
    <s v="BG"/>
    <n v="30"/>
    <n v="718"/>
    <s v="C2"/>
    <n v="718"/>
    <n v="30"/>
    <s v="Cam.A"/>
    <s v="QD.07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05"/>
    <s v="NEO771 I2X"/>
    <m/>
    <m/>
    <s v="C2"/>
    <s v="P1"/>
    <s v="BG"/>
    <n v="30"/>
    <n v="721"/>
    <s v="C2"/>
    <n v="721"/>
    <n v="30"/>
    <s v="Cam.A"/>
    <s v="QD.07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07"/>
    <s v="NEO771 I2X"/>
    <m/>
    <m/>
    <s v="C2"/>
    <s v="P1"/>
    <s v="BG"/>
    <n v="30"/>
    <n v="718"/>
    <s v="C2"/>
    <n v="718"/>
    <n v="30"/>
    <s v="Cam.A"/>
    <s v="QD.07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09"/>
    <s v="NEO771 I2X"/>
    <m/>
    <m/>
    <s v="C2"/>
    <s v="P1"/>
    <s v="BG"/>
    <n v="30"/>
    <n v="721"/>
    <s v="C2"/>
    <n v="721"/>
    <n v="30"/>
    <s v="Cam.A"/>
    <s v="QD.09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11"/>
    <s v="NEO771 I2X"/>
    <m/>
    <m/>
    <s v="C2"/>
    <s v="P1"/>
    <s v="BG"/>
    <n v="30"/>
    <n v="728"/>
    <s v="C2"/>
    <n v="728"/>
    <n v="30"/>
    <s v="Cam.A"/>
    <s v="QD.09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13"/>
    <s v="NEO771 I2X"/>
    <m/>
    <m/>
    <s v="C2"/>
    <s v="P1"/>
    <s v="BG"/>
    <n v="30"/>
    <n v="710"/>
    <s v="C2"/>
    <n v="710"/>
    <n v="30"/>
    <s v="Cam.A"/>
    <s v="QD.09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14"/>
    <s v="NEO771 I2X"/>
    <m/>
    <m/>
    <s v="C2"/>
    <s v="P1"/>
    <s v="BG"/>
    <n v="30"/>
    <n v="715"/>
    <s v="C2"/>
    <n v="715"/>
    <n v="30"/>
    <s v="Cam.A"/>
    <s v="QD.09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16"/>
    <s v="NEO771 I2X"/>
    <m/>
    <m/>
    <s v="C2"/>
    <s v="P1"/>
    <s v="BG"/>
    <n v="30"/>
    <n v="709"/>
    <s v="C2"/>
    <n v="709"/>
    <n v="30"/>
    <s v="Cam.A"/>
    <s v="QD.11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18"/>
    <s v="NEO771 I2X"/>
    <m/>
    <m/>
    <s v="C2"/>
    <s v="P1"/>
    <s v="BG"/>
    <n v="30"/>
    <n v="705"/>
    <s v="C2"/>
    <n v="705"/>
    <n v="30"/>
    <s v="Cam.A"/>
    <s v="QD.11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19"/>
    <s v="NEO771 I2X"/>
    <m/>
    <m/>
    <s v="C2"/>
    <s v="P1"/>
    <s v="BG"/>
    <n v="30"/>
    <n v="702"/>
    <s v="C2"/>
    <n v="702"/>
    <n v="30"/>
    <s v="Cam.A"/>
    <s v="QD.11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21"/>
    <s v="NEO771 I2X"/>
    <m/>
    <m/>
    <s v="C2"/>
    <s v="P1"/>
    <s v="BG"/>
    <n v="30"/>
    <n v="694"/>
    <s v="C2"/>
    <n v="694"/>
    <n v="30"/>
    <s v="Cam.A"/>
    <s v="QD.11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23"/>
    <s v="NEO771 I2X"/>
    <m/>
    <m/>
    <s v="C2"/>
    <s v="P1"/>
    <s v="BG"/>
    <n v="30"/>
    <n v="705"/>
    <s v="C2"/>
    <n v="705"/>
    <n v="30"/>
    <s v="Cam.A"/>
    <s v="QD.12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24"/>
    <s v="NEO771 I2X"/>
    <m/>
    <m/>
    <s v="C2"/>
    <s v="P1"/>
    <s v="BG"/>
    <n v="30"/>
    <n v="708"/>
    <s v="C2"/>
    <n v="708"/>
    <n v="30"/>
    <s v="Cam.A"/>
    <s v="QD.12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26"/>
    <s v="NEO771 I2X"/>
    <m/>
    <m/>
    <s v="C2"/>
    <s v="P1"/>
    <s v="BG"/>
    <n v="30"/>
    <n v="713"/>
    <s v="C2"/>
    <n v="713"/>
    <n v="30"/>
    <s v="Cam.A"/>
    <s v="QD.12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28"/>
    <s v="NEO771 I2X"/>
    <m/>
    <m/>
    <s v="C2"/>
    <s v="P1"/>
    <s v="BG"/>
    <n v="30"/>
    <n v="718"/>
    <s v="C2"/>
    <n v="718"/>
    <n v="30"/>
    <s v="Cam.A"/>
    <s v="QD.14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30"/>
    <s v="NEO771 I2X"/>
    <m/>
    <m/>
    <s v="C2"/>
    <s v="P1"/>
    <s v="BG"/>
    <n v="30"/>
    <n v="710"/>
    <s v="C2"/>
    <n v="710"/>
    <n v="30"/>
    <s v="Cam.A"/>
    <s v="QD.14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31"/>
    <s v="NEO771 I2X"/>
    <m/>
    <m/>
    <s v="C2"/>
    <s v="P1"/>
    <s v="BG"/>
    <n v="30"/>
    <n v="712"/>
    <s v="C2"/>
    <n v="712"/>
    <n v="30"/>
    <s v="Cam.A"/>
    <s v="QD.14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33"/>
    <s v="NEO771 I2X"/>
    <m/>
    <m/>
    <s v="C2"/>
    <s v="P1"/>
    <s v="BG"/>
    <n v="30"/>
    <n v="713"/>
    <s v="C2"/>
    <n v="713"/>
    <n v="30"/>
    <s v="Cam.A"/>
    <s v="QD.16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35"/>
    <s v="NEO771 I2X"/>
    <m/>
    <m/>
    <s v="C2"/>
    <s v="P1"/>
    <s v="BG"/>
    <n v="30"/>
    <n v="712"/>
    <s v="C2"/>
    <n v="712"/>
    <n v="30"/>
    <s v="Cam.A"/>
    <s v="QD.16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37"/>
    <s v="NEO771 I2X"/>
    <m/>
    <m/>
    <s v="C2"/>
    <s v="P1"/>
    <s v="BG"/>
    <n v="30"/>
    <n v="710"/>
    <s v="C2"/>
    <n v="710"/>
    <n v="30"/>
    <s v="Cam.A"/>
    <s v="QD.16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38"/>
    <s v="NEO771 I2X"/>
    <m/>
    <m/>
    <s v="C2"/>
    <s v="P1"/>
    <s v="BG"/>
    <n v="30"/>
    <n v="713"/>
    <s v="C2"/>
    <n v="713"/>
    <n v="30"/>
    <s v="Cam.A"/>
    <s v="QD.17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40"/>
    <s v="NEO771 I2X"/>
    <m/>
    <m/>
    <s v="C2"/>
    <s v="P1"/>
    <s v="BG"/>
    <n v="30"/>
    <n v="723"/>
    <s v="C2"/>
    <n v="723"/>
    <n v="30"/>
    <s v="Cam.A"/>
    <s v="QD.17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42"/>
    <s v="NEO771 I2X"/>
    <m/>
    <m/>
    <s v="C2"/>
    <s v="P1"/>
    <s v="BG"/>
    <n v="30"/>
    <n v="705"/>
    <s v="C2"/>
    <n v="705"/>
    <n v="30"/>
    <s v="Cam.A"/>
    <s v="QD.17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44"/>
    <s v="NEO771 I2X"/>
    <m/>
    <m/>
    <s v="C2"/>
    <s v="P1"/>
    <s v="BG"/>
    <n v="30"/>
    <n v="697"/>
    <s v="C2"/>
    <n v="697"/>
    <n v="30"/>
    <s v="Cam.A"/>
    <s v="QD.19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45"/>
    <s v="NEO771 I2X"/>
    <m/>
    <m/>
    <s v="C2"/>
    <s v="P1"/>
    <s v="BG"/>
    <n v="30"/>
    <n v="708"/>
    <s v="C2"/>
    <n v="708"/>
    <n v="30"/>
    <s v="Cam.A"/>
    <s v="QD.19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46"/>
    <s v="NEO771 I2X"/>
    <m/>
    <m/>
    <s v="C2"/>
    <s v="P1"/>
    <s v="BG"/>
    <n v="30"/>
    <n v="683"/>
    <s v="C2"/>
    <n v="683"/>
    <n v="30"/>
    <s v="Cam.A"/>
    <s v="QD.19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47"/>
    <s v="NEO771 I2X"/>
    <m/>
    <m/>
    <s v="C2"/>
    <s v="P1"/>
    <s v="BG"/>
    <n v="30"/>
    <n v="690"/>
    <s v="C2"/>
    <n v="690"/>
    <n v="30"/>
    <s v="Cam.A"/>
    <s v="QD.21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49"/>
    <s v="NEO771 I2X"/>
    <m/>
    <m/>
    <s v="C2"/>
    <s v="P1"/>
    <s v="BG"/>
    <n v="30"/>
    <n v="704"/>
    <s v="C2"/>
    <n v="704"/>
    <n v="30"/>
    <s v="Cam.A"/>
    <s v="QD.21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50"/>
    <s v="NEO771 I2X"/>
    <m/>
    <m/>
    <s v="C2"/>
    <s v="P1"/>
    <s v="BG"/>
    <n v="22"/>
    <n v="705"/>
    <s v="C2"/>
    <n v="705"/>
    <n v="22"/>
    <s v="Cam.A"/>
    <s v="QD.21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69"/>
    <s v="NEO771 I2X"/>
    <m/>
    <m/>
    <s v="C2"/>
    <s v="P1"/>
    <s v="BG"/>
    <n v="30"/>
    <n v="735"/>
    <s v="C2"/>
    <n v="735"/>
    <n v="30"/>
    <s v="Cam.A"/>
    <s v="QD.31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71"/>
    <s v="NEO771 I2X"/>
    <m/>
    <m/>
    <s v="C2"/>
    <s v="P1"/>
    <s v="BG"/>
    <n v="30"/>
    <n v="732"/>
    <s v="C2"/>
    <n v="732"/>
    <n v="30"/>
    <s v="Cam.A"/>
    <s v="QD.31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73"/>
    <s v="NEO771 I2X"/>
    <m/>
    <m/>
    <s v="C2"/>
    <s v="P1"/>
    <s v="BG"/>
    <n v="30"/>
    <n v="716"/>
    <s v="C2"/>
    <n v="716"/>
    <n v="30"/>
    <s v="Cam.A"/>
    <s v="QD.26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75"/>
    <s v="NEO771 I2X"/>
    <m/>
    <m/>
    <s v="C2"/>
    <s v="P1"/>
    <s v="BG"/>
    <n v="30"/>
    <n v="741"/>
    <s v="C2"/>
    <n v="741"/>
    <n v="30"/>
    <s v="Cam.A"/>
    <s v="QD.26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76"/>
    <s v="NEO771 I2X"/>
    <m/>
    <m/>
    <s v="C2"/>
    <s v="P1"/>
    <s v="BG"/>
    <n v="30"/>
    <n v="732"/>
    <s v="C2"/>
    <n v="732"/>
    <n v="30"/>
    <s v="Cam.A"/>
    <s v="QD.26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78"/>
    <s v="NEO771 I2X"/>
    <m/>
    <m/>
    <s v="C2"/>
    <s v="P1"/>
    <s v="BG"/>
    <n v="30"/>
    <n v="742"/>
    <s v="C2"/>
    <n v="742"/>
    <n v="30"/>
    <s v="Cam.A"/>
    <s v="QD.29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81"/>
    <s v="NEO771 I2X"/>
    <m/>
    <m/>
    <s v="C2"/>
    <s v="P1"/>
    <s v="BG"/>
    <n v="30"/>
    <n v="734"/>
    <s v="C2"/>
    <n v="734"/>
    <n v="30"/>
    <s v="Cam.A"/>
    <s v="QD.29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83"/>
    <s v="NEO771 I2X"/>
    <m/>
    <m/>
    <s v="C2"/>
    <s v="P1"/>
    <s v="BG"/>
    <n v="30"/>
    <n v="738"/>
    <s v="C2"/>
    <n v="738"/>
    <n v="30"/>
    <s v="Cam.A"/>
    <s v="QD.31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1185"/>
    <s v="NEO771 I2X"/>
    <m/>
    <m/>
    <s v="C2"/>
    <s v="P1"/>
    <s v="BG"/>
    <n v="24"/>
    <n v="743"/>
    <s v="C2"/>
    <n v="743"/>
    <n v="24"/>
    <s v="Cam.A"/>
    <s v="QD.29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045"/>
    <s v="NEO771 I2X"/>
    <m/>
    <m/>
    <s v="C2"/>
    <s v="P2"/>
    <s v="BG"/>
    <n v="30"/>
    <n v="834"/>
    <s v="C2"/>
    <n v="834"/>
    <n v="30"/>
    <s v="Cam.A"/>
    <s v="QD.01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047"/>
    <s v="NEO771 I2X"/>
    <m/>
    <m/>
    <s v="C2"/>
    <s v="P2"/>
    <s v="BG"/>
    <n v="30"/>
    <n v="856"/>
    <s v="C2"/>
    <n v="856"/>
    <n v="30"/>
    <s v="Cam.A"/>
    <s v="QD.01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049"/>
    <s v="NEO771 I2X"/>
    <m/>
    <m/>
    <s v="C2"/>
    <s v="P2"/>
    <s v="BG"/>
    <n v="30"/>
    <n v="872"/>
    <s v="C2"/>
    <n v="872"/>
    <n v="30"/>
    <s v="Cam.A"/>
    <s v="QD.01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051"/>
    <s v="NEO771 I2X"/>
    <m/>
    <m/>
    <s v="C2"/>
    <s v="P2"/>
    <s v="BG"/>
    <n v="30"/>
    <n v="876"/>
    <s v="C2"/>
    <n v="876"/>
    <n v="30"/>
    <s v="Cam.A"/>
    <s v="QD.01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053"/>
    <s v="NEO771 I2X"/>
    <m/>
    <m/>
    <s v="C2"/>
    <s v="P2"/>
    <s v="BG"/>
    <n v="30"/>
    <n v="852"/>
    <s v="C2"/>
    <n v="852"/>
    <n v="30"/>
    <s v="Cam.A"/>
    <s v="QD.03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055"/>
    <s v="NEO771 I2X"/>
    <m/>
    <m/>
    <s v="C2"/>
    <s v="P2"/>
    <s v="BG"/>
    <n v="30"/>
    <n v="854"/>
    <s v="C2"/>
    <n v="854"/>
    <n v="30"/>
    <s v="Cam.A"/>
    <s v="QD.03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057"/>
    <s v="NEO771 I2X"/>
    <m/>
    <m/>
    <s v="C2"/>
    <s v="P2"/>
    <s v="BG"/>
    <n v="30"/>
    <n v="883"/>
    <s v="C2"/>
    <n v="883"/>
    <n v="30"/>
    <s v="Cam.A"/>
    <s v="QD.03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059"/>
    <s v="NEO771 I2X"/>
    <m/>
    <m/>
    <s v="C2"/>
    <s v="P2"/>
    <s v="BG"/>
    <n v="30"/>
    <n v="868"/>
    <s v="C2"/>
    <n v="868"/>
    <n v="30"/>
    <s v="Cam.A"/>
    <s v="QD.05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092"/>
    <s v="NEO771 I2X"/>
    <m/>
    <m/>
    <s v="C2"/>
    <s v="P2"/>
    <s v="BG"/>
    <n v="30"/>
    <n v="881"/>
    <s v="C2"/>
    <n v="881"/>
    <n v="30"/>
    <s v="Cam.A"/>
    <s v="QD.03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095"/>
    <s v="NEO771 I2X"/>
    <m/>
    <m/>
    <s v="C2"/>
    <s v="P2"/>
    <s v="BG"/>
    <n v="30"/>
    <n v="862"/>
    <s v="C2"/>
    <n v="862"/>
    <n v="30"/>
    <s v="Cam.A"/>
    <s v="QD.05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097"/>
    <s v="NEO771 I2X"/>
    <m/>
    <m/>
    <s v="C2"/>
    <s v="P2"/>
    <s v="BG"/>
    <n v="30"/>
    <n v="896"/>
    <s v="C2"/>
    <n v="896"/>
    <n v="30"/>
    <s v="Cam.A"/>
    <s v="QD.05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099"/>
    <s v="NEO771 I2X"/>
    <m/>
    <m/>
    <s v="C2"/>
    <s v="P2"/>
    <s v="BG"/>
    <n v="30"/>
    <n v="904"/>
    <s v="C2"/>
    <n v="904"/>
    <n v="30"/>
    <s v="Cam.A"/>
    <s v="QD.08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02"/>
    <s v="NEO771 I2X"/>
    <m/>
    <m/>
    <s v="C2"/>
    <s v="P2"/>
    <s v="BG"/>
    <n v="30"/>
    <n v="882"/>
    <s v="C2"/>
    <n v="882"/>
    <n v="30"/>
    <s v="Cam.A"/>
    <s v="QD.05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04"/>
    <s v="NEO771 I2X"/>
    <m/>
    <m/>
    <s v="C2"/>
    <s v="P2"/>
    <s v="BG"/>
    <n v="30"/>
    <n v="882"/>
    <s v="C2"/>
    <n v="882"/>
    <n v="30"/>
    <s v="Cam.A"/>
    <s v="QD.08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06"/>
    <s v="NEO771 I2X"/>
    <m/>
    <m/>
    <s v="C2"/>
    <s v="P2"/>
    <s v="BG"/>
    <n v="30"/>
    <n v="904"/>
    <s v="C2"/>
    <n v="904"/>
    <n v="30"/>
    <s v="Cam.A"/>
    <s v="QD.08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08"/>
    <s v="NEO771 I2X"/>
    <m/>
    <m/>
    <s v="C2"/>
    <s v="P2"/>
    <s v="BG"/>
    <n v="30"/>
    <n v="897"/>
    <s v="C2"/>
    <n v="897"/>
    <n v="30"/>
    <s v="Cam.A"/>
    <s v="QD.08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10"/>
    <s v="NEO771 I2X"/>
    <m/>
    <m/>
    <s v="C2"/>
    <s v="P2"/>
    <s v="BG"/>
    <n v="30"/>
    <n v="876"/>
    <s v="C2"/>
    <n v="876"/>
    <n v="30"/>
    <s v="Cam.A"/>
    <s v="QD.10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12"/>
    <s v="NEO771 I2X"/>
    <m/>
    <m/>
    <s v="C2"/>
    <s v="P2"/>
    <s v="BG"/>
    <n v="30"/>
    <n v="866"/>
    <s v="C2"/>
    <n v="866"/>
    <n v="30"/>
    <s v="Cam.A"/>
    <s v="QD.10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15"/>
    <s v="NEO771 I2X"/>
    <m/>
    <m/>
    <s v="C2"/>
    <s v="P2"/>
    <s v="BG"/>
    <n v="30"/>
    <n v="876"/>
    <s v="C2"/>
    <n v="876"/>
    <n v="30"/>
    <s v="Cam.A"/>
    <s v="QD.10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17"/>
    <s v="NEO771 I2X"/>
    <m/>
    <m/>
    <s v="C2"/>
    <s v="P2"/>
    <s v="BG"/>
    <n v="30"/>
    <n v="884"/>
    <s v="C2"/>
    <n v="884"/>
    <n v="30"/>
    <s v="Cam.A"/>
    <s v="QD.10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20"/>
    <s v="NEO771 I2X"/>
    <m/>
    <m/>
    <s v="C2"/>
    <s v="P2"/>
    <s v="BG"/>
    <n v="30"/>
    <n v="832"/>
    <s v="C2"/>
    <n v="832"/>
    <n v="30"/>
    <s v="Cam.A"/>
    <s v="QD.13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22"/>
    <s v="NEO771 I2X"/>
    <m/>
    <m/>
    <s v="C2"/>
    <s v="P2"/>
    <s v="BG"/>
    <n v="30"/>
    <n v="848"/>
    <s v="C2"/>
    <n v="848"/>
    <n v="30"/>
    <s v="Cam.A"/>
    <s v="QD.13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25"/>
    <s v="NEO771 I2X"/>
    <m/>
    <m/>
    <s v="C2"/>
    <s v="P2"/>
    <s v="BG"/>
    <n v="30"/>
    <n v="877"/>
    <s v="C2"/>
    <n v="877"/>
    <n v="30"/>
    <s v="Cam.A"/>
    <s v="QD.13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27"/>
    <s v="NEO771 I2X"/>
    <m/>
    <m/>
    <s v="C2"/>
    <s v="P2"/>
    <s v="BG"/>
    <n v="30"/>
    <n v="892"/>
    <s v="C2"/>
    <n v="892"/>
    <n v="30"/>
    <s v="Cam.A"/>
    <s v="QD.15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29"/>
    <s v="NEO771 I2X"/>
    <m/>
    <m/>
    <s v="C2"/>
    <s v="P2"/>
    <s v="BG"/>
    <n v="30"/>
    <n v="883"/>
    <s v="C2"/>
    <n v="883"/>
    <n v="30"/>
    <s v="Cam.A"/>
    <s v="QD.15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32"/>
    <s v="NEO771 I2X"/>
    <m/>
    <m/>
    <s v="C2"/>
    <s v="P2"/>
    <s v="BG"/>
    <n v="30"/>
    <n v="883"/>
    <s v="C2"/>
    <n v="883"/>
    <n v="30"/>
    <s v="Cam.A"/>
    <s v="QD.15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34"/>
    <s v="NEO771 I2X"/>
    <m/>
    <m/>
    <s v="C2"/>
    <s v="P2"/>
    <s v="BG"/>
    <n v="30"/>
    <n v="867"/>
    <s v="C2"/>
    <n v="867"/>
    <n v="30"/>
    <s v="Cam.A"/>
    <s v="QD.18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36"/>
    <s v="NEO771 I2X"/>
    <m/>
    <m/>
    <s v="C2"/>
    <s v="P2"/>
    <s v="BG"/>
    <n v="30"/>
    <n v="852"/>
    <s v="C2"/>
    <n v="852"/>
    <n v="30"/>
    <s v="Cam.A"/>
    <s v="QD.18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39"/>
    <s v="NEO771 I2X"/>
    <m/>
    <m/>
    <s v="C2"/>
    <s v="P2"/>
    <s v="BG"/>
    <n v="30"/>
    <n v="879"/>
    <s v="C2"/>
    <n v="879"/>
    <n v="30"/>
    <s v="Cam.A"/>
    <s v="QD.20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41"/>
    <s v="NEO771 I2X"/>
    <m/>
    <m/>
    <s v="C2"/>
    <s v="P2"/>
    <s v="BG"/>
    <n v="30"/>
    <n v="861"/>
    <s v="C2"/>
    <n v="861"/>
    <n v="30"/>
    <s v="Cam.A"/>
    <s v="QD.18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43"/>
    <s v="NEO771 I2X"/>
    <m/>
    <m/>
    <s v="C2"/>
    <s v="P2"/>
    <s v="BG"/>
    <n v="30"/>
    <n v="853"/>
    <s v="C2"/>
    <n v="853"/>
    <n v="30"/>
    <s v="Cam.A"/>
    <s v="QD.20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48"/>
    <s v="NEO771 I2X"/>
    <m/>
    <m/>
    <s v="C2"/>
    <s v="P2"/>
    <s v="BG"/>
    <n v="26"/>
    <n v="820"/>
    <s v="C2"/>
    <n v="820"/>
    <n v="26"/>
    <s v="Cam.A"/>
    <s v="QD.20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70"/>
    <s v="NEO771 I2X"/>
    <m/>
    <m/>
    <s v="C2"/>
    <s v="P2"/>
    <s v="BG"/>
    <n v="30"/>
    <n v="878"/>
    <s v="C2"/>
    <n v="878"/>
    <n v="30"/>
    <s v="Cam.A"/>
    <s v="QD.28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72"/>
    <s v="NEO771 I2X"/>
    <m/>
    <m/>
    <s v="C2"/>
    <s v="P2"/>
    <s v="BG"/>
    <n v="30"/>
    <n v="859"/>
    <s v="C2"/>
    <n v="859"/>
    <n v="30"/>
    <s v="Cam.A"/>
    <s v="QD.28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74"/>
    <s v="NEO771 I2X"/>
    <m/>
    <m/>
    <s v="C2"/>
    <s v="P2"/>
    <s v="BG"/>
    <n v="30"/>
    <n v="879"/>
    <s v="C2"/>
    <n v="879"/>
    <n v="30"/>
    <s v="Cam.A"/>
    <s v="QD.27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77"/>
    <s v="NEO771 I2X"/>
    <m/>
    <m/>
    <s v="C2"/>
    <s v="P2"/>
    <s v="BG"/>
    <n v="30"/>
    <n v="872"/>
    <s v="C2"/>
    <n v="872"/>
    <n v="30"/>
    <s v="Cam.A"/>
    <s v="QD.27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79"/>
    <s v="NEO771 I2X"/>
    <m/>
    <m/>
    <s v="C2"/>
    <s v="P2"/>
    <s v="BG"/>
    <n v="30"/>
    <n v="876"/>
    <s v="C2"/>
    <n v="876"/>
    <n v="30"/>
    <s v="Cam.A"/>
    <s v="QD.27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80"/>
    <s v="NEO771 I2X"/>
    <m/>
    <m/>
    <s v="C2"/>
    <s v="P2"/>
    <s v="BG"/>
    <n v="30"/>
    <n v="872"/>
    <s v="C2"/>
    <n v="872"/>
    <n v="30"/>
    <s v="Cam.A"/>
    <s v="QD.28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82"/>
    <s v="NEO771 I2X"/>
    <m/>
    <m/>
    <s v="C2"/>
    <s v="P2"/>
    <s v="BG"/>
    <n v="30"/>
    <n v="871"/>
    <s v="C2"/>
    <n v="871"/>
    <n v="30"/>
    <s v="Cam.B"/>
    <s v="QD.17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40P2184"/>
    <s v="NEO771 I2X"/>
    <m/>
    <m/>
    <s v="C2"/>
    <s v="P2"/>
    <s v="BG"/>
    <n v="23"/>
    <n v="870"/>
    <s v="C2"/>
    <n v="870"/>
    <n v="23"/>
    <s v="Cam.B"/>
    <s v="QD.17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57P1282"/>
    <s v="NEO780 CE"/>
    <m/>
    <m/>
    <s v="C1"/>
    <s v="P1"/>
    <s v="BG"/>
    <n v="30"/>
    <n v="729"/>
    <s v="C1"/>
    <n v="729"/>
    <n v="30"/>
    <s v="Cam.B"/>
    <s v="QD.30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57P1285"/>
    <s v="NEO780 CE"/>
    <m/>
    <m/>
    <s v="C1"/>
    <s v="P1"/>
    <s v="BG"/>
    <n v="30"/>
    <n v="760"/>
    <s v="C1"/>
    <n v="760"/>
    <n v="30"/>
    <s v="Cam.B"/>
    <s v="QD.30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57P1286"/>
    <s v="NEO780 CE"/>
    <m/>
    <m/>
    <s v="C1"/>
    <s v="P1"/>
    <s v="BG"/>
    <n v="30"/>
    <n v="740"/>
    <s v="C1"/>
    <n v="740"/>
    <n v="30"/>
    <s v="Cam.B"/>
    <s v="QD.30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57P1288"/>
    <s v="NEO780 CE"/>
    <m/>
    <m/>
    <s v="C1"/>
    <s v="P1"/>
    <s v="BG"/>
    <n v="6"/>
    <n v="733"/>
    <s v="C1"/>
    <n v="733"/>
    <n v="6"/>
    <s v="Cam.B"/>
    <s v="CORREDOR"/>
    <s v="(vazio)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57P2283"/>
    <s v="NEO780 CE"/>
    <m/>
    <m/>
    <s v="C1"/>
    <s v="P2"/>
    <s v="BG"/>
    <n v="30"/>
    <n v="929"/>
    <s v="C1"/>
    <n v="929"/>
    <n v="30"/>
    <s v="Cam.B"/>
    <s v="QD.31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57P2284"/>
    <s v="NEO780 CE"/>
    <m/>
    <m/>
    <s v="C1"/>
    <s v="P2"/>
    <s v="BG"/>
    <n v="30"/>
    <n v="913"/>
    <s v="C1"/>
    <n v="913"/>
    <n v="30"/>
    <s v="Cam.B"/>
    <s v="QD.29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57P2287"/>
    <s v="NEO780 CE"/>
    <m/>
    <m/>
    <s v="C1"/>
    <s v="P2"/>
    <s v="BG"/>
    <n v="30"/>
    <n v="900"/>
    <s v="C1"/>
    <n v="900"/>
    <n v="30"/>
    <s v="Cam.B"/>
    <s v="QD.29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4P1290"/>
    <s v="NEO791 CE"/>
    <m/>
    <m/>
    <s v="C1"/>
    <s v="P1"/>
    <s v="BG"/>
    <n v="30"/>
    <n v="583"/>
    <s v="C1"/>
    <n v="583"/>
    <n v="30"/>
    <s v="Cam.B"/>
    <s v="QD.20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4P1294"/>
    <s v="NEO791 CE"/>
    <m/>
    <m/>
    <s v="C1"/>
    <s v="P1"/>
    <s v="BG"/>
    <n v="30"/>
    <n v="544"/>
    <s v="C1"/>
    <n v="544"/>
    <n v="30"/>
    <s v="Cam.B"/>
    <s v="QD.20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4P1299"/>
    <s v="NEO791 CE"/>
    <m/>
    <m/>
    <s v="C1"/>
    <s v="P1"/>
    <s v="BG"/>
    <n v="9"/>
    <n v="553"/>
    <s v="C1"/>
    <n v="553"/>
    <n v="9"/>
    <s v="Cam.B"/>
    <s v="CORREDOR"/>
    <s v="(vazio)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4P2289"/>
    <s v="NEO791 CE"/>
    <m/>
    <m/>
    <s v="C1"/>
    <s v="P2"/>
    <s v="BG"/>
    <n v="30"/>
    <n v="712"/>
    <s v="C1"/>
    <n v="712"/>
    <n v="30"/>
    <s v="Cam.B"/>
    <s v="QD.18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4P2291"/>
    <s v="NEO791 CE"/>
    <m/>
    <m/>
    <s v="C1"/>
    <s v="P2"/>
    <s v="BG"/>
    <n v="30"/>
    <n v="720"/>
    <s v="C1"/>
    <n v="720"/>
    <n v="30"/>
    <s v="Cam.B"/>
    <s v="QD.18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4P2292"/>
    <s v="NEO791 CE"/>
    <m/>
    <m/>
    <s v="C1"/>
    <s v="P2"/>
    <s v="BG"/>
    <n v="30"/>
    <n v="770"/>
    <s v="C1"/>
    <n v="770"/>
    <n v="30"/>
    <s v="Cam.B"/>
    <s v="QD.18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4P2293"/>
    <s v="NEO791 CE"/>
    <m/>
    <m/>
    <s v="C1"/>
    <s v="P2"/>
    <s v="BG"/>
    <n v="30"/>
    <n v="718"/>
    <s v="C1"/>
    <n v="718"/>
    <n v="30"/>
    <s v="Cam.B"/>
    <s v="QD.18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4P2295"/>
    <s v="NEO791 CE"/>
    <m/>
    <m/>
    <s v="C1"/>
    <s v="P2"/>
    <s v="BG"/>
    <n v="30"/>
    <n v="720"/>
    <s v="C1"/>
    <n v="720"/>
    <n v="30"/>
    <s v="Cam.B"/>
    <s v="QD.19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4P2296"/>
    <s v="NEO791 CE"/>
    <m/>
    <m/>
    <s v="C1"/>
    <s v="P2"/>
    <s v="BG"/>
    <n v="30"/>
    <n v="717"/>
    <s v="C1"/>
    <n v="717"/>
    <n v="30"/>
    <s v="Cam.B"/>
    <s v="QD.19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4P2297"/>
    <s v="NEO791 CE"/>
    <m/>
    <m/>
    <s v="C1"/>
    <s v="P2"/>
    <s v="BG"/>
    <n v="30"/>
    <n v="725"/>
    <s v="C1"/>
    <n v="725"/>
    <n v="30"/>
    <s v="Cam.B"/>
    <s v="QD.19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64P2298"/>
    <s v="NEO791 CE"/>
    <m/>
    <m/>
    <s v="C1"/>
    <s v="P2"/>
    <s v="BG"/>
    <n v="18"/>
    <n v="723"/>
    <s v="C1"/>
    <n v="723"/>
    <n v="18"/>
    <s v="Cam.B"/>
    <s v="CORREDOR"/>
    <s v="(vazio)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187"/>
    <s v="O790 IPRO"/>
    <m/>
    <m/>
    <s v="S1"/>
    <s v="P1"/>
    <s v="BG"/>
    <n v="30"/>
    <n v="765"/>
    <s v="S1"/>
    <n v="765"/>
    <n v="30"/>
    <s v="Cam.B"/>
    <s v="QD.16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188"/>
    <s v="O790 IPRO"/>
    <m/>
    <m/>
    <s v="S1"/>
    <s v="P1"/>
    <s v="BG"/>
    <n v="30"/>
    <n v="771"/>
    <s v="S1"/>
    <n v="771"/>
    <n v="30"/>
    <s v="Cam.B"/>
    <s v="QD.16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190"/>
    <s v="O790 IPRO"/>
    <m/>
    <m/>
    <s v="S1"/>
    <s v="P1"/>
    <s v="BG"/>
    <n v="30"/>
    <n v="780"/>
    <s v="S1"/>
    <n v="780"/>
    <n v="30"/>
    <s v="Cam.B"/>
    <s v="QD.17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191"/>
    <s v="O790 IPRO"/>
    <m/>
    <m/>
    <s v="S1"/>
    <s v="P1"/>
    <s v="BG"/>
    <n v="10"/>
    <n v="767"/>
    <s v="S1"/>
    <n v="767"/>
    <n v="10"/>
    <s v="Cam.B"/>
    <s v="CORREDOR"/>
    <s v="(vazio)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194"/>
    <s v="O790 IPRO"/>
    <m/>
    <m/>
    <s v="S1"/>
    <s v="P1"/>
    <s v="BG"/>
    <n v="30"/>
    <n v="695"/>
    <s v="S1"/>
    <n v="695"/>
    <n v="30"/>
    <s v="Cam.B"/>
    <s v="QD.16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196"/>
    <s v="O790 IPRO"/>
    <m/>
    <m/>
    <s v="S1"/>
    <s v="P1"/>
    <s v="BG"/>
    <n v="30"/>
    <n v="694"/>
    <s v="S1"/>
    <n v="694"/>
    <n v="30"/>
    <s v="Cam.B"/>
    <s v="QD.13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200"/>
    <s v="O790 IPRO"/>
    <m/>
    <m/>
    <s v="S1"/>
    <s v="P1"/>
    <s v="BG"/>
    <n v="30"/>
    <n v="696"/>
    <s v="S1"/>
    <n v="696"/>
    <n v="30"/>
    <s v="Cam.B"/>
    <s v="QD.13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203"/>
    <s v="O790 IPRO"/>
    <m/>
    <m/>
    <s v="S1"/>
    <s v="P1"/>
    <s v="BG"/>
    <n v="30"/>
    <n v="711"/>
    <s v="S1"/>
    <n v="711"/>
    <n v="30"/>
    <s v="Cam.B"/>
    <s v="QD.41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238"/>
    <s v="O790 IPRO"/>
    <m/>
    <m/>
    <s v="S1"/>
    <s v="P1"/>
    <s v="BG"/>
    <n v="30"/>
    <n v="706"/>
    <s v="S1"/>
    <n v="706"/>
    <n v="30"/>
    <s v="Cam.B"/>
    <s v="QD.41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240"/>
    <s v="O790 IPRO"/>
    <m/>
    <m/>
    <s v="S1"/>
    <s v="P1"/>
    <s v="BG"/>
    <n v="30"/>
    <n v="705"/>
    <s v="S1"/>
    <n v="705"/>
    <n v="30"/>
    <s v="Cam.B"/>
    <s v="QD.41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242"/>
    <s v="O790 IPRO"/>
    <m/>
    <m/>
    <s v="S1"/>
    <s v="P1"/>
    <s v="BG"/>
    <n v="30"/>
    <n v="705"/>
    <s v="S1"/>
    <n v="705"/>
    <n v="30"/>
    <s v="Cam.B"/>
    <s v="QD.41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245"/>
    <s v="O790 IPRO"/>
    <m/>
    <m/>
    <s v="S1"/>
    <s v="P1"/>
    <s v="BG"/>
    <n v="30"/>
    <n v="711"/>
    <s v="S1"/>
    <n v="711"/>
    <n v="30"/>
    <s v="Cam.B"/>
    <s v="QD.36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248"/>
    <s v="O790 IPRO"/>
    <m/>
    <m/>
    <s v="S1"/>
    <s v="P1"/>
    <s v="BG"/>
    <n v="30"/>
    <n v="707"/>
    <s v="S1"/>
    <n v="707"/>
    <n v="30"/>
    <s v="Cam.B"/>
    <s v="QD.36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251"/>
    <s v="O790 IPRO"/>
    <m/>
    <m/>
    <s v="S1"/>
    <s v="P1"/>
    <s v="BG"/>
    <n v="30"/>
    <n v="701"/>
    <s v="S1"/>
    <n v="701"/>
    <n v="30"/>
    <s v="Cam.B"/>
    <s v="QD.36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253"/>
    <s v="O790 IPRO"/>
    <m/>
    <m/>
    <s v="S1"/>
    <s v="P1"/>
    <s v="BG"/>
    <n v="30"/>
    <n v="700"/>
    <s v="S1"/>
    <n v="700"/>
    <n v="30"/>
    <s v="Cam.B"/>
    <s v="QD.36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256"/>
    <s v="O790 IPRO"/>
    <m/>
    <m/>
    <s v="S1"/>
    <s v="P1"/>
    <s v="BG"/>
    <n v="30"/>
    <n v="708"/>
    <s v="S1"/>
    <n v="708"/>
    <n v="30"/>
    <s v="Cam.B"/>
    <s v="QD.34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259"/>
    <s v="O790 IPRO"/>
    <m/>
    <m/>
    <s v="S1"/>
    <s v="P1"/>
    <s v="BG"/>
    <n v="30"/>
    <n v="702"/>
    <s v="S1"/>
    <n v="702"/>
    <n v="30"/>
    <s v="Cam.B"/>
    <s v="QD.34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261"/>
    <s v="O790 IPRO"/>
    <m/>
    <m/>
    <s v="S1"/>
    <s v="P1"/>
    <s v="BG"/>
    <n v="30"/>
    <n v="692"/>
    <s v="S1"/>
    <n v="692"/>
    <n v="30"/>
    <s v="Cam.B"/>
    <s v="QD.34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263"/>
    <s v="O790 IPRO"/>
    <m/>
    <m/>
    <s v="S1"/>
    <s v="P1"/>
    <s v="BG"/>
    <n v="30"/>
    <n v="705"/>
    <s v="S1"/>
    <n v="705"/>
    <n v="30"/>
    <s v="Cam.B"/>
    <s v="QD.34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266"/>
    <s v="O790 IPRO"/>
    <m/>
    <m/>
    <s v="S1"/>
    <s v="P1"/>
    <s v="BG"/>
    <n v="29"/>
    <n v="710"/>
    <s v="S1"/>
    <n v="710"/>
    <n v="29"/>
    <s v="Cam.B"/>
    <s v="QD.21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301"/>
    <s v="O790 IPRO"/>
    <m/>
    <m/>
    <s v="S1"/>
    <s v="P1"/>
    <s v="BG"/>
    <n v="30"/>
    <n v="702"/>
    <s v="S1"/>
    <n v="702"/>
    <n v="30"/>
    <s v="Cam.B"/>
    <s v="QD.19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1304"/>
    <s v="O790 IPRO"/>
    <m/>
    <m/>
    <s v="S1"/>
    <s v="P1"/>
    <s v="BG"/>
    <n v="8"/>
    <n v="715"/>
    <s v="S1"/>
    <n v="715"/>
    <n v="8"/>
    <s v="Cam.B"/>
    <s v="CORREDOR"/>
    <s v="(vazio)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186"/>
    <s v="O790 IPRO"/>
    <m/>
    <m/>
    <s v="S1"/>
    <s v="P2"/>
    <s v="BG"/>
    <n v="27"/>
    <n v="954"/>
    <s v="S1"/>
    <n v="954"/>
    <n v="27"/>
    <s v="Cam.B"/>
    <s v="QD.15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189"/>
    <s v="O790 IPRO"/>
    <m/>
    <m/>
    <s v="S1"/>
    <s v="P2"/>
    <s v="BG"/>
    <n v="27"/>
    <n v="972"/>
    <s v="S1"/>
    <n v="972"/>
    <n v="27"/>
    <s v="Cam.B"/>
    <s v="QD.15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192"/>
    <s v="O790 IPRO"/>
    <m/>
    <m/>
    <s v="S1"/>
    <s v="P2"/>
    <s v="BG"/>
    <n v="6"/>
    <n v="941"/>
    <s v="S1"/>
    <n v="941"/>
    <n v="6"/>
    <s v="Cam.B"/>
    <s v="CORREDOR"/>
    <s v="(vazio)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193"/>
    <s v="O790 IPRO"/>
    <m/>
    <m/>
    <s v="S1"/>
    <s v="P2"/>
    <s v="BG"/>
    <n v="30"/>
    <n v="895"/>
    <s v="S1"/>
    <n v="895"/>
    <n v="30"/>
    <s v="Cam.B"/>
    <s v="QD.14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195"/>
    <s v="O790 IPRO"/>
    <m/>
    <m/>
    <s v="S1"/>
    <s v="P2"/>
    <s v="BG"/>
    <n v="30"/>
    <n v="879"/>
    <s v="S1"/>
    <n v="879"/>
    <n v="30"/>
    <s v="Cam.B"/>
    <s v="QD.14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197"/>
    <s v="O790 IPRO"/>
    <m/>
    <m/>
    <s v="S1"/>
    <s v="P2"/>
    <s v="BG"/>
    <n v="30"/>
    <n v="882"/>
    <s v="S1"/>
    <n v="882"/>
    <n v="30"/>
    <s v="Cam.A"/>
    <s v="QD.30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198"/>
    <s v="O790 IPRO"/>
    <m/>
    <m/>
    <s v="S1"/>
    <s v="P2"/>
    <s v="BG"/>
    <n v="27"/>
    <n v="921"/>
    <s v="S1"/>
    <n v="921"/>
    <n v="27"/>
    <s v="Cam.B"/>
    <s v="QD.15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199"/>
    <s v="O790 IPRO"/>
    <m/>
    <m/>
    <s v="S1"/>
    <s v="P2"/>
    <s v="BG"/>
    <n v="30"/>
    <n v="898"/>
    <s v="S1"/>
    <n v="898"/>
    <n v="30"/>
    <s v="Cam.B"/>
    <s v="QD.14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01"/>
    <s v="O790 IPRO"/>
    <m/>
    <m/>
    <s v="S1"/>
    <s v="P2"/>
    <s v="BG"/>
    <n v="30"/>
    <n v="904"/>
    <s v="S1"/>
    <n v="904"/>
    <n v="30"/>
    <s v="Cam.B"/>
    <s v="QD.12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02"/>
    <s v="O790 IPRO"/>
    <m/>
    <m/>
    <s v="S1"/>
    <s v="P2"/>
    <s v="BG"/>
    <n v="30"/>
    <n v="909"/>
    <s v="S1"/>
    <n v="909"/>
    <n v="30"/>
    <s v="Cam.B"/>
    <s v="QD.12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37"/>
    <s v="O790 IPRO"/>
    <m/>
    <m/>
    <s v="S1"/>
    <s v="P2"/>
    <s v="BG"/>
    <n v="30"/>
    <n v="900"/>
    <s v="S1"/>
    <n v="900"/>
    <n v="30"/>
    <s v="Cam.B"/>
    <s v="QD.42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39"/>
    <s v="O790 IPRO"/>
    <m/>
    <m/>
    <s v="S1"/>
    <s v="P2"/>
    <s v="BG"/>
    <n v="30"/>
    <n v="898"/>
    <s v="S1"/>
    <n v="898"/>
    <n v="30"/>
    <s v="Cam.B"/>
    <s v="QD.42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41"/>
    <s v="O790 IPRO"/>
    <m/>
    <m/>
    <s v="S1"/>
    <s v="P2"/>
    <s v="BG"/>
    <n v="27"/>
    <n v="927"/>
    <s v="S1"/>
    <n v="927"/>
    <n v="27"/>
    <s v="Cam.B"/>
    <s v="QD.42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43"/>
    <s v="O790 IPRO"/>
    <m/>
    <m/>
    <s v="S1"/>
    <s v="P2"/>
    <s v="BG"/>
    <n v="30"/>
    <n v="904"/>
    <s v="S1"/>
    <n v="904"/>
    <n v="30"/>
    <s v="Cam.B"/>
    <s v="QD.42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44"/>
    <s v="O790 IPRO"/>
    <m/>
    <m/>
    <s v="S1"/>
    <s v="P2"/>
    <s v="BG"/>
    <n v="27"/>
    <n v="910"/>
    <s v="S1"/>
    <n v="910"/>
    <n v="27"/>
    <s v="Cam.B"/>
    <s v="QD.37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46"/>
    <s v="O790 IPRO"/>
    <m/>
    <m/>
    <s v="S1"/>
    <s v="P2"/>
    <s v="BG"/>
    <n v="30"/>
    <n v="902"/>
    <s v="S1"/>
    <n v="902"/>
    <n v="30"/>
    <s v="Cam.B"/>
    <s v="QD.37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47"/>
    <s v="O790 IPRO"/>
    <m/>
    <m/>
    <s v="S1"/>
    <s v="P2"/>
    <s v="BG"/>
    <n v="30"/>
    <n v="899"/>
    <s v="S1"/>
    <n v="899"/>
    <n v="30"/>
    <s v="Cam.B"/>
    <s v="QD.12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49"/>
    <s v="O790 IPRO"/>
    <m/>
    <m/>
    <s v="S1"/>
    <s v="P2"/>
    <s v="BG"/>
    <n v="27"/>
    <n v="917"/>
    <s v="S1"/>
    <n v="917"/>
    <n v="27"/>
    <s v="Cam.B"/>
    <s v="QD.37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50"/>
    <s v="O790 IPRO"/>
    <m/>
    <m/>
    <s v="S1"/>
    <s v="P2"/>
    <s v="BG"/>
    <n v="30"/>
    <n v="909"/>
    <s v="S1"/>
    <n v="909"/>
    <n v="30"/>
    <s v="Cam.B"/>
    <s v="QD.40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52"/>
    <s v="O790 IPRO"/>
    <m/>
    <m/>
    <s v="S1"/>
    <s v="P2"/>
    <s v="BG"/>
    <n v="30"/>
    <n v="887"/>
    <s v="S1"/>
    <n v="887"/>
    <n v="30"/>
    <s v="Cam.B"/>
    <s v="QD.37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54"/>
    <s v="O790 IPRO"/>
    <m/>
    <m/>
    <s v="S1"/>
    <s v="P2"/>
    <s v="BG"/>
    <n v="30"/>
    <n v="904"/>
    <s v="S1"/>
    <n v="904"/>
    <n v="30"/>
    <s v="Cam.B"/>
    <s v="QD.35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55"/>
    <s v="O790 IPRO"/>
    <m/>
    <m/>
    <s v="S1"/>
    <s v="P2"/>
    <s v="BG"/>
    <n v="27"/>
    <n v="920"/>
    <s v="S1"/>
    <n v="920"/>
    <n v="27"/>
    <s v="Cam.B"/>
    <s v="QD.35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57"/>
    <s v="O790 IPRO"/>
    <m/>
    <m/>
    <s v="S1"/>
    <s v="P2"/>
    <s v="BG"/>
    <n v="30"/>
    <n v="894"/>
    <s v="S1"/>
    <n v="894"/>
    <n v="30"/>
    <s v="Cam.B"/>
    <s v="QD.35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58"/>
    <s v="O790 IPRO"/>
    <m/>
    <m/>
    <s v="S1"/>
    <s v="P2"/>
    <s v="BG"/>
    <n v="30"/>
    <n v="903"/>
    <s v="S1"/>
    <n v="903"/>
    <n v="30"/>
    <s v="Cam.B"/>
    <s v="QD.35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60"/>
    <s v="O790 IPRO"/>
    <m/>
    <m/>
    <s v="S1"/>
    <s v="P2"/>
    <s v="BG"/>
    <n v="27"/>
    <n v="918"/>
    <s v="S1"/>
    <n v="918"/>
    <n v="27"/>
    <s v="Cam.B"/>
    <s v="QD.33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62"/>
    <s v="O790 IPRO"/>
    <m/>
    <m/>
    <s v="S1"/>
    <s v="P2"/>
    <s v="BG"/>
    <n v="30"/>
    <n v="884"/>
    <s v="S1"/>
    <n v="884"/>
    <n v="30"/>
    <s v="Cam.B"/>
    <s v="QD.33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64"/>
    <s v="O790 IPRO"/>
    <m/>
    <m/>
    <s v="S1"/>
    <s v="P2"/>
    <s v="BG"/>
    <n v="30"/>
    <n v="901"/>
    <s v="S1"/>
    <n v="901"/>
    <n v="30"/>
    <s v="Cam.B"/>
    <s v="QD.33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65"/>
    <s v="O790 IPRO"/>
    <m/>
    <m/>
    <s v="S1"/>
    <s v="P2"/>
    <s v="BG"/>
    <n v="30"/>
    <n v="896"/>
    <s v="S1"/>
    <n v="896"/>
    <n v="30"/>
    <s v="Cam.B"/>
    <s v="QD.33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267"/>
    <s v="O790 IPRO"/>
    <m/>
    <m/>
    <s v="S1"/>
    <s v="P2"/>
    <s v="BG"/>
    <n v="24"/>
    <n v="925"/>
    <s v="S1"/>
    <n v="925"/>
    <n v="24"/>
    <s v="Cam.B"/>
    <s v="QD.29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300"/>
    <s v="O790 IPRO"/>
    <m/>
    <m/>
    <s v="S1"/>
    <s v="P2"/>
    <s v="BG"/>
    <n v="30"/>
    <n v="906"/>
    <s v="S1"/>
    <n v="906"/>
    <n v="30"/>
    <s v="Cam.B"/>
    <s v="QD.20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302"/>
    <s v="O790 IPRO"/>
    <m/>
    <m/>
    <s v="S1"/>
    <s v="P2"/>
    <s v="BG"/>
    <n v="27"/>
    <n v="936"/>
    <s v="S1"/>
    <n v="936"/>
    <n v="27"/>
    <s v="Cam.B"/>
    <s v="QD.20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714P2303"/>
    <s v="O790 IPRO"/>
    <m/>
    <m/>
    <s v="S1"/>
    <s v="P2"/>
    <s v="BG"/>
    <n v="14"/>
    <n v="920"/>
    <s v="S1"/>
    <n v="920"/>
    <n v="14"/>
    <s v="Cam.B"/>
    <s v="CORREDOR"/>
    <s v="(vazio)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204"/>
    <s v="O800 I2X"/>
    <m/>
    <m/>
    <s v="S1"/>
    <s v="P1"/>
    <s v="BG"/>
    <n v="30"/>
    <n v="697"/>
    <s v="S1"/>
    <n v="697"/>
    <n v="30"/>
    <s v="Cam.B"/>
    <s v="QD.28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206"/>
    <s v="O800 I2X"/>
    <m/>
    <m/>
    <s v="S1"/>
    <s v="P1"/>
    <s v="BG"/>
    <n v="30"/>
    <n v="680"/>
    <s v="S1"/>
    <n v="680"/>
    <n v="30"/>
    <s v="Cam.B"/>
    <s v="QD.28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208"/>
    <s v="O800 I2X"/>
    <m/>
    <m/>
    <s v="S1"/>
    <s v="P1"/>
    <s v="BG"/>
    <n v="30"/>
    <n v="677"/>
    <s v="S1"/>
    <n v="677"/>
    <n v="30"/>
    <s v="Cam.B"/>
    <s v="QD.28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209"/>
    <s v="O800 I2X"/>
    <m/>
    <m/>
    <s v="S1"/>
    <s v="P1"/>
    <s v="BG"/>
    <n v="30"/>
    <n v="690"/>
    <s v="S1"/>
    <n v="690"/>
    <n v="30"/>
    <s v="Cam.B"/>
    <s v="QD.27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211"/>
    <s v="O800 I2X"/>
    <m/>
    <m/>
    <s v="S1"/>
    <s v="P1"/>
    <s v="BG"/>
    <n v="30"/>
    <n v="674"/>
    <s v="S1"/>
    <n v="674"/>
    <n v="30"/>
    <s v="Cam.B"/>
    <s v="QD.27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212"/>
    <s v="O800 I2X"/>
    <m/>
    <m/>
    <s v="S1"/>
    <s v="P1"/>
    <s v="BG"/>
    <n v="30"/>
    <n v="639"/>
    <s v="S1"/>
    <n v="639"/>
    <n v="30"/>
    <s v="Cam.B"/>
    <s v="QD.27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268"/>
    <s v="O800 I2X"/>
    <m/>
    <m/>
    <s v="S1"/>
    <s v="P1"/>
    <s v="BG"/>
    <n v="30"/>
    <n v="629"/>
    <s v="S1"/>
    <n v="629"/>
    <n v="30"/>
    <s v="Cam.B"/>
    <s v="QD.22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270"/>
    <s v="O800 I2X"/>
    <m/>
    <m/>
    <s v="S1"/>
    <s v="P1"/>
    <s v="BG"/>
    <n v="30"/>
    <n v="651"/>
    <s v="S1"/>
    <n v="651"/>
    <n v="30"/>
    <s v="Cam.B"/>
    <s v="QD.22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272"/>
    <s v="O800 I2X"/>
    <m/>
    <m/>
    <s v="S1"/>
    <s v="P1"/>
    <s v="BG"/>
    <n v="30"/>
    <n v="628"/>
    <s v="S1"/>
    <n v="628"/>
    <n v="30"/>
    <s v="Cam.B"/>
    <s v="QD.21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274"/>
    <s v="O800 I2X"/>
    <m/>
    <m/>
    <s v="S1"/>
    <s v="P1"/>
    <s v="BG"/>
    <n v="30"/>
    <n v="649"/>
    <s v="S1"/>
    <n v="649"/>
    <n v="30"/>
    <s v="Cam.B"/>
    <s v="QD.22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276"/>
    <s v="O800 I2X"/>
    <m/>
    <m/>
    <s v="S1"/>
    <s v="P1"/>
    <s v="BG"/>
    <n v="30"/>
    <n v="664"/>
    <s v="S1"/>
    <n v="664"/>
    <n v="30"/>
    <s v="Cam.B"/>
    <s v="QD.21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278"/>
    <s v="O800 I2X"/>
    <m/>
    <m/>
    <s v="S1"/>
    <s v="P1"/>
    <s v="BG"/>
    <n v="30"/>
    <n v="645"/>
    <s v="S1"/>
    <n v="645"/>
    <n v="30"/>
    <s v="Cam.B"/>
    <s v="QD.21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281"/>
    <s v="O800 I2X"/>
    <m/>
    <m/>
    <s v="S1"/>
    <s v="P1"/>
    <s v="BG"/>
    <n v="30"/>
    <n v="652"/>
    <s v="S1"/>
    <n v="652"/>
    <n v="30"/>
    <s v="Cam.B"/>
    <s v="QD.08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306"/>
    <s v="O800 I2X"/>
    <m/>
    <m/>
    <s v="S1"/>
    <s v="P1"/>
    <s v="BG"/>
    <n v="30"/>
    <n v="660"/>
    <s v="S1"/>
    <n v="660"/>
    <n v="30"/>
    <s v="Cam.B"/>
    <s v="QD.08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308"/>
    <s v="O800 I2X"/>
    <m/>
    <m/>
    <s v="S1"/>
    <s v="P1"/>
    <s v="BG"/>
    <n v="30"/>
    <n v="645"/>
    <s v="S1"/>
    <n v="645"/>
    <n v="30"/>
    <s v="Cam.B"/>
    <s v="QD.08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311"/>
    <s v="O800 I2X"/>
    <m/>
    <m/>
    <s v="S1"/>
    <s v="P1"/>
    <s v="BG"/>
    <n v="30"/>
    <n v="628"/>
    <s v="S1"/>
    <n v="628"/>
    <n v="30"/>
    <s v="Cam.C"/>
    <s v="QD.12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312"/>
    <s v="O800 I2X"/>
    <m/>
    <m/>
    <s v="S1"/>
    <s v="P1"/>
    <s v="BG"/>
    <n v="30"/>
    <n v="635"/>
    <s v="S1"/>
    <n v="635"/>
    <n v="30"/>
    <s v="Cam.C"/>
    <s v="QD.12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315"/>
    <s v="O800 I2X"/>
    <m/>
    <m/>
    <s v="S1"/>
    <s v="P1"/>
    <s v="BG"/>
    <n v="30"/>
    <n v="648"/>
    <s v="S1"/>
    <n v="648"/>
    <n v="30"/>
    <s v="Cam.C"/>
    <s v="QD.12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317"/>
    <s v="O800 I2X"/>
    <m/>
    <m/>
    <s v="S1"/>
    <s v="P1"/>
    <s v="BG"/>
    <n v="30"/>
    <n v="641"/>
    <s v="S1"/>
    <n v="641"/>
    <n v="30"/>
    <s v="Cam.C"/>
    <s v="QD.21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1320"/>
    <s v="O800 I2X"/>
    <m/>
    <m/>
    <s v="S1"/>
    <s v="P1"/>
    <s v="BG"/>
    <n v="10"/>
    <n v="652"/>
    <s v="S1"/>
    <n v="652"/>
    <n v="10"/>
    <s v="Cam.B"/>
    <s v="CORREDOR"/>
    <s v="(vazio)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205"/>
    <s v="O800 I2X"/>
    <m/>
    <m/>
    <s v="S1"/>
    <s v="P2"/>
    <s v="BG"/>
    <n v="30"/>
    <n v="854"/>
    <s v="S1"/>
    <n v="854"/>
    <n v="30"/>
    <s v="Cam.B"/>
    <s v="QD.25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207"/>
    <s v="O800 I2X"/>
    <m/>
    <m/>
    <s v="S1"/>
    <s v="P2"/>
    <s v="BG"/>
    <n v="30"/>
    <n v="838"/>
    <s v="S1"/>
    <n v="838"/>
    <n v="30"/>
    <s v="Cam.B"/>
    <s v="QD.25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210"/>
    <s v="O800 I2X"/>
    <m/>
    <m/>
    <s v="S1"/>
    <s v="P2"/>
    <s v="BG"/>
    <n v="30"/>
    <n v="822"/>
    <s v="S1"/>
    <n v="822"/>
    <n v="30"/>
    <s v="Cam.B"/>
    <s v="QD.25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213"/>
    <s v="O800 I2X"/>
    <m/>
    <m/>
    <s v="S1"/>
    <s v="P2"/>
    <s v="BG"/>
    <n v="10"/>
    <n v="832"/>
    <s v="S1"/>
    <n v="832"/>
    <n v="10"/>
    <s v="Cam.B"/>
    <s v="CORREDOR"/>
    <s v="(vazio)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269"/>
    <s v="O800 I2X"/>
    <m/>
    <m/>
    <s v="S1"/>
    <s v="P2"/>
    <s v="BG"/>
    <n v="30"/>
    <n v="814"/>
    <s v="S1"/>
    <n v="814"/>
    <n v="30"/>
    <s v="Cam.B"/>
    <s v="QD.32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271"/>
    <s v="O800 I2X"/>
    <m/>
    <m/>
    <s v="S1"/>
    <s v="P2"/>
    <s v="BG"/>
    <n v="30"/>
    <n v="834"/>
    <s v="S1"/>
    <n v="834"/>
    <n v="30"/>
    <s v="Cam.B"/>
    <s v="QD.32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273"/>
    <s v="O800 I2X"/>
    <m/>
    <m/>
    <s v="S1"/>
    <s v="P2"/>
    <s v="BG"/>
    <n v="30"/>
    <n v="828"/>
    <s v="S1"/>
    <n v="828"/>
    <n v="30"/>
    <s v="Cam.B"/>
    <s v="QD.31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275"/>
    <s v="O800 I2X"/>
    <m/>
    <m/>
    <s v="S1"/>
    <s v="P2"/>
    <s v="BG"/>
    <n v="30"/>
    <n v="862"/>
    <s v="S1"/>
    <n v="862"/>
    <n v="30"/>
    <s v="Cam.B"/>
    <s v="QD.32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277"/>
    <s v="O800 I2X"/>
    <m/>
    <m/>
    <s v="S1"/>
    <s v="P2"/>
    <s v="BG"/>
    <n v="30"/>
    <n v="852"/>
    <s v="S1"/>
    <n v="852"/>
    <n v="30"/>
    <s v="Cam.B"/>
    <s v="QD.31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279"/>
    <s v="O800 I2X"/>
    <m/>
    <m/>
    <s v="S1"/>
    <s v="P2"/>
    <s v="BG"/>
    <n v="30"/>
    <n v="835"/>
    <s v="S1"/>
    <n v="835"/>
    <n v="30"/>
    <s v="Cam.B"/>
    <s v="QD.32"/>
    <s v="F4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280"/>
    <s v="O800 I2X"/>
    <m/>
    <m/>
    <s v="S1"/>
    <s v="P2"/>
    <s v="BG"/>
    <n v="30"/>
    <n v="826"/>
    <s v="S1"/>
    <n v="826"/>
    <n v="30"/>
    <s v="Cam.B"/>
    <s v="QD.10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305"/>
    <s v="O800 I2X"/>
    <m/>
    <m/>
    <s v="S1"/>
    <s v="P2"/>
    <s v="BG"/>
    <n v="30"/>
    <n v="837"/>
    <s v="S1"/>
    <n v="837"/>
    <n v="30"/>
    <s v="Cam.B"/>
    <s v="QD.09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307"/>
    <s v="O800 I2X"/>
    <m/>
    <m/>
    <s v="S1"/>
    <s v="P2"/>
    <s v="BG"/>
    <n v="30"/>
    <n v="833"/>
    <s v="S1"/>
    <n v="833"/>
    <n v="30"/>
    <s v="Cam.B"/>
    <s v="QD.10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309"/>
    <s v="O800 I2X"/>
    <m/>
    <m/>
    <s v="S1"/>
    <s v="P2"/>
    <s v="BG"/>
    <n v="30"/>
    <n v="833"/>
    <s v="S1"/>
    <n v="833"/>
    <n v="30"/>
    <s v="Cam.C"/>
    <s v="QD.21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310"/>
    <s v="O800 I2X"/>
    <m/>
    <m/>
    <s v="S1"/>
    <s v="P2"/>
    <s v="BG"/>
    <n v="30"/>
    <n v="824"/>
    <s v="S1"/>
    <n v="824"/>
    <n v="30"/>
    <s v="Cam.B"/>
    <s v="QD.09"/>
    <s v="F1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313"/>
    <s v="O800 I2X"/>
    <m/>
    <m/>
    <s v="S1"/>
    <s v="P2"/>
    <s v="BG"/>
    <n v="30"/>
    <n v="827"/>
    <s v="S1"/>
    <n v="827"/>
    <n v="30"/>
    <s v="Cam.C"/>
    <s v="QD.21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314"/>
    <s v="O800 I2X"/>
    <m/>
    <m/>
    <s v="S1"/>
    <s v="P2"/>
    <s v="BG"/>
    <n v="30"/>
    <n v="835"/>
    <s v="S1"/>
    <n v="835"/>
    <n v="30"/>
    <s v="Cam.B"/>
    <s v="QD.09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316"/>
    <s v="O800 I2X"/>
    <m/>
    <m/>
    <s v="S1"/>
    <s v="P2"/>
    <s v="BG"/>
    <n v="30"/>
    <n v="828"/>
    <s v="S1"/>
    <n v="828"/>
    <n v="30"/>
    <s v="Cam.C"/>
    <s v="QD.36"/>
    <s v="F2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318"/>
    <s v="O800 I2X"/>
    <m/>
    <m/>
    <s v="S1"/>
    <s v="P2"/>
    <s v="BG"/>
    <n v="30"/>
    <n v="840"/>
    <s v="S1"/>
    <n v="840"/>
    <n v="30"/>
    <s v="Cam.C"/>
    <s v="QD.36"/>
    <s v="F3"/>
    <s v="SIM"/>
    <n v="1"/>
    <d v="2026-05-21T00:00:00"/>
    <x v="1"/>
    <s v="Renato de Castro"/>
    <s v="Erivanilson de Oliveira"/>
    <s v="Rodrigo de Almeida"/>
  </r>
  <r>
    <x v="1"/>
    <s v="GO"/>
    <s v="0101"/>
    <n v="10"/>
    <x v="0"/>
    <s v="11026273P2319"/>
    <s v="O800 I2X"/>
    <m/>
    <m/>
    <s v="S1"/>
    <s v="P2"/>
    <s v="BG"/>
    <n v="18"/>
    <n v="836"/>
    <s v="S1"/>
    <n v="836"/>
    <n v="18"/>
    <s v="Cam.B"/>
    <s v="CORREDOR"/>
    <s v="(vazio)"/>
    <s v="SIM"/>
    <n v="1"/>
    <d v="2026-05-21T00:00:00"/>
    <x v="1"/>
    <s v="Renato de Castro"/>
    <s v="Erivanilson de Oliveira"/>
    <s v="Rodrigo de Almeida"/>
  </r>
  <r>
    <x v="0"/>
    <s v="GO"/>
    <s v="0101"/>
    <n v="11"/>
    <x v="0"/>
    <s v="11743P1417"/>
    <s v="22213I2X"/>
    <m/>
    <m/>
    <s v="C2"/>
    <s v="P1"/>
    <s v="BG"/>
    <n v="30"/>
    <n v="761"/>
    <s v="C2"/>
    <n v="76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3P1420"/>
    <s v="22213I2X"/>
    <m/>
    <m/>
    <s v="C2"/>
    <s v="P1"/>
    <s v="BG"/>
    <n v="30"/>
    <n v="733"/>
    <s v="C2"/>
    <n v="73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3P1422"/>
    <s v="22213I2X"/>
    <m/>
    <m/>
    <s v="C2"/>
    <s v="P1"/>
    <s v="BG"/>
    <n v="30"/>
    <n v="748"/>
    <s v="C2"/>
    <n v="74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3P1424"/>
    <s v="22213I2X"/>
    <m/>
    <m/>
    <s v="C2"/>
    <s v="P1"/>
    <s v="BG"/>
    <n v="23"/>
    <n v="731"/>
    <s v="C2"/>
    <n v="731"/>
    <n v="23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3P2418"/>
    <s v="22213I2X"/>
    <m/>
    <m/>
    <s v="C2"/>
    <s v="P2"/>
    <s v="BG"/>
    <n v="27"/>
    <n v="953"/>
    <s v="C2"/>
    <n v="953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3P2419"/>
    <s v="22213I2X"/>
    <m/>
    <m/>
    <s v="C2"/>
    <s v="P2"/>
    <s v="BG"/>
    <n v="27"/>
    <n v="936"/>
    <s v="C2"/>
    <n v="936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3P2421"/>
    <s v="22213I2X"/>
    <m/>
    <m/>
    <s v="C2"/>
    <s v="P2"/>
    <s v="BG"/>
    <n v="27"/>
    <n v="948"/>
    <s v="C2"/>
    <n v="948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3P2423"/>
    <s v="22213I2X"/>
    <m/>
    <m/>
    <s v="C2"/>
    <s v="P2"/>
    <s v="BG"/>
    <n v="27"/>
    <n v="929"/>
    <s v="C2"/>
    <n v="929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3P2425"/>
    <s v="22213I2X"/>
    <m/>
    <m/>
    <s v="C2"/>
    <s v="P2"/>
    <s v="BG"/>
    <n v="14"/>
    <n v="949"/>
    <s v="C2"/>
    <n v="949"/>
    <n v="1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01"/>
    <s v="690 I2X"/>
    <m/>
    <m/>
    <s v="S1"/>
    <s v="P1"/>
    <s v="BG"/>
    <n v="30"/>
    <n v="759"/>
    <s v="S1"/>
    <n v="75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03"/>
    <s v="690 I2X"/>
    <m/>
    <m/>
    <s v="S1"/>
    <s v="P1"/>
    <s v="BG"/>
    <n v="30"/>
    <n v="742"/>
    <s v="S1"/>
    <n v="74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05"/>
    <s v="690 I2X"/>
    <m/>
    <m/>
    <s v="S1"/>
    <s v="P1"/>
    <s v="BG"/>
    <n v="30"/>
    <n v="755"/>
    <s v="S1"/>
    <n v="75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06"/>
    <s v="690 I2X"/>
    <m/>
    <m/>
    <s v="S1"/>
    <s v="P1"/>
    <s v="BG"/>
    <n v="30"/>
    <n v="755"/>
    <s v="S1"/>
    <n v="75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08"/>
    <s v="690 I2X"/>
    <m/>
    <m/>
    <s v="S1"/>
    <s v="P1"/>
    <s v="BG"/>
    <n v="30"/>
    <n v="767"/>
    <s v="S1"/>
    <n v="767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09"/>
    <s v="690 I2X"/>
    <m/>
    <m/>
    <s v="S1"/>
    <s v="P1"/>
    <s v="BG"/>
    <n v="30"/>
    <n v="746"/>
    <s v="S1"/>
    <n v="74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11"/>
    <s v="690 I2X"/>
    <m/>
    <m/>
    <s v="S1"/>
    <s v="P1"/>
    <s v="BG"/>
    <n v="30"/>
    <n v="750"/>
    <s v="S1"/>
    <n v="75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12"/>
    <s v="690 I2X"/>
    <m/>
    <m/>
    <s v="S1"/>
    <s v="P1"/>
    <s v="BG"/>
    <n v="30"/>
    <n v="765"/>
    <s v="S1"/>
    <n v="76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14"/>
    <s v="690 I2X"/>
    <m/>
    <m/>
    <s v="S1"/>
    <s v="P1"/>
    <s v="BG"/>
    <n v="30"/>
    <n v="768"/>
    <s v="S1"/>
    <n v="76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15"/>
    <s v="690 I2X"/>
    <m/>
    <m/>
    <s v="S1"/>
    <s v="P1"/>
    <s v="BG"/>
    <n v="30"/>
    <n v="763"/>
    <s v="S1"/>
    <n v="76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17"/>
    <s v="690 I2X"/>
    <m/>
    <m/>
    <s v="S1"/>
    <s v="P1"/>
    <s v="BG"/>
    <n v="30"/>
    <n v="761"/>
    <s v="S1"/>
    <n v="76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18"/>
    <s v="690 I2X"/>
    <m/>
    <m/>
    <s v="S1"/>
    <s v="P1"/>
    <s v="BG"/>
    <n v="30"/>
    <n v="757"/>
    <s v="S1"/>
    <n v="757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20"/>
    <s v="690 I2X"/>
    <m/>
    <m/>
    <s v="S1"/>
    <s v="P1"/>
    <s v="BG"/>
    <n v="30"/>
    <n v="767"/>
    <s v="S1"/>
    <n v="767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22"/>
    <s v="690 I2X"/>
    <m/>
    <m/>
    <s v="S1"/>
    <s v="P1"/>
    <s v="BG"/>
    <n v="30"/>
    <n v="750"/>
    <s v="S1"/>
    <n v="75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23"/>
    <s v="690 I2X"/>
    <m/>
    <m/>
    <s v="S1"/>
    <s v="P1"/>
    <s v="BG"/>
    <n v="30"/>
    <n v="759"/>
    <s v="S1"/>
    <n v="75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1225"/>
    <s v="690 I2X"/>
    <m/>
    <m/>
    <s v="S1"/>
    <s v="P1"/>
    <s v="BG"/>
    <n v="8"/>
    <n v="766"/>
    <s v="S1"/>
    <n v="766"/>
    <n v="8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2202"/>
    <s v="690 I2X"/>
    <m/>
    <m/>
    <s v="S1"/>
    <s v="P2"/>
    <s v="BG"/>
    <n v="27"/>
    <n v="915"/>
    <s v="S1"/>
    <n v="915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2204"/>
    <s v="690 I2X"/>
    <m/>
    <m/>
    <s v="S1"/>
    <s v="P2"/>
    <s v="BG"/>
    <n v="30"/>
    <n v="898"/>
    <s v="S1"/>
    <n v="89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2207"/>
    <s v="690 I2X"/>
    <m/>
    <m/>
    <s v="S1"/>
    <s v="P2"/>
    <s v="BG"/>
    <n v="27"/>
    <n v="909"/>
    <s v="S1"/>
    <n v="909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2210"/>
    <s v="690 I2X"/>
    <m/>
    <m/>
    <s v="S1"/>
    <s v="P2"/>
    <s v="BG"/>
    <n v="27"/>
    <n v="916"/>
    <s v="S1"/>
    <n v="916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2213"/>
    <s v="690 I2X"/>
    <m/>
    <m/>
    <s v="S1"/>
    <s v="P2"/>
    <s v="BG"/>
    <n v="27"/>
    <n v="929"/>
    <s v="S1"/>
    <n v="929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2216"/>
    <s v="690 I2X"/>
    <m/>
    <m/>
    <s v="S1"/>
    <s v="P2"/>
    <s v="BG"/>
    <n v="27"/>
    <n v="914"/>
    <s v="S1"/>
    <n v="914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2219"/>
    <s v="690 I2X"/>
    <m/>
    <m/>
    <s v="S1"/>
    <s v="P2"/>
    <s v="BG"/>
    <n v="30"/>
    <n v="891"/>
    <s v="S1"/>
    <n v="89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2221"/>
    <s v="690 I2X"/>
    <m/>
    <m/>
    <s v="S1"/>
    <s v="P2"/>
    <s v="BG"/>
    <n v="27"/>
    <n v="920"/>
    <s v="S1"/>
    <n v="920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72P2224"/>
    <s v="690 I2X"/>
    <m/>
    <m/>
    <s v="S1"/>
    <s v="P2"/>
    <s v="BG"/>
    <n v="7"/>
    <n v="908"/>
    <s v="S1"/>
    <n v="908"/>
    <n v="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1001"/>
    <s v="6930I2X"/>
    <m/>
    <m/>
    <s v="C2"/>
    <s v="P1"/>
    <s v="BG"/>
    <n v="30"/>
    <n v="835"/>
    <s v="C2"/>
    <n v="83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1003"/>
    <s v="6930I2X"/>
    <m/>
    <m/>
    <s v="C2"/>
    <s v="P1"/>
    <s v="BG"/>
    <n v="30"/>
    <n v="828"/>
    <s v="C2"/>
    <n v="82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1004"/>
    <s v="6930I2X"/>
    <m/>
    <m/>
    <s v="C2"/>
    <s v="P1"/>
    <s v="BG"/>
    <n v="30"/>
    <n v="812"/>
    <s v="C2"/>
    <n v="81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1006"/>
    <s v="6930I2X"/>
    <m/>
    <m/>
    <s v="C2"/>
    <s v="P1"/>
    <s v="BG"/>
    <n v="30"/>
    <n v="801"/>
    <s v="C2"/>
    <n v="80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1008"/>
    <s v="6930I2X"/>
    <m/>
    <m/>
    <s v="C2"/>
    <s v="P1"/>
    <s v="BG"/>
    <n v="30"/>
    <n v="821"/>
    <s v="C2"/>
    <n v="82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1010"/>
    <s v="6930I2X"/>
    <m/>
    <m/>
    <s v="C2"/>
    <s v="P1"/>
    <s v="BG"/>
    <n v="30"/>
    <n v="827"/>
    <s v="C2"/>
    <n v="827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1012"/>
    <s v="6930I2X"/>
    <m/>
    <m/>
    <s v="C2"/>
    <s v="P1"/>
    <s v="BG"/>
    <n v="30"/>
    <n v="813"/>
    <s v="C2"/>
    <n v="81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1014"/>
    <s v="6930I2X"/>
    <m/>
    <m/>
    <s v="C2"/>
    <s v="P1"/>
    <s v="BG"/>
    <n v="30"/>
    <n v="804"/>
    <s v="C2"/>
    <n v="804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1016"/>
    <s v="6930I2X"/>
    <m/>
    <m/>
    <s v="C2"/>
    <s v="P1"/>
    <s v="BG"/>
    <n v="29"/>
    <n v="842"/>
    <s v="C2"/>
    <n v="842"/>
    <n v="29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1018"/>
    <s v="6930I2X"/>
    <m/>
    <m/>
    <s v="C2"/>
    <s v="P1"/>
    <s v="BG"/>
    <n v="30"/>
    <n v="830"/>
    <s v="C2"/>
    <n v="83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1020"/>
    <s v="6930I2X"/>
    <m/>
    <m/>
    <s v="C2"/>
    <s v="P1"/>
    <s v="BG"/>
    <n v="30"/>
    <n v="834"/>
    <s v="C2"/>
    <n v="834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1022"/>
    <s v="6930I2X"/>
    <m/>
    <m/>
    <s v="C2"/>
    <s v="P1"/>
    <s v="BG"/>
    <n v="30"/>
    <n v="822"/>
    <s v="C2"/>
    <n v="82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1024"/>
    <s v="6930I2X"/>
    <m/>
    <m/>
    <s v="C2"/>
    <s v="P1"/>
    <s v="BG"/>
    <n v="30"/>
    <n v="836"/>
    <s v="C2"/>
    <n v="83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1027"/>
    <s v="6930I2X"/>
    <m/>
    <m/>
    <s v="C2"/>
    <s v="P1"/>
    <s v="BG"/>
    <n v="2"/>
    <n v="835"/>
    <s v="C2"/>
    <n v="835"/>
    <n v="2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2002"/>
    <s v="6930I2X"/>
    <m/>
    <m/>
    <s v="C2"/>
    <s v="P2"/>
    <s v="BG"/>
    <n v="24"/>
    <n v="1035"/>
    <s v="C2"/>
    <n v="1035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2005"/>
    <s v="6930I2X"/>
    <m/>
    <m/>
    <s v="C2"/>
    <s v="P2"/>
    <s v="BG"/>
    <n v="24"/>
    <n v="1010"/>
    <s v="C2"/>
    <n v="1010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2007"/>
    <s v="6930I2X"/>
    <m/>
    <m/>
    <s v="C2"/>
    <s v="P2"/>
    <s v="BG"/>
    <n v="24"/>
    <n v="1010"/>
    <s v="C2"/>
    <n v="1010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2009"/>
    <s v="6930I2X"/>
    <m/>
    <m/>
    <s v="C2"/>
    <s v="P2"/>
    <s v="BG"/>
    <n v="24"/>
    <n v="1021"/>
    <s v="C2"/>
    <n v="1021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2011"/>
    <s v="6930I2X"/>
    <m/>
    <m/>
    <s v="C2"/>
    <s v="P2"/>
    <s v="BG"/>
    <n v="24"/>
    <n v="1019"/>
    <s v="C2"/>
    <n v="1019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2013"/>
    <s v="6930I2X"/>
    <m/>
    <m/>
    <s v="C2"/>
    <s v="P2"/>
    <s v="BG"/>
    <n v="24"/>
    <n v="1056"/>
    <s v="C2"/>
    <n v="1056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2015"/>
    <s v="6930I2X"/>
    <m/>
    <m/>
    <s v="C2"/>
    <s v="P2"/>
    <s v="BG"/>
    <n v="24"/>
    <n v="1065"/>
    <s v="C2"/>
    <n v="1065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2017"/>
    <s v="6930I2X"/>
    <m/>
    <m/>
    <s v="C2"/>
    <s v="P2"/>
    <s v="BG"/>
    <n v="24"/>
    <n v="1007"/>
    <s v="C2"/>
    <n v="1007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2019"/>
    <s v="6930I2X"/>
    <m/>
    <m/>
    <s v="C2"/>
    <s v="P2"/>
    <s v="BG"/>
    <n v="24"/>
    <n v="1042"/>
    <s v="C2"/>
    <n v="1042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2021"/>
    <s v="6930I2X"/>
    <m/>
    <m/>
    <s v="C2"/>
    <s v="P2"/>
    <s v="BG"/>
    <n v="24"/>
    <n v="1034"/>
    <s v="C2"/>
    <n v="1034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2023"/>
    <s v="6930I2X"/>
    <m/>
    <m/>
    <s v="C2"/>
    <s v="P2"/>
    <s v="BG"/>
    <n v="24"/>
    <n v="1078"/>
    <s v="C2"/>
    <n v="1078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2025"/>
    <s v="6930I2X"/>
    <m/>
    <m/>
    <s v="C2"/>
    <s v="P2"/>
    <s v="BG"/>
    <n v="24"/>
    <n v="1050"/>
    <s v="C2"/>
    <n v="1050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28P2026"/>
    <s v="6930I2X"/>
    <m/>
    <m/>
    <s v="C2"/>
    <s v="P2"/>
    <s v="BG"/>
    <n v="21"/>
    <n v="1029"/>
    <s v="C2"/>
    <n v="1029"/>
    <n v="21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4P1401"/>
    <s v="7222I2X"/>
    <m/>
    <m/>
    <s v="C1"/>
    <s v="P1"/>
    <s v="BG"/>
    <n v="24"/>
    <n v="1050"/>
    <s v="C1"/>
    <n v="1050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4P1403"/>
    <s v="7222I2X"/>
    <m/>
    <m/>
    <s v="C1"/>
    <s v="P1"/>
    <s v="BG"/>
    <n v="24"/>
    <n v="1031"/>
    <s v="C1"/>
    <n v="1031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4P1405"/>
    <s v="7222I2X"/>
    <m/>
    <m/>
    <s v="C1"/>
    <s v="P1"/>
    <s v="BG"/>
    <n v="24"/>
    <n v="1029"/>
    <s v="C1"/>
    <n v="1029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4P1407"/>
    <s v="7222I2X"/>
    <m/>
    <m/>
    <s v="C1"/>
    <s v="P1"/>
    <s v="BG"/>
    <n v="14"/>
    <n v="1033"/>
    <s v="C1"/>
    <n v="1033"/>
    <n v="1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4P2402"/>
    <s v="7222I2X"/>
    <m/>
    <m/>
    <s v="C1"/>
    <s v="P2"/>
    <s v="BG"/>
    <n v="18"/>
    <n v="1203"/>
    <s v="C1"/>
    <n v="1203"/>
    <n v="18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4P2404"/>
    <s v="7222I2X"/>
    <m/>
    <m/>
    <s v="C1"/>
    <s v="P2"/>
    <s v="BG"/>
    <n v="18"/>
    <n v="1201"/>
    <s v="C1"/>
    <n v="1201"/>
    <n v="18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4P2406"/>
    <s v="7222I2X"/>
    <m/>
    <m/>
    <s v="C1"/>
    <s v="P2"/>
    <s v="BG"/>
    <n v="9"/>
    <n v="1200"/>
    <s v="C1"/>
    <n v="1200"/>
    <n v="9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02"/>
    <s v="761 I2X"/>
    <m/>
    <m/>
    <s v="S2"/>
    <s v="P1"/>
    <s v="BG"/>
    <n v="30"/>
    <n v="846"/>
    <s v="S2"/>
    <n v="84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03"/>
    <s v="761 I2X"/>
    <m/>
    <m/>
    <s v="S2"/>
    <s v="P1"/>
    <s v="BG"/>
    <n v="30"/>
    <n v="834"/>
    <s v="S2"/>
    <n v="834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05"/>
    <s v="761 I2X"/>
    <m/>
    <m/>
    <s v="S2"/>
    <s v="P1"/>
    <s v="BG"/>
    <n v="30"/>
    <n v="853"/>
    <s v="S2"/>
    <n v="85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07"/>
    <s v="761 I2X"/>
    <m/>
    <m/>
    <s v="S2"/>
    <s v="P1"/>
    <s v="BG"/>
    <n v="30"/>
    <n v="849"/>
    <s v="S2"/>
    <n v="84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08"/>
    <s v="761 I2X"/>
    <m/>
    <m/>
    <s v="S2"/>
    <s v="P1"/>
    <s v="BG"/>
    <n v="30"/>
    <n v="853"/>
    <s v="S2"/>
    <n v="85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10"/>
    <s v="761 I2X"/>
    <m/>
    <m/>
    <s v="S2"/>
    <s v="P1"/>
    <s v="BG"/>
    <n v="30"/>
    <n v="833"/>
    <s v="S2"/>
    <n v="83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12"/>
    <s v="761 I2X"/>
    <m/>
    <m/>
    <s v="S2"/>
    <s v="P1"/>
    <s v="BG"/>
    <n v="30"/>
    <n v="844"/>
    <s v="S2"/>
    <n v="844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14"/>
    <s v="761 I2X"/>
    <m/>
    <m/>
    <s v="S2"/>
    <s v="P1"/>
    <s v="BG"/>
    <n v="30"/>
    <n v="842"/>
    <s v="S2"/>
    <n v="84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15"/>
    <s v="761 I2X"/>
    <m/>
    <m/>
    <s v="S2"/>
    <s v="P1"/>
    <s v="BG"/>
    <n v="30"/>
    <n v="853"/>
    <s v="S2"/>
    <n v="85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17"/>
    <s v="761 I2X"/>
    <m/>
    <m/>
    <s v="S2"/>
    <s v="P1"/>
    <s v="BG"/>
    <n v="30"/>
    <n v="838"/>
    <s v="S2"/>
    <n v="83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18"/>
    <s v="761 I2X"/>
    <m/>
    <m/>
    <s v="S2"/>
    <s v="P1"/>
    <s v="BG"/>
    <n v="30"/>
    <n v="842"/>
    <s v="S2"/>
    <n v="84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20"/>
    <s v="761 I2X"/>
    <m/>
    <m/>
    <s v="S2"/>
    <s v="P1"/>
    <s v="BG"/>
    <n v="30"/>
    <n v="825"/>
    <s v="S2"/>
    <n v="82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21"/>
    <s v="761 I2X"/>
    <m/>
    <m/>
    <s v="S2"/>
    <s v="P1"/>
    <s v="BG"/>
    <n v="30"/>
    <n v="842"/>
    <s v="S2"/>
    <n v="84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23"/>
    <s v="761 I2X"/>
    <m/>
    <m/>
    <s v="S2"/>
    <s v="P1"/>
    <s v="BG"/>
    <n v="30"/>
    <n v="851"/>
    <s v="S2"/>
    <n v="85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24"/>
    <s v="761 I2X"/>
    <m/>
    <m/>
    <s v="S2"/>
    <s v="P1"/>
    <s v="BG"/>
    <n v="30"/>
    <n v="850"/>
    <s v="S2"/>
    <n v="85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26"/>
    <s v="761 I2X"/>
    <m/>
    <m/>
    <s v="S2"/>
    <s v="P1"/>
    <s v="BG"/>
    <n v="30"/>
    <n v="850"/>
    <s v="S2"/>
    <n v="85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27"/>
    <s v="761 I2X"/>
    <m/>
    <m/>
    <s v="S2"/>
    <s v="P1"/>
    <s v="BG"/>
    <n v="30"/>
    <n v="830"/>
    <s v="S2"/>
    <n v="83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29"/>
    <s v="761 I2X"/>
    <m/>
    <m/>
    <s v="S2"/>
    <s v="P1"/>
    <s v="BG"/>
    <n v="30"/>
    <n v="846"/>
    <s v="S2"/>
    <n v="84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30"/>
    <s v="761 I2X"/>
    <m/>
    <m/>
    <s v="S2"/>
    <s v="P1"/>
    <s v="BG"/>
    <n v="30"/>
    <n v="841"/>
    <s v="S2"/>
    <n v="84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32"/>
    <s v="761 I2X"/>
    <m/>
    <m/>
    <s v="S2"/>
    <s v="P1"/>
    <s v="BG"/>
    <n v="30"/>
    <n v="857"/>
    <s v="S2"/>
    <n v="857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34"/>
    <s v="761 I2X"/>
    <m/>
    <m/>
    <s v="S2"/>
    <s v="P1"/>
    <s v="BG"/>
    <n v="30"/>
    <n v="858"/>
    <s v="S2"/>
    <n v="85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35"/>
    <s v="761 I2X"/>
    <m/>
    <m/>
    <s v="S2"/>
    <s v="P1"/>
    <s v="BG"/>
    <n v="30"/>
    <n v="852"/>
    <s v="S2"/>
    <n v="85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37"/>
    <s v="761 I2X"/>
    <m/>
    <m/>
    <s v="S2"/>
    <s v="P1"/>
    <s v="BG"/>
    <n v="30"/>
    <n v="854"/>
    <s v="S2"/>
    <n v="854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39"/>
    <s v="761 I2X"/>
    <m/>
    <m/>
    <s v="S2"/>
    <s v="P1"/>
    <s v="BG"/>
    <n v="30"/>
    <n v="863"/>
    <s v="S2"/>
    <n v="86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41"/>
    <s v="761 I2X"/>
    <m/>
    <m/>
    <s v="S2"/>
    <s v="P1"/>
    <s v="BG"/>
    <n v="30"/>
    <n v="844"/>
    <s v="S2"/>
    <n v="844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42"/>
    <s v="761 I2X"/>
    <m/>
    <m/>
    <s v="S2"/>
    <s v="P1"/>
    <s v="BG"/>
    <n v="30"/>
    <n v="857"/>
    <s v="S2"/>
    <n v="857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44"/>
    <s v="761 I2X"/>
    <m/>
    <m/>
    <s v="S2"/>
    <s v="P1"/>
    <s v="BG"/>
    <n v="30"/>
    <n v="833"/>
    <s v="S2"/>
    <n v="83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45"/>
    <s v="761 I2X"/>
    <m/>
    <m/>
    <s v="S2"/>
    <s v="P1"/>
    <s v="BG"/>
    <n v="30"/>
    <n v="862"/>
    <s v="S2"/>
    <n v="86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46"/>
    <s v="761 I2X"/>
    <m/>
    <m/>
    <s v="S2"/>
    <s v="P1"/>
    <s v="BG"/>
    <n v="30"/>
    <n v="830"/>
    <s v="S2"/>
    <n v="83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48"/>
    <s v="761 I2X"/>
    <m/>
    <m/>
    <s v="S2"/>
    <s v="P1"/>
    <s v="BG"/>
    <n v="30"/>
    <n v="830"/>
    <s v="S2"/>
    <n v="83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49"/>
    <s v="761 I2X"/>
    <m/>
    <m/>
    <s v="S2"/>
    <s v="P1"/>
    <s v="BG"/>
    <n v="30"/>
    <n v="839"/>
    <s v="S2"/>
    <n v="83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51"/>
    <s v="761 I2X"/>
    <m/>
    <m/>
    <s v="S2"/>
    <s v="P1"/>
    <s v="BG"/>
    <n v="30"/>
    <n v="845"/>
    <s v="S2"/>
    <n v="84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52"/>
    <s v="761 I2X"/>
    <m/>
    <m/>
    <s v="S2"/>
    <s v="P1"/>
    <s v="BG"/>
    <n v="30"/>
    <n v="851"/>
    <s v="S2"/>
    <n v="85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54"/>
    <s v="761 I2X"/>
    <m/>
    <m/>
    <s v="S2"/>
    <s v="P1"/>
    <s v="BG"/>
    <n v="30"/>
    <n v="857"/>
    <s v="S2"/>
    <n v="857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1755"/>
    <s v="761 I2X"/>
    <m/>
    <m/>
    <s v="S2"/>
    <s v="P1"/>
    <s v="BG"/>
    <n v="29"/>
    <n v="864"/>
    <s v="S2"/>
    <n v="864"/>
    <n v="29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01"/>
    <s v="761 I2X"/>
    <m/>
    <m/>
    <s v="S2"/>
    <s v="P2"/>
    <s v="BG"/>
    <n v="24"/>
    <n v="1029"/>
    <s v="S2"/>
    <n v="1029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04"/>
    <s v="761 I2X"/>
    <m/>
    <m/>
    <s v="S2"/>
    <s v="P2"/>
    <s v="BG"/>
    <n v="24"/>
    <n v="1030"/>
    <s v="S2"/>
    <n v="1030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06"/>
    <s v="761 I2X"/>
    <m/>
    <m/>
    <s v="S2"/>
    <s v="P2"/>
    <s v="BG"/>
    <n v="24"/>
    <n v="1026"/>
    <s v="S2"/>
    <n v="1026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09"/>
    <s v="761 I2X"/>
    <m/>
    <m/>
    <s v="S2"/>
    <s v="P2"/>
    <s v="BG"/>
    <n v="24"/>
    <n v="1023"/>
    <s v="S2"/>
    <n v="1023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11"/>
    <s v="761 I2X"/>
    <m/>
    <m/>
    <s v="S2"/>
    <s v="P2"/>
    <s v="BG"/>
    <n v="24"/>
    <n v="1031"/>
    <s v="S2"/>
    <n v="1031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13"/>
    <s v="761 I2X"/>
    <m/>
    <m/>
    <s v="S2"/>
    <s v="P2"/>
    <s v="BG"/>
    <n v="24"/>
    <n v="1019"/>
    <s v="S2"/>
    <n v="1019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16"/>
    <s v="761 I2X"/>
    <m/>
    <m/>
    <s v="S2"/>
    <s v="P2"/>
    <s v="BG"/>
    <n v="24"/>
    <n v="1029"/>
    <s v="S2"/>
    <n v="1029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19"/>
    <s v="761 I2X"/>
    <m/>
    <m/>
    <s v="S2"/>
    <s v="P2"/>
    <s v="BG"/>
    <n v="24"/>
    <n v="1027"/>
    <s v="S2"/>
    <n v="1027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22"/>
    <s v="761 I2X"/>
    <m/>
    <m/>
    <s v="S2"/>
    <s v="P2"/>
    <s v="BG"/>
    <n v="24"/>
    <n v="1032"/>
    <s v="S2"/>
    <n v="1032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25"/>
    <s v="761 I2X"/>
    <m/>
    <m/>
    <s v="S2"/>
    <s v="P2"/>
    <s v="BG"/>
    <n v="24"/>
    <n v="1039"/>
    <s v="S2"/>
    <n v="1039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28"/>
    <s v="761 I2X"/>
    <m/>
    <m/>
    <s v="S2"/>
    <s v="P2"/>
    <s v="BG"/>
    <n v="24"/>
    <n v="1029"/>
    <s v="S2"/>
    <n v="1029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31"/>
    <s v="761 I2X"/>
    <m/>
    <m/>
    <s v="S2"/>
    <s v="P2"/>
    <s v="BG"/>
    <n v="24"/>
    <n v="1045"/>
    <s v="S2"/>
    <n v="1045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33"/>
    <s v="761 I2X"/>
    <m/>
    <m/>
    <s v="S2"/>
    <s v="P2"/>
    <s v="BG"/>
    <n v="24"/>
    <n v="1030"/>
    <s v="S2"/>
    <n v="1030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36"/>
    <s v="761 I2X"/>
    <m/>
    <m/>
    <s v="S2"/>
    <s v="P2"/>
    <s v="BG"/>
    <n v="24"/>
    <n v="1020"/>
    <s v="S2"/>
    <n v="1020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38"/>
    <s v="761 I2X"/>
    <m/>
    <m/>
    <s v="S2"/>
    <s v="P2"/>
    <s v="BG"/>
    <n v="24"/>
    <n v="1016"/>
    <s v="S2"/>
    <n v="1016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40"/>
    <s v="761 I2X"/>
    <m/>
    <m/>
    <s v="S2"/>
    <s v="P2"/>
    <s v="BG"/>
    <n v="24"/>
    <n v="1025"/>
    <s v="S2"/>
    <n v="1025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43"/>
    <s v="761 I2X"/>
    <m/>
    <m/>
    <s v="S2"/>
    <s v="P2"/>
    <s v="BG"/>
    <n v="24"/>
    <n v="1027"/>
    <s v="S2"/>
    <n v="1027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47"/>
    <s v="761 I2X"/>
    <m/>
    <m/>
    <s v="S2"/>
    <s v="P2"/>
    <s v="BG"/>
    <n v="24"/>
    <n v="1030"/>
    <s v="S2"/>
    <n v="1030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50"/>
    <s v="761 I2X"/>
    <m/>
    <m/>
    <s v="S2"/>
    <s v="P2"/>
    <s v="BG"/>
    <n v="24"/>
    <n v="1012"/>
    <s v="S2"/>
    <n v="1012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53"/>
    <s v="761 I2X"/>
    <m/>
    <m/>
    <s v="S2"/>
    <s v="P2"/>
    <s v="BG"/>
    <n v="24"/>
    <n v="1023"/>
    <s v="S2"/>
    <n v="1023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5P2756"/>
    <s v="761 I2X"/>
    <m/>
    <m/>
    <s v="S2"/>
    <s v="P2"/>
    <s v="BG"/>
    <n v="15"/>
    <n v="1033"/>
    <s v="S2"/>
    <n v="1033"/>
    <n v="15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8P1502"/>
    <s v="C2705CE"/>
    <m/>
    <m/>
    <s v="C1"/>
    <s v="P1"/>
    <s v="BG"/>
    <n v="27"/>
    <n v="913"/>
    <s v="C1"/>
    <n v="913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8P1503"/>
    <s v="C2705CE"/>
    <m/>
    <m/>
    <s v="C1"/>
    <s v="P1"/>
    <s v="BG"/>
    <n v="27"/>
    <n v="917"/>
    <s v="C1"/>
    <n v="917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8P1505"/>
    <s v="C2705CE"/>
    <m/>
    <m/>
    <s v="C1"/>
    <s v="P1"/>
    <s v="BG"/>
    <n v="27"/>
    <n v="912"/>
    <s v="C1"/>
    <n v="912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8P1507"/>
    <s v="C2705CE"/>
    <m/>
    <m/>
    <s v="C1"/>
    <s v="P1"/>
    <s v="BG"/>
    <n v="4"/>
    <n v="905"/>
    <s v="C1"/>
    <n v="905"/>
    <n v="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8P2501"/>
    <s v="C2705CE"/>
    <m/>
    <m/>
    <s v="C1"/>
    <s v="P2"/>
    <s v="BG"/>
    <n v="24"/>
    <n v="1112"/>
    <s v="C1"/>
    <n v="1112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8P2504"/>
    <s v="C2705CE"/>
    <m/>
    <m/>
    <s v="C1"/>
    <s v="P2"/>
    <s v="BG"/>
    <n v="24"/>
    <n v="1102"/>
    <s v="C1"/>
    <n v="1102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8P2506"/>
    <s v="C2705CE"/>
    <m/>
    <m/>
    <s v="C1"/>
    <s v="P2"/>
    <s v="BG"/>
    <n v="21"/>
    <n v="1105"/>
    <s v="C1"/>
    <n v="1105"/>
    <n v="21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01"/>
    <s v="NEO680 IPRO"/>
    <m/>
    <m/>
    <s v="S2"/>
    <s v="P1"/>
    <s v="BG"/>
    <n v="30"/>
    <n v="838"/>
    <s v="S2"/>
    <n v="83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03"/>
    <s v="NEO680 IPRO"/>
    <m/>
    <m/>
    <s v="S2"/>
    <s v="P1"/>
    <s v="BG"/>
    <n v="30"/>
    <n v="826"/>
    <s v="S2"/>
    <n v="82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04"/>
    <s v="NEO680 IPRO"/>
    <m/>
    <m/>
    <s v="S2"/>
    <s v="P1"/>
    <s v="BG"/>
    <n v="30"/>
    <n v="822"/>
    <s v="S2"/>
    <n v="82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06"/>
    <s v="NEO680 IPRO"/>
    <m/>
    <m/>
    <s v="S2"/>
    <s v="P1"/>
    <s v="BG"/>
    <n v="30"/>
    <n v="830"/>
    <s v="S2"/>
    <n v="83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07"/>
    <s v="NEO680 IPRO"/>
    <m/>
    <m/>
    <s v="S2"/>
    <s v="P1"/>
    <s v="BG"/>
    <n v="30"/>
    <n v="794"/>
    <s v="S2"/>
    <n v="794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08"/>
    <s v="NEO680 IPRO"/>
    <m/>
    <m/>
    <s v="S2"/>
    <s v="P1"/>
    <s v="BG"/>
    <n v="30"/>
    <n v="785"/>
    <s v="S2"/>
    <n v="78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09"/>
    <s v="NEO680 IPRO"/>
    <m/>
    <m/>
    <s v="S2"/>
    <s v="P1"/>
    <s v="BG"/>
    <n v="30"/>
    <n v="789"/>
    <s v="S2"/>
    <n v="78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10"/>
    <s v="NEO680 IPRO"/>
    <m/>
    <m/>
    <s v="S2"/>
    <s v="P1"/>
    <s v="BG"/>
    <n v="30"/>
    <n v="792"/>
    <s v="S2"/>
    <n v="79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11"/>
    <s v="NEO680 IPRO"/>
    <m/>
    <m/>
    <s v="S2"/>
    <s v="P1"/>
    <s v="BG"/>
    <n v="30"/>
    <n v="802"/>
    <s v="S2"/>
    <n v="80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12"/>
    <s v="NEO680 IPRO"/>
    <m/>
    <m/>
    <s v="S2"/>
    <s v="P1"/>
    <s v="BG"/>
    <n v="30"/>
    <n v="797"/>
    <s v="S2"/>
    <n v="797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13"/>
    <s v="NEO680 IPRO"/>
    <m/>
    <m/>
    <s v="S2"/>
    <s v="P1"/>
    <s v="BG"/>
    <n v="30"/>
    <n v="764"/>
    <s v="S2"/>
    <n v="764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14"/>
    <s v="NEO680 IPRO"/>
    <m/>
    <m/>
    <s v="S2"/>
    <s v="P1"/>
    <s v="BG"/>
    <n v="30"/>
    <n v="764"/>
    <s v="S2"/>
    <n v="764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16"/>
    <s v="NEO680 IPRO"/>
    <m/>
    <m/>
    <s v="S2"/>
    <s v="P1"/>
    <s v="BG"/>
    <n v="30"/>
    <n v="765"/>
    <s v="S2"/>
    <n v="76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17"/>
    <s v="NEO680 IPRO"/>
    <m/>
    <m/>
    <s v="S2"/>
    <s v="P1"/>
    <s v="BG"/>
    <n v="30"/>
    <n v="762"/>
    <s v="S2"/>
    <n v="76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18"/>
    <s v="NEO680 IPRO"/>
    <m/>
    <m/>
    <s v="S2"/>
    <s v="P1"/>
    <s v="BG"/>
    <n v="30"/>
    <n v="787"/>
    <s v="S2"/>
    <n v="787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20"/>
    <s v="NEO680 IPRO"/>
    <m/>
    <m/>
    <s v="C1"/>
    <s v="P1"/>
    <s v="BG"/>
    <n v="30"/>
    <n v="787"/>
    <s v="C1"/>
    <n v="787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21"/>
    <s v="NEO680 IPRO"/>
    <m/>
    <m/>
    <s v="C1"/>
    <s v="P1"/>
    <s v="BG"/>
    <n v="30"/>
    <n v="778"/>
    <s v="C1"/>
    <n v="77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22"/>
    <s v="NEO680 IPRO"/>
    <m/>
    <m/>
    <s v="C1"/>
    <s v="P1"/>
    <s v="BG"/>
    <n v="30"/>
    <n v="785"/>
    <s v="C1"/>
    <n v="78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24"/>
    <s v="NEO680 IPRO"/>
    <m/>
    <m/>
    <s v="C1"/>
    <s v="P1"/>
    <s v="BG"/>
    <n v="30"/>
    <n v="789"/>
    <s v="C1"/>
    <n v="78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26"/>
    <s v="NEO680 IPRO"/>
    <m/>
    <m/>
    <s v="C1"/>
    <s v="P1"/>
    <s v="BG"/>
    <n v="30"/>
    <n v="783"/>
    <s v="C1"/>
    <n v="78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27"/>
    <s v="NEO680 IPRO"/>
    <m/>
    <m/>
    <s v="C1"/>
    <s v="P1"/>
    <s v="BG"/>
    <n v="30"/>
    <n v="775"/>
    <s v="C1"/>
    <n v="77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28"/>
    <s v="NEO680 IPRO"/>
    <m/>
    <m/>
    <s v="C1"/>
    <s v="P1"/>
    <s v="BG"/>
    <n v="30"/>
    <n v="747"/>
    <s v="C1"/>
    <n v="747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30"/>
    <s v="NEO680 IPRO"/>
    <m/>
    <m/>
    <s v="S2"/>
    <s v="P1"/>
    <s v="BG"/>
    <n v="30"/>
    <n v="786"/>
    <s v="S2"/>
    <n v="78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31"/>
    <s v="NEO680 IPRO"/>
    <m/>
    <m/>
    <s v="S2"/>
    <s v="P1"/>
    <s v="BG"/>
    <n v="30"/>
    <n v="759"/>
    <s v="S2"/>
    <n v="75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32"/>
    <s v="NEO680 IPRO"/>
    <m/>
    <m/>
    <s v="S2"/>
    <s v="P1"/>
    <s v="BG"/>
    <n v="30"/>
    <n v="760"/>
    <s v="S2"/>
    <n v="76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33"/>
    <s v="NEO680 IPRO"/>
    <m/>
    <m/>
    <s v="S2"/>
    <s v="P1"/>
    <s v="BG"/>
    <n v="30"/>
    <n v="763"/>
    <s v="S2"/>
    <n v="76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35"/>
    <s v="NEO680 IPRO"/>
    <m/>
    <m/>
    <s v="S2"/>
    <s v="P1"/>
    <s v="BG"/>
    <n v="30"/>
    <n v="769"/>
    <s v="S2"/>
    <n v="76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36"/>
    <s v="NEO680 IPRO"/>
    <m/>
    <m/>
    <s v="S2"/>
    <s v="P1"/>
    <s v="BG"/>
    <n v="30"/>
    <n v="739"/>
    <s v="S2"/>
    <n v="73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37"/>
    <s v="NEO680 IPRO"/>
    <m/>
    <m/>
    <s v="S2"/>
    <s v="P1"/>
    <s v="BG"/>
    <n v="30"/>
    <n v="720"/>
    <s v="S2"/>
    <n v="72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38"/>
    <s v="NEO680 IPRO"/>
    <m/>
    <m/>
    <s v="S2"/>
    <s v="P1"/>
    <s v="BG"/>
    <n v="30"/>
    <n v="755"/>
    <s v="S2"/>
    <n v="75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39"/>
    <s v="NEO680 IPRO"/>
    <m/>
    <m/>
    <s v="S2"/>
    <s v="P1"/>
    <s v="BG"/>
    <n v="30"/>
    <n v="746"/>
    <s v="S2"/>
    <n v="74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41"/>
    <s v="NEO680 IPRO"/>
    <m/>
    <m/>
    <s v="S2"/>
    <s v="P1"/>
    <s v="BG"/>
    <n v="30"/>
    <n v="800"/>
    <s v="S2"/>
    <n v="80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43"/>
    <s v="NEO680 IPRO"/>
    <m/>
    <m/>
    <s v="S2"/>
    <s v="P1"/>
    <s v="BG"/>
    <n v="30"/>
    <n v="766"/>
    <s v="S2"/>
    <n v="76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1644"/>
    <s v="NEO680 IPRO"/>
    <m/>
    <m/>
    <s v="S2"/>
    <s v="P1"/>
    <s v="BG"/>
    <n v="9"/>
    <n v="777"/>
    <s v="S2"/>
    <n v="777"/>
    <n v="9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2602"/>
    <s v="NEO680 IPRO"/>
    <m/>
    <m/>
    <s v="S2"/>
    <s v="P2"/>
    <s v="BG"/>
    <n v="24"/>
    <n v="1010"/>
    <s v="S2"/>
    <n v="1010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2605"/>
    <s v="NEO680 IPRO"/>
    <m/>
    <m/>
    <s v="S2"/>
    <s v="P2"/>
    <s v="BG"/>
    <n v="27"/>
    <n v="998"/>
    <s v="S2"/>
    <n v="998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2615"/>
    <s v="NEO680 IPRO"/>
    <m/>
    <m/>
    <s v="S2"/>
    <s v="P2"/>
    <s v="BG"/>
    <n v="27"/>
    <n v="931"/>
    <s v="S2"/>
    <n v="931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2619"/>
    <s v="NEO680 IPRO"/>
    <m/>
    <m/>
    <s v="C1"/>
    <s v="P2"/>
    <s v="BG"/>
    <n v="27"/>
    <n v="928"/>
    <s v="C1"/>
    <n v="928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2623"/>
    <s v="NEO680 IPRO"/>
    <m/>
    <m/>
    <s v="C1"/>
    <s v="P2"/>
    <s v="BG"/>
    <n v="27"/>
    <n v="937"/>
    <s v="C1"/>
    <n v="937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2625"/>
    <s v="NEO680 IPRO"/>
    <m/>
    <m/>
    <s v="C1"/>
    <s v="P2"/>
    <s v="BG"/>
    <n v="27"/>
    <n v="934"/>
    <s v="C1"/>
    <n v="934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2629"/>
    <s v="NEO680 IPRO"/>
    <m/>
    <m/>
    <s v="S2"/>
    <s v="P2"/>
    <s v="BG"/>
    <n v="27"/>
    <n v="917"/>
    <s v="S2"/>
    <n v="917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2634"/>
    <s v="NEO680 IPRO"/>
    <m/>
    <m/>
    <s v="S2"/>
    <s v="P2"/>
    <s v="BG"/>
    <n v="27"/>
    <n v="933"/>
    <s v="S2"/>
    <n v="933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2640"/>
    <s v="NEO680 IPRO"/>
    <m/>
    <m/>
    <s v="S2"/>
    <s v="P2"/>
    <s v="BG"/>
    <n v="30"/>
    <n v="911"/>
    <s v="S2"/>
    <n v="91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149P2642"/>
    <s v="NEO680 IPRO"/>
    <m/>
    <m/>
    <s v="S2"/>
    <s v="P2"/>
    <s v="BG"/>
    <n v="11"/>
    <n v="928"/>
    <s v="S2"/>
    <n v="928"/>
    <n v="11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1901"/>
    <s v="NEO771 I2X"/>
    <m/>
    <m/>
    <s v="C2"/>
    <s v="P1"/>
    <s v="BG"/>
    <n v="30"/>
    <n v="771"/>
    <s v="C2"/>
    <n v="77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1903"/>
    <s v="NEO771 I2X"/>
    <m/>
    <m/>
    <s v="C2"/>
    <s v="P1"/>
    <s v="BG"/>
    <n v="30"/>
    <n v="683"/>
    <s v="C2"/>
    <n v="68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1905"/>
    <s v="NEO771 I2X"/>
    <m/>
    <m/>
    <s v="C2"/>
    <s v="P1"/>
    <s v="BG"/>
    <n v="30"/>
    <n v="688"/>
    <s v="C2"/>
    <n v="68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1907"/>
    <s v="NEO771 I2X"/>
    <m/>
    <m/>
    <s v="C2"/>
    <s v="P1"/>
    <s v="BG"/>
    <n v="30"/>
    <n v="689"/>
    <s v="C2"/>
    <n v="68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1910"/>
    <s v="NEO771 I2X"/>
    <m/>
    <m/>
    <s v="C2"/>
    <s v="P1"/>
    <s v="BG"/>
    <n v="30"/>
    <n v="685"/>
    <s v="C2"/>
    <n v="68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1911"/>
    <s v="NEO771 I2X"/>
    <m/>
    <m/>
    <s v="C2"/>
    <s v="P1"/>
    <s v="BG"/>
    <n v="30"/>
    <n v="680"/>
    <s v="C2"/>
    <n v="68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1913"/>
    <s v="NEO771 I2X"/>
    <m/>
    <m/>
    <s v="C2"/>
    <s v="P1"/>
    <s v="BG"/>
    <n v="30"/>
    <n v="688"/>
    <s v="C2"/>
    <n v="68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1916"/>
    <s v="NEO771 I2X"/>
    <m/>
    <m/>
    <s v="C2"/>
    <s v="P1"/>
    <s v="BG"/>
    <n v="30"/>
    <n v="688"/>
    <s v="C2"/>
    <n v="68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1918"/>
    <s v="NEO771 I2X"/>
    <m/>
    <m/>
    <s v="C2"/>
    <s v="P1"/>
    <s v="BG"/>
    <n v="30"/>
    <n v="679"/>
    <s v="C2"/>
    <n v="67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1920"/>
    <s v="NEO771 I2X"/>
    <m/>
    <m/>
    <s v="C2"/>
    <s v="P1"/>
    <s v="BG"/>
    <n v="30"/>
    <n v="678"/>
    <s v="C2"/>
    <n v="67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1923"/>
    <s v="NEO771 I2X"/>
    <m/>
    <m/>
    <s v="C2"/>
    <s v="P1"/>
    <s v="BG"/>
    <n v="30"/>
    <n v="682"/>
    <s v="C2"/>
    <n v="68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1925"/>
    <s v="NEO771 I2X"/>
    <m/>
    <m/>
    <s v="C2"/>
    <s v="P1"/>
    <s v="BG"/>
    <n v="30"/>
    <n v="673"/>
    <s v="C2"/>
    <n v="67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1928"/>
    <s v="NEO771 I2X"/>
    <m/>
    <m/>
    <s v="C2"/>
    <s v="P1"/>
    <s v="BG"/>
    <n v="5"/>
    <n v="676"/>
    <s v="C2"/>
    <n v="676"/>
    <n v="5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2902"/>
    <s v="NEO771 I2X"/>
    <m/>
    <m/>
    <s v="C2"/>
    <s v="P2"/>
    <s v="BG"/>
    <n v="27"/>
    <n v="941"/>
    <s v="C2"/>
    <n v="941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2904"/>
    <s v="NEO771 I2X"/>
    <m/>
    <m/>
    <s v="C2"/>
    <s v="P2"/>
    <s v="BG"/>
    <n v="30"/>
    <n v="870"/>
    <s v="C2"/>
    <n v="87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2906"/>
    <s v="NEO771 I2X"/>
    <m/>
    <m/>
    <s v="C2"/>
    <s v="P2"/>
    <s v="BG"/>
    <n v="30"/>
    <n v="874"/>
    <s v="C2"/>
    <n v="874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2908"/>
    <s v="NEO771 I2X"/>
    <m/>
    <m/>
    <s v="C2"/>
    <s v="P2"/>
    <s v="BG"/>
    <n v="30"/>
    <n v="874"/>
    <s v="C2"/>
    <n v="874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2909"/>
    <s v="NEO771 I2X"/>
    <m/>
    <m/>
    <s v="C2"/>
    <s v="P2"/>
    <s v="BG"/>
    <n v="30"/>
    <n v="865"/>
    <s v="C2"/>
    <n v="86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2912"/>
    <s v="NEO771 I2X"/>
    <m/>
    <m/>
    <s v="C2"/>
    <s v="P2"/>
    <s v="BG"/>
    <n v="30"/>
    <n v="872"/>
    <s v="C2"/>
    <n v="87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2914"/>
    <s v="NEO771 I2X"/>
    <m/>
    <m/>
    <s v="C2"/>
    <s v="P2"/>
    <s v="BG"/>
    <n v="30"/>
    <n v="878"/>
    <s v="C2"/>
    <n v="87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2915"/>
    <s v="NEO771 I2X"/>
    <m/>
    <m/>
    <s v="C2"/>
    <s v="P2"/>
    <s v="BG"/>
    <n v="30"/>
    <n v="885"/>
    <s v="C2"/>
    <n v="88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2917"/>
    <s v="NEO771 I2X"/>
    <m/>
    <m/>
    <s v="C2"/>
    <s v="P2"/>
    <s v="BG"/>
    <n v="30"/>
    <n v="871"/>
    <s v="C2"/>
    <n v="87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2919"/>
    <s v="NEO771 I2X"/>
    <m/>
    <m/>
    <s v="C2"/>
    <s v="P2"/>
    <s v="BG"/>
    <n v="30"/>
    <n v="879"/>
    <s v="C2"/>
    <n v="87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2921"/>
    <s v="NEO771 I2X"/>
    <m/>
    <m/>
    <s v="C2"/>
    <s v="P2"/>
    <s v="BG"/>
    <n v="30"/>
    <n v="878"/>
    <s v="C2"/>
    <n v="87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2922"/>
    <s v="NEO771 I2X"/>
    <m/>
    <m/>
    <s v="C2"/>
    <s v="P2"/>
    <s v="BG"/>
    <n v="30"/>
    <n v="870"/>
    <s v="C2"/>
    <n v="87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2924"/>
    <s v="NEO771 I2X"/>
    <m/>
    <m/>
    <s v="C2"/>
    <s v="P2"/>
    <s v="BG"/>
    <n v="30"/>
    <n v="874"/>
    <s v="C2"/>
    <n v="874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2926"/>
    <s v="NEO771 I2X"/>
    <m/>
    <m/>
    <s v="C2"/>
    <s v="P2"/>
    <s v="BG"/>
    <n v="30"/>
    <n v="866"/>
    <s v="C2"/>
    <n v="86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0P2927"/>
    <s v="NEO771 I2X"/>
    <m/>
    <m/>
    <s v="C2"/>
    <s v="P2"/>
    <s v="BG"/>
    <n v="27"/>
    <n v="881"/>
    <s v="C2"/>
    <n v="881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7P1801"/>
    <s v="NEO780 CE"/>
    <m/>
    <m/>
    <s v="C1"/>
    <s v="P1"/>
    <s v="BG"/>
    <n v="30"/>
    <n v="846"/>
    <s v="C1"/>
    <n v="84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7P1803"/>
    <s v="NEO780 CE"/>
    <m/>
    <m/>
    <s v="C1"/>
    <s v="P1"/>
    <s v="BG"/>
    <n v="30"/>
    <n v="848"/>
    <s v="C1"/>
    <n v="84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7P1805"/>
    <s v="NEO780 CE"/>
    <m/>
    <m/>
    <s v="C1"/>
    <s v="P1"/>
    <s v="BG"/>
    <n v="30"/>
    <n v="855"/>
    <s v="C1"/>
    <n v="85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7P1807"/>
    <s v="NEO780 CE"/>
    <m/>
    <m/>
    <s v="C1"/>
    <s v="P1"/>
    <s v="BG"/>
    <n v="30"/>
    <n v="846"/>
    <s v="C1"/>
    <n v="84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7P1808"/>
    <s v="NEO780 CE"/>
    <m/>
    <m/>
    <s v="C1"/>
    <s v="P1"/>
    <s v="BG"/>
    <n v="30"/>
    <n v="850"/>
    <s v="C1"/>
    <n v="85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7P1810"/>
    <s v="NEO780 CE"/>
    <m/>
    <m/>
    <s v="C1"/>
    <s v="P1"/>
    <s v="BG"/>
    <n v="2"/>
    <n v="851"/>
    <s v="C1"/>
    <n v="851"/>
    <n v="2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7P2802"/>
    <s v="NEO780 CE"/>
    <m/>
    <m/>
    <s v="C1"/>
    <s v="P2"/>
    <s v="BG"/>
    <n v="24"/>
    <n v="1039"/>
    <s v="C1"/>
    <n v="1039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7P2804"/>
    <s v="NEO780 CE"/>
    <m/>
    <m/>
    <s v="C1"/>
    <s v="P2"/>
    <s v="BG"/>
    <n v="24"/>
    <n v="1032"/>
    <s v="C1"/>
    <n v="1032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7P2806"/>
    <s v="NEO780 CE"/>
    <m/>
    <m/>
    <s v="C1"/>
    <s v="P2"/>
    <s v="BG"/>
    <n v="24"/>
    <n v="1032"/>
    <s v="C1"/>
    <n v="1032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7P2809"/>
    <s v="NEO780 CE"/>
    <m/>
    <m/>
    <s v="C1"/>
    <s v="P2"/>
    <s v="BG"/>
    <n v="17"/>
    <n v="1029"/>
    <s v="C1"/>
    <n v="1029"/>
    <n v="1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1301"/>
    <s v="NEO801 CE"/>
    <m/>
    <m/>
    <s v="C2"/>
    <s v="P1"/>
    <s v="BG"/>
    <n v="30"/>
    <n v="815"/>
    <s v="C2"/>
    <n v="81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1304"/>
    <s v="NEO801 CE"/>
    <m/>
    <m/>
    <s v="C2"/>
    <s v="P1"/>
    <s v="BG"/>
    <n v="30"/>
    <n v="823"/>
    <s v="C2"/>
    <n v="82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1306"/>
    <s v="NEO801 CE"/>
    <m/>
    <m/>
    <s v="C2"/>
    <s v="P1"/>
    <s v="BG"/>
    <n v="19"/>
    <n v="832"/>
    <s v="C2"/>
    <n v="832"/>
    <n v="19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1309"/>
    <s v="NEO801 CE"/>
    <m/>
    <m/>
    <s v="C2"/>
    <s v="P1"/>
    <s v="BG"/>
    <n v="30"/>
    <n v="689"/>
    <s v="C2"/>
    <n v="68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1310"/>
    <s v="NEO801 CE"/>
    <m/>
    <m/>
    <s v="C2"/>
    <s v="P1"/>
    <s v="BG"/>
    <n v="30"/>
    <n v="668"/>
    <s v="C2"/>
    <n v="66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1312"/>
    <s v="NEO801 CE"/>
    <m/>
    <m/>
    <s v="C2"/>
    <s v="P1"/>
    <s v="BG"/>
    <n v="30"/>
    <n v="668"/>
    <s v="C2"/>
    <n v="66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1314"/>
    <s v="NEO801 CE"/>
    <m/>
    <m/>
    <s v="C2"/>
    <s v="P1"/>
    <s v="BG"/>
    <n v="30"/>
    <n v="673"/>
    <s v="C2"/>
    <n v="67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1315"/>
    <s v="NEO801 CE"/>
    <m/>
    <m/>
    <s v="C2"/>
    <s v="P1"/>
    <s v="BG"/>
    <n v="30"/>
    <n v="669"/>
    <s v="C2"/>
    <n v="66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1317"/>
    <s v="NEO801 CE"/>
    <m/>
    <m/>
    <s v="C2"/>
    <s v="P1"/>
    <s v="BG"/>
    <n v="30"/>
    <n v="676"/>
    <s v="C2"/>
    <n v="67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1319"/>
    <s v="NEO801 CE"/>
    <m/>
    <m/>
    <s v="C2"/>
    <s v="P1"/>
    <s v="BG"/>
    <n v="30"/>
    <n v="667"/>
    <s v="C2"/>
    <n v="667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1320"/>
    <s v="NEO801 CE"/>
    <m/>
    <m/>
    <s v="C2"/>
    <s v="P1"/>
    <s v="BG"/>
    <n v="30"/>
    <n v="680"/>
    <s v="C2"/>
    <n v="68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1322"/>
    <s v="NEO801 CE"/>
    <m/>
    <m/>
    <s v="C2"/>
    <s v="P1"/>
    <s v="BG"/>
    <n v="30"/>
    <n v="703"/>
    <s v="C2"/>
    <n v="70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1324"/>
    <s v="NEO801 CE"/>
    <m/>
    <m/>
    <s v="C2"/>
    <s v="P1"/>
    <s v="BG"/>
    <n v="11"/>
    <n v="702"/>
    <s v="C2"/>
    <n v="702"/>
    <n v="11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2302"/>
    <s v="NEO801 CE"/>
    <m/>
    <m/>
    <s v="C2"/>
    <s v="P2"/>
    <s v="BG"/>
    <n v="24"/>
    <n v="1003"/>
    <s v="C2"/>
    <n v="1003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2303"/>
    <s v="NEO801 CE"/>
    <m/>
    <m/>
    <s v="C2"/>
    <s v="P2"/>
    <s v="BG"/>
    <n v="27"/>
    <n v="1000"/>
    <s v="C2"/>
    <n v="1000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2305"/>
    <s v="NEO801 CE"/>
    <m/>
    <m/>
    <s v="C2"/>
    <s v="P2"/>
    <s v="BG"/>
    <n v="24"/>
    <n v="1019"/>
    <s v="C2"/>
    <n v="1019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2307"/>
    <s v="NEO801 CE"/>
    <m/>
    <m/>
    <s v="C2"/>
    <s v="P2"/>
    <s v="BG"/>
    <n v="14"/>
    <n v="955"/>
    <s v="C2"/>
    <n v="955"/>
    <n v="1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2308"/>
    <s v="NEO801 CE"/>
    <m/>
    <m/>
    <s v="C2"/>
    <s v="P2"/>
    <s v="BG"/>
    <n v="30"/>
    <n v="884"/>
    <s v="C2"/>
    <n v="884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2311"/>
    <s v="NEO801 CE"/>
    <m/>
    <m/>
    <s v="C2"/>
    <s v="P2"/>
    <s v="BG"/>
    <n v="30"/>
    <n v="859"/>
    <s v="C2"/>
    <n v="85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2313"/>
    <s v="NEO801 CE"/>
    <m/>
    <m/>
    <s v="C2"/>
    <s v="P2"/>
    <s v="BG"/>
    <n v="30"/>
    <n v="868"/>
    <s v="C2"/>
    <n v="86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2316"/>
    <s v="NEO801 CE"/>
    <m/>
    <m/>
    <s v="C2"/>
    <s v="P2"/>
    <s v="BG"/>
    <n v="30"/>
    <n v="861"/>
    <s v="C2"/>
    <n v="86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2318"/>
    <s v="NEO801 CE"/>
    <m/>
    <m/>
    <s v="C2"/>
    <s v="P2"/>
    <s v="BG"/>
    <n v="30"/>
    <n v="869"/>
    <s v="C2"/>
    <n v="86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2321"/>
    <s v="NEO801 CE"/>
    <m/>
    <m/>
    <s v="C2"/>
    <s v="P2"/>
    <s v="BG"/>
    <n v="30"/>
    <n v="880"/>
    <s v="C2"/>
    <n v="88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2323"/>
    <s v="NEO801 CE"/>
    <m/>
    <m/>
    <s v="C2"/>
    <s v="P2"/>
    <s v="BG"/>
    <n v="30"/>
    <n v="884"/>
    <s v="C2"/>
    <n v="884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41P2325"/>
    <s v="NEO801 CE"/>
    <m/>
    <m/>
    <s v="C2"/>
    <s v="P2"/>
    <s v="BG"/>
    <n v="21"/>
    <n v="884"/>
    <s v="C2"/>
    <n v="884"/>
    <n v="21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9P1409"/>
    <s v="NEO811 I2X"/>
    <m/>
    <m/>
    <s v="C1"/>
    <s v="P1"/>
    <s v="BG"/>
    <n v="30"/>
    <n v="652"/>
    <s v="C1"/>
    <n v="65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9P1410"/>
    <s v="NEO811 I2X"/>
    <m/>
    <m/>
    <s v="C1"/>
    <s v="P1"/>
    <s v="BG"/>
    <n v="30"/>
    <n v="656"/>
    <s v="C1"/>
    <n v="65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9P1412"/>
    <s v="NEO811 I2X"/>
    <m/>
    <m/>
    <s v="C1"/>
    <s v="P1"/>
    <s v="BG"/>
    <n v="30"/>
    <n v="656"/>
    <s v="C1"/>
    <n v="65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9P1414"/>
    <s v="NEO811 I2X"/>
    <m/>
    <m/>
    <s v="C1"/>
    <s v="P1"/>
    <s v="BG"/>
    <n v="30"/>
    <n v="658"/>
    <s v="C1"/>
    <n v="65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9P1415"/>
    <s v="NEO811 I2X"/>
    <m/>
    <m/>
    <s v="C1"/>
    <s v="P1"/>
    <s v="BG"/>
    <n v="18"/>
    <n v="640"/>
    <s v="C1"/>
    <n v="640"/>
    <n v="18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9P2408"/>
    <s v="NEO811 I2X"/>
    <m/>
    <m/>
    <s v="C1"/>
    <s v="P2"/>
    <s v="BG"/>
    <n v="30"/>
    <n v="809"/>
    <s v="C1"/>
    <n v="80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9P2411"/>
    <s v="NEO811 I2X"/>
    <m/>
    <m/>
    <s v="C1"/>
    <s v="P2"/>
    <s v="BG"/>
    <n v="30"/>
    <n v="801"/>
    <s v="C1"/>
    <n v="80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9P2413"/>
    <s v="NEO811 I2X"/>
    <m/>
    <m/>
    <s v="C1"/>
    <s v="P2"/>
    <s v="BG"/>
    <n v="30"/>
    <n v="826"/>
    <s v="C1"/>
    <n v="82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59P2416"/>
    <s v="NEO811 I2X"/>
    <m/>
    <m/>
    <s v="C1"/>
    <s v="P2"/>
    <s v="BG"/>
    <n v="1"/>
    <n v="794"/>
    <s v="C1"/>
    <n v="794"/>
    <n v="1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1101"/>
    <s v="O790 IPRO"/>
    <m/>
    <m/>
    <s v="S1"/>
    <s v="P1"/>
    <s v="BG"/>
    <n v="30"/>
    <n v="792"/>
    <s v="S1"/>
    <n v="792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1103"/>
    <s v="O790 IPRO"/>
    <m/>
    <m/>
    <s v="S1"/>
    <s v="P1"/>
    <s v="BG"/>
    <n v="30"/>
    <n v="775"/>
    <s v="S1"/>
    <n v="77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1105"/>
    <s v="O790 IPRO"/>
    <m/>
    <m/>
    <s v="S1"/>
    <s v="P1"/>
    <s v="BG"/>
    <n v="30"/>
    <n v="818"/>
    <s v="S1"/>
    <n v="818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1107"/>
    <s v="O790 IPRO"/>
    <m/>
    <m/>
    <s v="S1"/>
    <s v="P1"/>
    <s v="BG"/>
    <n v="30"/>
    <n v="806"/>
    <s v="S1"/>
    <n v="806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1109"/>
    <s v="O790 IPRO"/>
    <m/>
    <m/>
    <s v="S1"/>
    <s v="P1"/>
    <s v="BG"/>
    <n v="30"/>
    <n v="800"/>
    <s v="S1"/>
    <n v="80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1111"/>
    <s v="O790 IPRO"/>
    <m/>
    <m/>
    <s v="S1"/>
    <s v="P1"/>
    <s v="BG"/>
    <n v="30"/>
    <n v="803"/>
    <s v="S1"/>
    <n v="803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1113"/>
    <s v="O790 IPRO"/>
    <m/>
    <m/>
    <s v="S1"/>
    <s v="P1"/>
    <s v="BG"/>
    <n v="30"/>
    <n v="801"/>
    <s v="S1"/>
    <n v="80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1116"/>
    <s v="O790 IPRO"/>
    <m/>
    <m/>
    <s v="S1"/>
    <s v="P1"/>
    <s v="BG"/>
    <n v="30"/>
    <n v="810"/>
    <s v="S1"/>
    <n v="810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1118"/>
    <s v="O790 IPRO"/>
    <m/>
    <m/>
    <s v="S1"/>
    <s v="P1"/>
    <s v="BG"/>
    <n v="30"/>
    <n v="811"/>
    <s v="S1"/>
    <n v="81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1120"/>
    <s v="O790 IPRO"/>
    <m/>
    <m/>
    <s v="S1"/>
    <s v="P1"/>
    <s v="BG"/>
    <n v="30"/>
    <n v="805"/>
    <s v="S1"/>
    <n v="805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1122"/>
    <s v="O790 IPRO"/>
    <m/>
    <m/>
    <s v="S1"/>
    <s v="P1"/>
    <s v="BG"/>
    <n v="30"/>
    <n v="791"/>
    <s v="S1"/>
    <n v="79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1124"/>
    <s v="O790 IPRO"/>
    <m/>
    <m/>
    <s v="S1"/>
    <s v="P1"/>
    <s v="BG"/>
    <n v="30"/>
    <n v="791"/>
    <s v="S1"/>
    <n v="791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1126"/>
    <s v="O790 IPRO"/>
    <m/>
    <m/>
    <s v="S1"/>
    <s v="P1"/>
    <s v="BG"/>
    <n v="30"/>
    <n v="814"/>
    <s v="S1"/>
    <n v="814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1129"/>
    <s v="O790 IPRO"/>
    <m/>
    <m/>
    <s v="S1"/>
    <s v="P1"/>
    <s v="BG"/>
    <n v="30"/>
    <n v="799"/>
    <s v="S1"/>
    <n v="799"/>
    <n v="3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1130"/>
    <s v="O790 IPRO"/>
    <m/>
    <m/>
    <s v="S1"/>
    <s v="P1"/>
    <s v="BG"/>
    <n v="20"/>
    <n v="792"/>
    <s v="S1"/>
    <n v="792"/>
    <n v="20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02"/>
    <s v="O790 IPRO"/>
    <m/>
    <m/>
    <s v="S1"/>
    <s v="P2"/>
    <s v="BG"/>
    <n v="24"/>
    <n v="1028"/>
    <s v="S1"/>
    <n v="1028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04"/>
    <s v="O790 IPRO"/>
    <m/>
    <m/>
    <s v="S1"/>
    <s v="P2"/>
    <s v="BG"/>
    <n v="24"/>
    <n v="1029"/>
    <s v="S1"/>
    <n v="1029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06"/>
    <s v="O790 IPRO"/>
    <m/>
    <m/>
    <s v="S1"/>
    <s v="P2"/>
    <s v="BG"/>
    <n v="24"/>
    <n v="1033"/>
    <s v="S1"/>
    <n v="1033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08"/>
    <s v="O790 IPRO"/>
    <m/>
    <m/>
    <s v="S1"/>
    <s v="P2"/>
    <s v="BG"/>
    <n v="24"/>
    <n v="1031"/>
    <s v="S1"/>
    <n v="1031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10"/>
    <s v="O790 IPRO"/>
    <m/>
    <m/>
    <s v="S1"/>
    <s v="P2"/>
    <s v="BG"/>
    <n v="24"/>
    <n v="1030"/>
    <s v="S1"/>
    <n v="1030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12"/>
    <s v="O790 IPRO"/>
    <m/>
    <m/>
    <s v="S1"/>
    <s v="P2"/>
    <s v="BG"/>
    <n v="24"/>
    <n v="1028"/>
    <s v="S1"/>
    <n v="1028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14"/>
    <s v="O790 IPRO"/>
    <m/>
    <m/>
    <s v="S1"/>
    <s v="P2"/>
    <s v="BG"/>
    <n v="24"/>
    <n v="1022"/>
    <s v="S1"/>
    <n v="1022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15"/>
    <s v="O790 IPRO"/>
    <m/>
    <m/>
    <s v="S1"/>
    <s v="P2"/>
    <s v="BG"/>
    <n v="24"/>
    <n v="1020"/>
    <s v="S1"/>
    <n v="1020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17"/>
    <s v="O790 IPRO"/>
    <m/>
    <m/>
    <s v="S1"/>
    <s v="P2"/>
    <s v="BG"/>
    <n v="24"/>
    <n v="1038"/>
    <s v="S1"/>
    <n v="1038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19"/>
    <s v="O790 IPRO"/>
    <m/>
    <m/>
    <s v="S1"/>
    <s v="P2"/>
    <s v="BG"/>
    <n v="24"/>
    <n v="1041"/>
    <s v="S1"/>
    <n v="1041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21"/>
    <s v="O790 IPRO"/>
    <m/>
    <m/>
    <s v="S1"/>
    <s v="P2"/>
    <s v="BG"/>
    <n v="24"/>
    <n v="1053"/>
    <s v="S1"/>
    <n v="1053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23"/>
    <s v="O790 IPRO"/>
    <m/>
    <m/>
    <s v="S1"/>
    <s v="P2"/>
    <s v="BG"/>
    <n v="24"/>
    <n v="1038"/>
    <s v="S1"/>
    <n v="1038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25"/>
    <s v="O790 IPRO"/>
    <m/>
    <m/>
    <s v="S1"/>
    <s v="P2"/>
    <s v="BG"/>
    <n v="24"/>
    <n v="1015"/>
    <s v="S1"/>
    <n v="1015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27"/>
    <s v="O790 IPRO"/>
    <m/>
    <m/>
    <s v="S1"/>
    <s v="P2"/>
    <s v="BG"/>
    <n v="24"/>
    <n v="1045"/>
    <s v="S1"/>
    <n v="1045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28"/>
    <s v="O790 IPRO"/>
    <m/>
    <m/>
    <s v="S1"/>
    <s v="P2"/>
    <s v="BG"/>
    <n v="24"/>
    <n v="1015"/>
    <s v="S1"/>
    <n v="1015"/>
    <n v="24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714P2131"/>
    <s v="O790 IPRO"/>
    <m/>
    <m/>
    <s v="S1"/>
    <s v="P2"/>
    <s v="BG"/>
    <n v="18"/>
    <n v="1023"/>
    <s v="S1"/>
    <n v="1023"/>
    <n v="18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64P1426"/>
    <s v="O820 IPRO"/>
    <m/>
    <m/>
    <s v="S1"/>
    <s v="P1"/>
    <s v="BG"/>
    <n v="27"/>
    <n v="967"/>
    <s v="S1"/>
    <n v="967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64P1428"/>
    <s v="O820 IPRO"/>
    <m/>
    <m/>
    <s v="S1"/>
    <s v="P1"/>
    <s v="BG"/>
    <n v="27"/>
    <n v="981"/>
    <s v="S1"/>
    <n v="981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64P1430"/>
    <s v="O820 IPRO"/>
    <m/>
    <m/>
    <s v="S1"/>
    <s v="P1"/>
    <s v="BG"/>
    <n v="27"/>
    <n v="995"/>
    <s v="S1"/>
    <n v="995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64P1432"/>
    <s v="O820 IPRO"/>
    <m/>
    <m/>
    <s v="S1"/>
    <s v="P1"/>
    <s v="BG"/>
    <n v="27"/>
    <n v="984"/>
    <s v="S1"/>
    <n v="984"/>
    <n v="27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64P1434"/>
    <s v="O820 IPRO"/>
    <m/>
    <m/>
    <s v="S1"/>
    <s v="P1"/>
    <s v="BG"/>
    <n v="11"/>
    <n v="1002"/>
    <s v="S1"/>
    <n v="1002"/>
    <n v="11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64P2427"/>
    <s v="O820 IPRO"/>
    <m/>
    <m/>
    <s v="S1"/>
    <s v="P2"/>
    <s v="BG"/>
    <n v="18"/>
    <n v="1177"/>
    <s v="S1"/>
    <n v="1177"/>
    <n v="18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64P2429"/>
    <s v="O820 IPRO"/>
    <m/>
    <m/>
    <s v="S1"/>
    <s v="P2"/>
    <s v="BG"/>
    <n v="18"/>
    <n v="1178"/>
    <s v="S1"/>
    <n v="1178"/>
    <n v="18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64P2431"/>
    <s v="O820 IPRO"/>
    <m/>
    <m/>
    <s v="S1"/>
    <s v="P2"/>
    <s v="BG"/>
    <n v="18"/>
    <n v="1182"/>
    <s v="S1"/>
    <n v="1182"/>
    <n v="18"/>
    <m/>
    <m/>
    <m/>
    <s v="SIM"/>
    <n v="1"/>
    <d v="2026-05-28T00:00:00"/>
    <x v="1"/>
    <s v="Renato de Castro"/>
    <s v="Givaldo de Marinho"/>
    <s v="Luziano Alves"/>
  </r>
  <r>
    <x v="0"/>
    <s v="GO"/>
    <s v="0101"/>
    <n v="11"/>
    <x v="0"/>
    <s v="11264P2433"/>
    <s v="O820 IPRO"/>
    <m/>
    <m/>
    <s v="S1"/>
    <s v="P2"/>
    <s v="BG"/>
    <n v="4"/>
    <n v="1193"/>
    <s v="S1"/>
    <n v="1193"/>
    <n v="4"/>
    <m/>
    <m/>
    <m/>
    <s v="SIM"/>
    <n v="1"/>
    <d v="2026-05-28T00:00:00"/>
    <x v="1"/>
    <s v="Renato de Castro"/>
    <s v="Givaldo de Marinho"/>
    <s v="Luziano Alves"/>
  </r>
  <r>
    <x v="1"/>
    <s v="GO"/>
    <s v="0101"/>
    <n v="10"/>
    <x v="0"/>
    <s v="11026739P1001"/>
    <s v="NEO700 I2X"/>
    <m/>
    <m/>
    <s v="C2"/>
    <s v="P1"/>
    <s v="BG"/>
    <n v="27"/>
    <n v="923"/>
    <s v="C2"/>
    <n v="923"/>
    <n v="27"/>
    <s v="Cam.C"/>
    <s v="QD.37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03"/>
    <s v="NEO700 I2X"/>
    <m/>
    <m/>
    <s v="C2"/>
    <s v="P1"/>
    <s v="BG"/>
    <n v="30"/>
    <n v="868"/>
    <s v="C2"/>
    <n v="868"/>
    <n v="30"/>
    <s v="Cam.C"/>
    <s v="QD.37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04"/>
    <s v="NEO700 I2X"/>
    <m/>
    <m/>
    <s v="C2"/>
    <s v="P1"/>
    <s v="BG"/>
    <n v="30"/>
    <n v="782"/>
    <s v="C2"/>
    <n v="782"/>
    <n v="30"/>
    <s v="Cam.C"/>
    <s v="QD.37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05"/>
    <s v="NEO700 I2X"/>
    <m/>
    <m/>
    <s v="C2"/>
    <s v="P2"/>
    <s v="BG"/>
    <n v="27"/>
    <n v="964"/>
    <s v="C2"/>
    <n v="964"/>
    <n v="27"/>
    <s v="Cam.C"/>
    <s v="QD.34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02"/>
    <s v="NEO700 I2X"/>
    <m/>
    <m/>
    <s v="C2"/>
    <s v="P2"/>
    <s v="BG"/>
    <n v="9"/>
    <n v="1127"/>
    <s v="C2"/>
    <n v="1127"/>
    <n v="9"/>
    <s v="Cam.C"/>
    <s v="QD.38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06"/>
    <s v="NEO700 I2X"/>
    <m/>
    <m/>
    <s v="C2"/>
    <s v="P1"/>
    <s v="BG"/>
    <n v="30"/>
    <n v="795"/>
    <s v="C2"/>
    <n v="795"/>
    <n v="30"/>
    <s v="Cam.C"/>
    <s v="QD.35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07"/>
    <s v="NEO700 I2X"/>
    <m/>
    <m/>
    <s v="C2"/>
    <s v="P1"/>
    <s v="BG"/>
    <n v="30"/>
    <n v="790"/>
    <s v="C2"/>
    <n v="790"/>
    <n v="30"/>
    <s v="Cam.C"/>
    <s v="QD.35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08"/>
    <s v="NEO700 I2X"/>
    <m/>
    <m/>
    <s v="C2"/>
    <s v="P2"/>
    <s v="BG"/>
    <n v="27"/>
    <n v="946"/>
    <s v="C2"/>
    <n v="946"/>
    <n v="27"/>
    <s v="Cam.C"/>
    <s v="QD.34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09"/>
    <s v="NEO700 I2X"/>
    <m/>
    <m/>
    <s v="C2"/>
    <s v="P1"/>
    <s v="BG"/>
    <n v="30"/>
    <n v="791"/>
    <s v="C2"/>
    <n v="791"/>
    <n v="30"/>
    <s v="Cam.C"/>
    <s v="QD.35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10"/>
    <s v="NEO700 I2X"/>
    <m/>
    <m/>
    <s v="C2"/>
    <s v="P1"/>
    <s v="BG"/>
    <n v="30"/>
    <n v="790"/>
    <s v="C2"/>
    <n v="790"/>
    <n v="30"/>
    <s v="Cam.C"/>
    <s v="QD.35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11"/>
    <s v="NEO700 I2X"/>
    <m/>
    <m/>
    <s v="C2"/>
    <s v="P2"/>
    <s v="BG"/>
    <n v="27"/>
    <n v="955"/>
    <s v="C2"/>
    <n v="955"/>
    <n v="27"/>
    <s v="Cam.C"/>
    <s v="QD.34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12"/>
    <s v="NEO700 I2X"/>
    <m/>
    <m/>
    <s v="C2"/>
    <s v="P1"/>
    <s v="BG"/>
    <n v="30"/>
    <n v="775"/>
    <s v="C2"/>
    <n v="775"/>
    <n v="30"/>
    <s v="Cam.C"/>
    <s v="QD.33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13"/>
    <s v="NEO700 I2X"/>
    <m/>
    <m/>
    <s v="C2"/>
    <s v="P2"/>
    <s v="BG"/>
    <n v="27"/>
    <n v="964"/>
    <s v="C2"/>
    <n v="964"/>
    <n v="27"/>
    <s v="Cam.C"/>
    <s v="QD.34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14"/>
    <s v="NEO700 I2X"/>
    <m/>
    <m/>
    <s v="C2"/>
    <s v="P1"/>
    <s v="BG"/>
    <n v="30"/>
    <n v="800"/>
    <s v="C2"/>
    <n v="800"/>
    <n v="30"/>
    <s v="Cam.C"/>
    <s v="QD.37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15"/>
    <s v="NEO700 I2X"/>
    <m/>
    <m/>
    <s v="C2"/>
    <s v="P1"/>
    <s v="BG"/>
    <n v="30"/>
    <n v="787"/>
    <s v="C2"/>
    <n v="787"/>
    <n v="30"/>
    <s v="Cam.C"/>
    <s v="QD.33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18"/>
    <s v="NEO700 I2X"/>
    <m/>
    <m/>
    <s v="C2"/>
    <s v="P1"/>
    <s v="BG"/>
    <n v="30"/>
    <n v="804"/>
    <s v="C2"/>
    <n v="804"/>
    <n v="30"/>
    <s v="Cam.C"/>
    <s v="QD.31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19"/>
    <s v="NEO700 I2X"/>
    <m/>
    <m/>
    <s v="C2"/>
    <s v="P2"/>
    <s v="BG"/>
    <n v="27"/>
    <n v="973"/>
    <s v="C2"/>
    <n v="973"/>
    <n v="27"/>
    <s v="Cam.C"/>
    <s v="QD.32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16"/>
    <s v="NEO700 I2X"/>
    <m/>
    <m/>
    <s v="C2"/>
    <s v="P2"/>
    <s v="BG"/>
    <n v="27"/>
    <n v="949"/>
    <s v="C2"/>
    <n v="949"/>
    <n v="27"/>
    <s v="Cam.C"/>
    <s v="QD.32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17"/>
    <s v="NEO700 I2X"/>
    <m/>
    <m/>
    <s v="C2"/>
    <s v="P1"/>
    <s v="BG"/>
    <n v="30"/>
    <n v="798"/>
    <s v="C2"/>
    <n v="798"/>
    <n v="30"/>
    <s v="Cam.C"/>
    <s v="QD.33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20"/>
    <s v="NEO700 I2X"/>
    <m/>
    <m/>
    <s v="C2"/>
    <s v="P2"/>
    <s v="BG"/>
    <n v="27"/>
    <n v="998"/>
    <s v="C2"/>
    <n v="998"/>
    <n v="27"/>
    <s v="Cam.C"/>
    <s v="QD.32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21"/>
    <s v="NEO700 I2X"/>
    <m/>
    <m/>
    <s v="C2"/>
    <s v="P1"/>
    <s v="BG"/>
    <n v="24"/>
    <n v="825"/>
    <s v="C2"/>
    <n v="825"/>
    <n v="24"/>
    <s v="Cam.C"/>
    <s v="QD.33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22"/>
    <s v="NEO700 I2X"/>
    <m/>
    <m/>
    <s v="C2"/>
    <s v="P2"/>
    <s v="BG"/>
    <n v="27"/>
    <n v="969"/>
    <s v="C2"/>
    <n v="969"/>
    <n v="27"/>
    <s v="Cam.C"/>
    <s v="QD.32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23"/>
    <s v="NEO700 I2X"/>
    <m/>
    <m/>
    <s v="C2"/>
    <s v="P1"/>
    <s v="BG"/>
    <n v="30"/>
    <n v="813"/>
    <s v="C2"/>
    <n v="813"/>
    <n v="30"/>
    <s v="Cam.C"/>
    <s v="QD.31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24"/>
    <s v="NEO700 I2X"/>
    <m/>
    <m/>
    <s v="C2"/>
    <s v="P2"/>
    <s v="BG"/>
    <n v="27"/>
    <n v="964"/>
    <s v="C2"/>
    <n v="964"/>
    <n v="27"/>
    <s v="Cam.C"/>
    <s v="QD.30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25"/>
    <s v="NEO700 I2X"/>
    <m/>
    <m/>
    <s v="C2"/>
    <s v="P1"/>
    <s v="BG"/>
    <n v="30"/>
    <n v="806"/>
    <s v="C2"/>
    <n v="806"/>
    <n v="30"/>
    <s v="Cam.C"/>
    <s v="QD.31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26"/>
    <s v="NEO700 I2X"/>
    <m/>
    <m/>
    <s v="C2"/>
    <s v="P2"/>
    <s v="BG"/>
    <n v="27"/>
    <n v="956"/>
    <s v="C2"/>
    <n v="956"/>
    <n v="27"/>
    <s v="Cam.C"/>
    <s v="QD.30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27"/>
    <s v="NEO700 I2X"/>
    <m/>
    <m/>
    <s v="C2"/>
    <s v="P2"/>
    <s v="BG"/>
    <n v="27"/>
    <n v="963"/>
    <s v="C2"/>
    <n v="963"/>
    <n v="27"/>
    <s v="Cam.C"/>
    <s v="QD.30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28"/>
    <s v="NEO700 I2X"/>
    <m/>
    <m/>
    <s v="C2"/>
    <s v="P1"/>
    <s v="BG"/>
    <n v="30"/>
    <n v="805"/>
    <s v="C2"/>
    <n v="805"/>
    <n v="30"/>
    <s v="Cam.C"/>
    <s v="QD.31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29"/>
    <s v="NEO700 I2X"/>
    <m/>
    <m/>
    <s v="C2"/>
    <s v="P2"/>
    <s v="BG"/>
    <n v="27"/>
    <n v="958"/>
    <s v="C2"/>
    <n v="958"/>
    <n v="27"/>
    <s v="Cam.C"/>
    <s v="QD.30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30"/>
    <s v="NEO700 I2X"/>
    <m/>
    <m/>
    <s v="C2"/>
    <s v="P1"/>
    <s v="BG"/>
    <n v="30"/>
    <n v="803"/>
    <s v="C2"/>
    <n v="803"/>
    <n v="30"/>
    <s v="Cam.C"/>
    <s v="QD.29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31"/>
    <s v="NEO700 I2X"/>
    <m/>
    <m/>
    <s v="C2"/>
    <s v="P2"/>
    <s v="BG"/>
    <n v="27"/>
    <n v="940"/>
    <s v="C2"/>
    <n v="940"/>
    <n v="27"/>
    <s v="Cam.C"/>
    <s v="QD.27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32"/>
    <s v="NEO700 I2X"/>
    <m/>
    <m/>
    <s v="C2"/>
    <s v="P2"/>
    <s v="BG"/>
    <n v="27"/>
    <n v="956"/>
    <s v="C2"/>
    <n v="956"/>
    <n v="27"/>
    <s v="Cam.C"/>
    <s v="QD.27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33"/>
    <s v="NEO700 I2X"/>
    <m/>
    <m/>
    <s v="C2"/>
    <s v="P1"/>
    <s v="BG"/>
    <n v="30"/>
    <n v="829"/>
    <s v="C2"/>
    <n v="829"/>
    <n v="30"/>
    <s v="Cam.C"/>
    <s v="QD.29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34"/>
    <s v="NEO700 I2X"/>
    <m/>
    <m/>
    <s v="C2"/>
    <s v="P2"/>
    <s v="BG"/>
    <n v="27"/>
    <n v="937"/>
    <s v="C2"/>
    <n v="937"/>
    <n v="27"/>
    <s v="Cam.C"/>
    <s v="QD.27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35"/>
    <s v="NEO700 I2X"/>
    <m/>
    <m/>
    <s v="C2"/>
    <s v="P1"/>
    <s v="BG"/>
    <n v="30"/>
    <n v="782"/>
    <s v="C2"/>
    <n v="782"/>
    <n v="30"/>
    <s v="Cam.C"/>
    <s v="QD.29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36"/>
    <s v="NEO700 I2X"/>
    <m/>
    <m/>
    <s v="C2"/>
    <s v="P1"/>
    <s v="BG"/>
    <n v="30"/>
    <n v="782"/>
    <s v="C2"/>
    <n v="782"/>
    <n v="30"/>
    <s v="Cam.C"/>
    <s v="QD.29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37"/>
    <s v="NEO700 I2X"/>
    <m/>
    <m/>
    <s v="C2"/>
    <s v="P2"/>
    <s v="BG"/>
    <n v="27"/>
    <n v="931"/>
    <s v="C2"/>
    <n v="931"/>
    <n v="27"/>
    <s v="Cam.C"/>
    <s v="QD.27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38"/>
    <s v="NEO700 I2X"/>
    <m/>
    <m/>
    <s v="C2"/>
    <s v="P1"/>
    <s v="BG"/>
    <n v="30"/>
    <n v="793"/>
    <s v="C2"/>
    <n v="793"/>
    <n v="30"/>
    <s v="Cam.C"/>
    <s v="QD.26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39"/>
    <s v="NEO700 I2X"/>
    <m/>
    <m/>
    <s v="C2"/>
    <s v="P2"/>
    <s v="BG"/>
    <n v="27"/>
    <n v="948"/>
    <s v="C2"/>
    <n v="948"/>
    <n v="27"/>
    <s v="Cam.C"/>
    <s v="QD.25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40"/>
    <s v="NEO700 I2X"/>
    <m/>
    <m/>
    <s v="C2"/>
    <s v="P2"/>
    <s v="BG"/>
    <n v="27"/>
    <n v="950"/>
    <s v="C2"/>
    <n v="950"/>
    <n v="27"/>
    <s v="Cam.C"/>
    <s v="QD.25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41"/>
    <s v="NEO700 I2X"/>
    <m/>
    <m/>
    <s v="C2"/>
    <s v="P1"/>
    <s v="BG"/>
    <n v="30"/>
    <n v="814"/>
    <s v="C2"/>
    <n v="814"/>
    <n v="30"/>
    <s v="Cam.C"/>
    <s v="QD.26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42"/>
    <s v="NEO700 I2X"/>
    <m/>
    <m/>
    <s v="C2"/>
    <s v="P2"/>
    <s v="BG"/>
    <n v="27"/>
    <n v="981"/>
    <s v="C2"/>
    <n v="981"/>
    <n v="27"/>
    <s v="Cam.C"/>
    <s v="QD.25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043"/>
    <s v="NEO700 I2X"/>
    <m/>
    <m/>
    <s v="C2"/>
    <s v="P1"/>
    <s v="BG"/>
    <n v="30"/>
    <n v="820"/>
    <s v="C2"/>
    <n v="820"/>
    <n v="30"/>
    <s v="Cam.C"/>
    <s v="QD.26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044"/>
    <s v="NEO700 I2X"/>
    <m/>
    <m/>
    <s v="C2"/>
    <s v="P2"/>
    <s v="BG"/>
    <n v="17"/>
    <n v="977"/>
    <s v="C2"/>
    <n v="977"/>
    <n v="17"/>
    <s v="Cam.C"/>
    <s v="QD.25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045"/>
    <s v="NEO771 I2X"/>
    <m/>
    <m/>
    <s v="C2"/>
    <s v="P2"/>
    <s v="BG"/>
    <n v="30"/>
    <n v="834"/>
    <s v="C2"/>
    <n v="834"/>
    <n v="30"/>
    <s v="Cam.A"/>
    <s v="QD.42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046"/>
    <s v="NEO771 I2X"/>
    <m/>
    <m/>
    <s v="C2"/>
    <s v="P1"/>
    <s v="BG"/>
    <n v="30"/>
    <n v="684"/>
    <s v="C2"/>
    <n v="684"/>
    <n v="30"/>
    <s v="Cam.A"/>
    <s v="QD.02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047"/>
    <s v="NEO771 I2X"/>
    <m/>
    <m/>
    <s v="C2"/>
    <s v="P2"/>
    <s v="BG"/>
    <n v="30"/>
    <n v="856"/>
    <s v="C2"/>
    <n v="856"/>
    <n v="30"/>
    <s v="Cam.A"/>
    <s v="QD.01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048"/>
    <s v="NEO771 I2X"/>
    <m/>
    <m/>
    <s v="C2"/>
    <s v="P1"/>
    <s v="BG"/>
    <n v="30"/>
    <n v="693"/>
    <s v="C2"/>
    <n v="693"/>
    <n v="30"/>
    <s v="Cam.A"/>
    <s v="QD.07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049"/>
    <s v="NEO771 I2X"/>
    <m/>
    <m/>
    <s v="C2"/>
    <s v="P2"/>
    <s v="BG"/>
    <n v="30"/>
    <n v="872"/>
    <s v="C2"/>
    <n v="872"/>
    <n v="30"/>
    <s v="Cam.A"/>
    <s v="QD.03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050"/>
    <s v="NEO771 I2X"/>
    <m/>
    <m/>
    <s v="C2"/>
    <s v="P1"/>
    <s v="BG"/>
    <n v="30"/>
    <n v="697"/>
    <s v="C2"/>
    <n v="697"/>
    <n v="30"/>
    <s v="Cam.A"/>
    <s v="QD.06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051"/>
    <s v="NEO771 I2X"/>
    <m/>
    <m/>
    <s v="C2"/>
    <s v="P2"/>
    <s v="BG"/>
    <n v="30"/>
    <n v="876"/>
    <s v="C2"/>
    <n v="876"/>
    <n v="30"/>
    <s v="Cam.A"/>
    <s v="QD.42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052"/>
    <s v="NEO771 I2X"/>
    <m/>
    <m/>
    <s v="C2"/>
    <s v="P1"/>
    <s v="BG"/>
    <n v="30"/>
    <n v="696"/>
    <s v="C2"/>
    <n v="696"/>
    <n v="30"/>
    <s v="Cam.A"/>
    <s v="QD.19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053"/>
    <s v="NEO771 I2X"/>
    <m/>
    <m/>
    <s v="C2"/>
    <s v="P2"/>
    <s v="BG"/>
    <n v="30"/>
    <n v="852"/>
    <s v="C2"/>
    <n v="852"/>
    <n v="30"/>
    <s v="Cam.A"/>
    <s v="QD.03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054"/>
    <s v="NEO771 I2X"/>
    <m/>
    <m/>
    <s v="C2"/>
    <s v="P1"/>
    <s v="BG"/>
    <n v="30"/>
    <n v="698"/>
    <s v="C2"/>
    <n v="698"/>
    <n v="30"/>
    <s v="Cam.A"/>
    <s v="QD.02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055"/>
    <s v="NEO771 I2X"/>
    <m/>
    <m/>
    <s v="C2"/>
    <s v="P2"/>
    <s v="BG"/>
    <n v="30"/>
    <n v="854"/>
    <s v="C2"/>
    <n v="854"/>
    <n v="30"/>
    <s v="Cam.B"/>
    <s v="QD.01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056"/>
    <s v="NEO771 I2X"/>
    <m/>
    <m/>
    <s v="C2"/>
    <s v="P1"/>
    <s v="BG"/>
    <n v="30"/>
    <n v="699"/>
    <s v="C2"/>
    <n v="699"/>
    <n v="30"/>
    <s v="Cam.A"/>
    <s v="QD.07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057"/>
    <s v="NEO771 I2X"/>
    <m/>
    <m/>
    <s v="C2"/>
    <s v="P2"/>
    <s v="BG"/>
    <n v="30"/>
    <n v="883"/>
    <s v="C2"/>
    <n v="883"/>
    <n v="30"/>
    <s v="Cam.B"/>
    <s v="QD.01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60"/>
    <s v="NEO761 I2X"/>
    <m/>
    <m/>
    <s v="S2"/>
    <s v="P2"/>
    <s v="BG"/>
    <n v="24"/>
    <n v="1033"/>
    <s v="S2"/>
    <n v="1033"/>
    <n v="24"/>
    <s v="Cam.C"/>
    <s v="QD.24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1061"/>
    <s v="NEO761 I2X"/>
    <m/>
    <m/>
    <s v="S2"/>
    <s v="P1"/>
    <s v="BG"/>
    <n v="30"/>
    <n v="814"/>
    <s v="S2"/>
    <n v="814"/>
    <n v="30"/>
    <s v="Cam.C"/>
    <s v="QD.23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62"/>
    <s v="NEO761 I2X"/>
    <m/>
    <m/>
    <s v="S2"/>
    <s v="P2"/>
    <s v="BG"/>
    <n v="24"/>
    <n v="1014"/>
    <s v="S2"/>
    <n v="1014"/>
    <n v="24"/>
    <s v="Cam.C"/>
    <s v="QD.24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1063"/>
    <s v="NEO761 I2X"/>
    <m/>
    <m/>
    <s v="S2"/>
    <s v="P1"/>
    <s v="BG"/>
    <n v="30"/>
    <n v="824"/>
    <s v="S2"/>
    <n v="824"/>
    <n v="30"/>
    <s v="Cam.C"/>
    <s v="QD.23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64"/>
    <s v="NEO761 I2X"/>
    <m/>
    <m/>
    <s v="S2"/>
    <s v="P2"/>
    <s v="BG"/>
    <n v="24"/>
    <n v="1015"/>
    <s v="S2"/>
    <n v="1015"/>
    <n v="24"/>
    <s v="Cam.C"/>
    <s v="QD.24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65"/>
    <s v="NEO761 I2X"/>
    <m/>
    <m/>
    <s v="S2"/>
    <s v="P2"/>
    <s v="BG"/>
    <n v="27"/>
    <n v="1000"/>
    <s v="S2"/>
    <n v="1000"/>
    <n v="27"/>
    <s v="Cam.C"/>
    <s v="QD.24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66"/>
    <s v="NEO761 I2X"/>
    <m/>
    <m/>
    <s v="S2"/>
    <s v="P2"/>
    <s v="BG"/>
    <n v="27"/>
    <n v="992"/>
    <s v="S2"/>
    <n v="992"/>
    <n v="27"/>
    <s v="Cam.C"/>
    <s v="QD.22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1067"/>
    <s v="NEO761 I2X"/>
    <m/>
    <m/>
    <s v="S2"/>
    <s v="P1"/>
    <s v="BG"/>
    <n v="30"/>
    <n v="810"/>
    <s v="S2"/>
    <n v="810"/>
    <n v="30"/>
    <s v="Cam.C"/>
    <s v="QD.23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68"/>
    <s v="NEO761 I2X"/>
    <m/>
    <m/>
    <s v="S2"/>
    <s v="P2"/>
    <s v="BG"/>
    <n v="24"/>
    <n v="1018"/>
    <s v="S2"/>
    <n v="1018"/>
    <n v="24"/>
    <s v="Cam.C"/>
    <s v="QD.22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70"/>
    <s v="NEO761 I2X"/>
    <m/>
    <m/>
    <s v="S2"/>
    <s v="P2"/>
    <s v="BG"/>
    <n v="24"/>
    <n v="1016"/>
    <s v="S2"/>
    <n v="1016"/>
    <n v="24"/>
    <s v="Cam.C"/>
    <s v="QD.22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71"/>
    <s v="NEO761 I2X"/>
    <m/>
    <m/>
    <s v="S2"/>
    <s v="P2"/>
    <s v="BG"/>
    <n v="27"/>
    <n v="1002"/>
    <s v="S2"/>
    <n v="1002"/>
    <n v="27"/>
    <s v="Cam.C"/>
    <s v="QD.22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1069"/>
    <s v="NEO761 I2X"/>
    <m/>
    <m/>
    <s v="S2"/>
    <s v="P1"/>
    <s v="BG"/>
    <n v="30"/>
    <n v="819"/>
    <s v="S2"/>
    <n v="819"/>
    <n v="30"/>
    <s v="Cam.C"/>
    <s v="QD.23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72"/>
    <s v="NEO761 I2X"/>
    <m/>
    <m/>
    <s v="S2"/>
    <s v="P2"/>
    <s v="BG"/>
    <n v="24"/>
    <n v="1028"/>
    <s v="S2"/>
    <n v="1028"/>
    <n v="24"/>
    <s v="Cam.C"/>
    <s v="QD.20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1073"/>
    <s v="NEO761 I2X"/>
    <m/>
    <m/>
    <s v="S2"/>
    <s v="P1"/>
    <s v="BG"/>
    <n v="30"/>
    <n v="823"/>
    <s v="S2"/>
    <n v="823"/>
    <n v="30"/>
    <s v="Cam.C"/>
    <s v="QD.19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74"/>
    <s v="NEO761 I2X"/>
    <m/>
    <m/>
    <s v="S2"/>
    <s v="P2"/>
    <s v="BG"/>
    <n v="27"/>
    <n v="998"/>
    <s v="S2"/>
    <n v="998"/>
    <n v="27"/>
    <s v="Cam.C"/>
    <s v="QD.20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75"/>
    <s v="NEO761 I2X"/>
    <m/>
    <m/>
    <s v="S2"/>
    <s v="P2"/>
    <s v="BG"/>
    <n v="27"/>
    <n v="993"/>
    <s v="S2"/>
    <n v="993"/>
    <n v="27"/>
    <s v="Cam.C"/>
    <s v="QD.20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1076"/>
    <s v="NEO761 I2X"/>
    <m/>
    <m/>
    <s v="S2"/>
    <s v="P1"/>
    <s v="BG"/>
    <n v="30"/>
    <n v="804"/>
    <s v="S2"/>
    <n v="804"/>
    <n v="30"/>
    <s v="Cam.C"/>
    <s v="QD.19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77"/>
    <s v="NEO761 I2X"/>
    <m/>
    <m/>
    <s v="S2"/>
    <s v="P2"/>
    <s v="BG"/>
    <n v="27"/>
    <n v="999"/>
    <s v="S2"/>
    <n v="999"/>
    <n v="27"/>
    <s v="Cam.C"/>
    <s v="QD.20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78"/>
    <s v="NEO761 I2X"/>
    <m/>
    <m/>
    <s v="S2"/>
    <s v="P2"/>
    <s v="BG"/>
    <n v="24"/>
    <n v="1023"/>
    <s v="S2"/>
    <n v="1023"/>
    <n v="24"/>
    <s v="Cam.C"/>
    <s v="QD.08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1079"/>
    <s v="NEO761 I2X"/>
    <m/>
    <m/>
    <s v="S2"/>
    <s v="P1"/>
    <s v="BG"/>
    <n v="30"/>
    <n v="814"/>
    <s v="S2"/>
    <n v="814"/>
    <n v="30"/>
    <s v="Cam.C"/>
    <s v="QD.19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80"/>
    <s v="NEO761 I2X"/>
    <m/>
    <m/>
    <s v="S2"/>
    <s v="P2"/>
    <s v="BG"/>
    <n v="24"/>
    <n v="1021"/>
    <s v="S2"/>
    <n v="1021"/>
    <n v="24"/>
    <s v="Cam.C"/>
    <s v="QD.09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81"/>
    <s v="NEO761 I2X"/>
    <m/>
    <m/>
    <s v="S2"/>
    <s v="P2"/>
    <s v="BG"/>
    <n v="27"/>
    <n v="977"/>
    <s v="S2"/>
    <n v="977"/>
    <n v="27"/>
    <s v="Cam.C"/>
    <s v="QD.09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82"/>
    <s v="NEO761 I2X"/>
    <m/>
    <m/>
    <s v="S2"/>
    <s v="P2"/>
    <s v="BG"/>
    <n v="27"/>
    <n v="981"/>
    <s v="S2"/>
    <n v="981"/>
    <n v="27"/>
    <s v="Cam.C"/>
    <s v="QD.09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84"/>
    <s v="NEO761 I2X"/>
    <m/>
    <m/>
    <s v="S2"/>
    <s v="P2"/>
    <s v="BG"/>
    <n v="27"/>
    <n v="996"/>
    <s v="S2"/>
    <n v="996"/>
    <n v="27"/>
    <s v="Cam.C"/>
    <s v="QD.08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85"/>
    <s v="NEO761 I2X"/>
    <m/>
    <m/>
    <s v="S2"/>
    <s v="P2"/>
    <s v="BG"/>
    <n v="27"/>
    <n v="995"/>
    <s v="S2"/>
    <n v="995"/>
    <n v="27"/>
    <s v="Cam.C"/>
    <s v="QD.08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1083"/>
    <s v="NEO761 I2X"/>
    <m/>
    <m/>
    <s v="S2"/>
    <s v="P1"/>
    <s v="BG"/>
    <n v="30"/>
    <n v="793"/>
    <s v="S2"/>
    <n v="793"/>
    <n v="30"/>
    <s v="Cam.C"/>
    <s v="QD.19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86"/>
    <s v="NEO761 I2X"/>
    <m/>
    <m/>
    <s v="C1"/>
    <s v="P2"/>
    <s v="BG"/>
    <n v="24"/>
    <n v="1037"/>
    <s v="C1"/>
    <n v="1037"/>
    <n v="24"/>
    <s v="Cam.C"/>
    <s v="QD.07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1087"/>
    <s v="NEO761 I2X"/>
    <m/>
    <m/>
    <s v="C1"/>
    <s v="P1"/>
    <s v="BG"/>
    <n v="30"/>
    <n v="825"/>
    <s v="C1"/>
    <n v="825"/>
    <n v="30"/>
    <s v="Cam.C"/>
    <s v="QD.06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88"/>
    <s v="NEO761 I2X"/>
    <m/>
    <m/>
    <s v="C1"/>
    <s v="P2"/>
    <s v="BG"/>
    <n v="24"/>
    <n v="1024"/>
    <s v="C1"/>
    <n v="1024"/>
    <n v="24"/>
    <s v="Cam.C"/>
    <s v="QD.07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89"/>
    <s v="NEO761 I2X"/>
    <m/>
    <m/>
    <s v="C1"/>
    <s v="P2"/>
    <s v="BG"/>
    <n v="24"/>
    <n v="1009"/>
    <s v="C1"/>
    <n v="1009"/>
    <n v="24"/>
    <s v="Cam.C"/>
    <s v="QD.07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1090"/>
    <s v="NEO761 I2X"/>
    <m/>
    <m/>
    <s v="C1"/>
    <s v="P1"/>
    <s v="BG"/>
    <n v="12"/>
    <n v="804"/>
    <s v="C1"/>
    <n v="804"/>
    <n v="12"/>
    <s v="Cam.C"/>
    <s v="QD.06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091"/>
    <s v="NEO761 I2X"/>
    <m/>
    <m/>
    <s v="C1"/>
    <s v="P2"/>
    <s v="BG"/>
    <n v="12"/>
    <n v="1006"/>
    <s v="C1"/>
    <n v="1006"/>
    <n v="12"/>
    <s v="Cam.C"/>
    <s v="QD.06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092"/>
    <s v="NEO771 I2X"/>
    <m/>
    <m/>
    <s v="C2"/>
    <s v="P2"/>
    <s v="BG"/>
    <n v="30"/>
    <n v="881"/>
    <s v="C2"/>
    <n v="881"/>
    <n v="30"/>
    <s v="Cam.A"/>
    <s v="QD.15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093"/>
    <s v="NEO771 I2X"/>
    <m/>
    <m/>
    <s v="C2"/>
    <s v="P1"/>
    <s v="BG"/>
    <n v="30"/>
    <n v="708"/>
    <s v="C2"/>
    <n v="708"/>
    <n v="30"/>
    <s v="Cam.A"/>
    <s v="QD.08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094"/>
    <s v="NEO771 I2X"/>
    <m/>
    <m/>
    <s v="C2"/>
    <s v="P1"/>
    <s v="BG"/>
    <n v="30"/>
    <n v="715"/>
    <s v="C2"/>
    <n v="715"/>
    <n v="30"/>
    <s v="Cam.A"/>
    <s v="QD.06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058"/>
    <s v="NEO771 I2X"/>
    <m/>
    <m/>
    <s v="C2"/>
    <s v="P1"/>
    <s v="BG"/>
    <n v="30"/>
    <n v="696"/>
    <s v="C2"/>
    <n v="696"/>
    <n v="30"/>
    <s v="Cam.A"/>
    <s v="QD.02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059"/>
    <s v="NEO771 I2X"/>
    <m/>
    <m/>
    <s v="C2"/>
    <s v="P2"/>
    <s v="BG"/>
    <n v="30"/>
    <n v="868"/>
    <s v="C2"/>
    <n v="868"/>
    <n v="30"/>
    <s v="Cam.A"/>
    <s v="QD.05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095"/>
    <s v="NEO771 I2X"/>
    <m/>
    <m/>
    <s v="C2"/>
    <s v="P2"/>
    <s v="BG"/>
    <n v="30"/>
    <n v="862"/>
    <s v="C2"/>
    <n v="862"/>
    <n v="30"/>
    <s v="Cam.A"/>
    <s v="QD.05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096"/>
    <s v="NEO771 I2X"/>
    <m/>
    <m/>
    <s v="C2"/>
    <s v="P1"/>
    <s v="BG"/>
    <n v="30"/>
    <n v="699"/>
    <s v="C2"/>
    <n v="699"/>
    <n v="30"/>
    <s v="Cam.A"/>
    <s v="QD.06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097"/>
    <s v="NEO771 I2X"/>
    <m/>
    <m/>
    <s v="C2"/>
    <s v="P2"/>
    <s v="BG"/>
    <n v="30"/>
    <n v="896"/>
    <s v="C2"/>
    <n v="896"/>
    <n v="30"/>
    <s v="Cam.A"/>
    <s v="QD.05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098"/>
    <s v="NEO771 I2X"/>
    <m/>
    <m/>
    <s v="C2"/>
    <s v="P1"/>
    <s v="BG"/>
    <n v="30"/>
    <n v="712"/>
    <s v="C2"/>
    <n v="712"/>
    <n v="30"/>
    <s v="Cam.A"/>
    <s v="QD.06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099"/>
    <s v="NEO771 I2X"/>
    <m/>
    <m/>
    <s v="C2"/>
    <s v="P2"/>
    <s v="BG"/>
    <n v="30"/>
    <n v="904"/>
    <s v="C2"/>
    <n v="904"/>
    <n v="30"/>
    <s v="Cam.A"/>
    <s v="QD.42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00"/>
    <s v="NEO771 I2X"/>
    <m/>
    <m/>
    <s v="C2"/>
    <s v="P1"/>
    <s v="BG"/>
    <n v="30"/>
    <n v="712"/>
    <s v="C2"/>
    <n v="712"/>
    <n v="30"/>
    <s v="Cam.B"/>
    <s v="QD.03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01"/>
    <s v="NEO771 I2X"/>
    <m/>
    <m/>
    <s v="C2"/>
    <s v="P1"/>
    <s v="BG"/>
    <n v="30"/>
    <n v="714"/>
    <s v="C2"/>
    <n v="714"/>
    <n v="30"/>
    <s v="Cam.A"/>
    <s v="QD.07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02"/>
    <s v="NEO771 I2X"/>
    <m/>
    <m/>
    <s v="C2"/>
    <s v="P2"/>
    <s v="BG"/>
    <n v="30"/>
    <n v="882"/>
    <s v="C2"/>
    <n v="882"/>
    <n v="30"/>
    <s v="Cam.A"/>
    <s v="QD.05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03"/>
    <s v="NEO771 I2X"/>
    <m/>
    <m/>
    <s v="C2"/>
    <s v="P1"/>
    <s v="BG"/>
    <n v="30"/>
    <n v="718"/>
    <s v="C2"/>
    <n v="718"/>
    <n v="30"/>
    <s v="Cam.A"/>
    <s v="QD.08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04"/>
    <s v="NEO771 I2X"/>
    <m/>
    <m/>
    <s v="C2"/>
    <s v="P2"/>
    <s v="BG"/>
    <n v="30"/>
    <n v="882"/>
    <s v="C2"/>
    <n v="882"/>
    <n v="30"/>
    <s v="Cam.A"/>
    <s v="QD.27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05"/>
    <s v="NEO771 I2X"/>
    <m/>
    <m/>
    <s v="C2"/>
    <s v="P1"/>
    <s v="BG"/>
    <n v="30"/>
    <n v="721"/>
    <s v="C2"/>
    <n v="721"/>
    <n v="30"/>
    <s v="Cam.A"/>
    <s v="QD.08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06"/>
    <s v="NEO771 I2X"/>
    <m/>
    <m/>
    <s v="C2"/>
    <s v="P2"/>
    <s v="BG"/>
    <n v="30"/>
    <n v="904"/>
    <s v="C2"/>
    <n v="904"/>
    <n v="30"/>
    <s v="Cam.A"/>
    <s v="QD.28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07"/>
    <s v="NEO771 I2X"/>
    <m/>
    <m/>
    <s v="C2"/>
    <s v="P1"/>
    <s v="BG"/>
    <n v="30"/>
    <n v="718"/>
    <s v="C2"/>
    <n v="718"/>
    <n v="30"/>
    <s v="Cam.A"/>
    <s v="QD.08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08"/>
    <s v="NEO771 I2X"/>
    <m/>
    <m/>
    <s v="C2"/>
    <s v="P2"/>
    <s v="BG"/>
    <n v="30"/>
    <n v="897"/>
    <s v="C2"/>
    <n v="897"/>
    <n v="30"/>
    <s v="Cam.A"/>
    <s v="QD.28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09"/>
    <s v="NEO771 I2X"/>
    <m/>
    <m/>
    <s v="C2"/>
    <s v="P1"/>
    <s v="BG"/>
    <n v="30"/>
    <n v="721"/>
    <s v="C2"/>
    <n v="721"/>
    <n v="30"/>
    <s v="Cam.A"/>
    <s v="QD.09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10"/>
    <s v="NEO771 I2X"/>
    <m/>
    <m/>
    <s v="C2"/>
    <s v="P2"/>
    <s v="BG"/>
    <n v="30"/>
    <n v="876"/>
    <s v="C2"/>
    <n v="876"/>
    <n v="30"/>
    <s v="Cam.A"/>
    <s v="QD.10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11"/>
    <s v="NEO771 I2X"/>
    <m/>
    <m/>
    <s v="C2"/>
    <s v="P1"/>
    <s v="BG"/>
    <n v="30"/>
    <n v="728"/>
    <s v="C2"/>
    <n v="728"/>
    <n v="30"/>
    <s v="Cam.A"/>
    <s v="QD.09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12"/>
    <s v="NEO771 I2X"/>
    <m/>
    <m/>
    <s v="C2"/>
    <s v="P2"/>
    <s v="BG"/>
    <n v="30"/>
    <n v="866"/>
    <s v="C2"/>
    <n v="866"/>
    <n v="30"/>
    <s v="Cam.A"/>
    <s v="QD.10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13"/>
    <s v="NEO771 I2X"/>
    <m/>
    <m/>
    <s v="C2"/>
    <s v="P1"/>
    <s v="BG"/>
    <n v="30"/>
    <n v="710"/>
    <s v="C2"/>
    <n v="710"/>
    <n v="30"/>
    <s v="Cam.A"/>
    <s v="QD.09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14"/>
    <s v="NEO771 I2X"/>
    <m/>
    <m/>
    <s v="C2"/>
    <s v="P1"/>
    <s v="BG"/>
    <n v="30"/>
    <n v="715"/>
    <s v="C2"/>
    <n v="715"/>
    <n v="30"/>
    <s v="Cam.A"/>
    <s v="QD.09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15"/>
    <s v="NEO771 I2X"/>
    <m/>
    <m/>
    <s v="C2"/>
    <s v="P2"/>
    <s v="BG"/>
    <n v="30"/>
    <n v="876"/>
    <s v="C2"/>
    <n v="876"/>
    <n v="30"/>
    <s v="Cam.A"/>
    <s v="QD.10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16"/>
    <s v="NEO771 I2X"/>
    <m/>
    <m/>
    <s v="C2"/>
    <s v="P1"/>
    <s v="BG"/>
    <n v="30"/>
    <n v="709"/>
    <s v="C2"/>
    <n v="709"/>
    <n v="30"/>
    <s v="Cam.A"/>
    <s v="QD.11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17"/>
    <s v="NEO771 I2X"/>
    <m/>
    <m/>
    <s v="C2"/>
    <s v="P2"/>
    <s v="BG"/>
    <n v="30"/>
    <n v="884"/>
    <s v="C2"/>
    <n v="884"/>
    <n v="30"/>
    <s v="Cam.A"/>
    <s v="QD.01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18"/>
    <s v="NEO771 I2X"/>
    <m/>
    <m/>
    <s v="C2"/>
    <s v="P1"/>
    <s v="BG"/>
    <n v="30"/>
    <n v="705"/>
    <s v="C2"/>
    <n v="705"/>
    <n v="30"/>
    <s v="Cam.A"/>
    <s v="QD.11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19"/>
    <s v="NEO771 I2X"/>
    <m/>
    <m/>
    <s v="C2"/>
    <s v="P1"/>
    <s v="BG"/>
    <n v="30"/>
    <n v="702"/>
    <s v="C2"/>
    <n v="702"/>
    <n v="30"/>
    <s v="Cam.A"/>
    <s v="QD.11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20"/>
    <s v="NEO771 I2X"/>
    <m/>
    <m/>
    <s v="C2"/>
    <s v="P2"/>
    <s v="BG"/>
    <n v="30"/>
    <n v="832"/>
    <s v="C2"/>
    <n v="832"/>
    <n v="30"/>
    <s v="Cam.A"/>
    <s v="QD.01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21"/>
    <s v="NEO771 I2X"/>
    <m/>
    <m/>
    <s v="C2"/>
    <s v="P1"/>
    <s v="BG"/>
    <n v="30"/>
    <n v="694"/>
    <s v="C2"/>
    <n v="694"/>
    <n v="30"/>
    <s v="Cam.A"/>
    <s v="QD.11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23"/>
    <s v="NEO771 I2X"/>
    <m/>
    <m/>
    <s v="C2"/>
    <s v="P1"/>
    <s v="BG"/>
    <n v="30"/>
    <n v="705"/>
    <s v="C2"/>
    <n v="705"/>
    <n v="30"/>
    <s v="Cam.A"/>
    <s v="QD.12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24"/>
    <s v="NEO771 I2X"/>
    <m/>
    <m/>
    <s v="C2"/>
    <s v="P1"/>
    <s v="BG"/>
    <n v="30"/>
    <n v="708"/>
    <s v="C2"/>
    <n v="708"/>
    <n v="30"/>
    <s v="Cam.A"/>
    <s v="QD.12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25"/>
    <s v="NEO771 I2X"/>
    <m/>
    <m/>
    <s v="C2"/>
    <s v="P2"/>
    <s v="BG"/>
    <n v="30"/>
    <n v="877"/>
    <s v="C2"/>
    <n v="877"/>
    <n v="30"/>
    <s v="Cam.A"/>
    <s v="QD.01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26"/>
    <s v="NEO771 I2X"/>
    <m/>
    <m/>
    <s v="C2"/>
    <s v="P1"/>
    <s v="BG"/>
    <n v="30"/>
    <n v="713"/>
    <s v="C2"/>
    <n v="713"/>
    <n v="30"/>
    <s v="Cam.A"/>
    <s v="QD.12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27"/>
    <s v="NEO771 I2X"/>
    <m/>
    <m/>
    <s v="C2"/>
    <s v="P2"/>
    <s v="BG"/>
    <n v="30"/>
    <n v="892"/>
    <s v="C2"/>
    <n v="892"/>
    <n v="30"/>
    <s v="Cam.A"/>
    <s v="QD.15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28"/>
    <s v="NEO771 I2X"/>
    <m/>
    <m/>
    <s v="C2"/>
    <s v="P1"/>
    <s v="BG"/>
    <n v="30"/>
    <n v="718"/>
    <s v="C2"/>
    <n v="718"/>
    <n v="30"/>
    <s v="Cam.A"/>
    <s v="QD.14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29"/>
    <s v="NEO771 I2X"/>
    <m/>
    <m/>
    <s v="C2"/>
    <s v="P2"/>
    <s v="BG"/>
    <n v="30"/>
    <n v="883"/>
    <s v="C2"/>
    <n v="883"/>
    <n v="30"/>
    <s v="Cam.A"/>
    <s v="QD.15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30"/>
    <s v="NEO771 I2X"/>
    <m/>
    <m/>
    <s v="C2"/>
    <s v="P1"/>
    <s v="BG"/>
    <n v="30"/>
    <n v="710"/>
    <s v="C2"/>
    <n v="710"/>
    <n v="30"/>
    <s v="Cam.A"/>
    <s v="QD.14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31"/>
    <s v="NEO771 I2X"/>
    <m/>
    <m/>
    <s v="C2"/>
    <s v="P1"/>
    <s v="BG"/>
    <n v="30"/>
    <n v="712"/>
    <s v="C2"/>
    <n v="712"/>
    <n v="30"/>
    <s v="Cam.A"/>
    <s v="QD.14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32"/>
    <s v="NEO771 I2X"/>
    <m/>
    <m/>
    <s v="C2"/>
    <s v="P2"/>
    <s v="BG"/>
    <n v="30"/>
    <n v="883"/>
    <s v="C2"/>
    <n v="883"/>
    <n v="30"/>
    <s v="Cam.B"/>
    <s v="QD.01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22"/>
    <s v="NEO771 I2X"/>
    <m/>
    <m/>
    <s v="C2"/>
    <s v="P2"/>
    <s v="BG"/>
    <n v="30"/>
    <n v="848"/>
    <s v="C2"/>
    <n v="848"/>
    <n v="30"/>
    <s v="Cam.A"/>
    <s v="QD.42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33"/>
    <s v="NEO771 I2X"/>
    <m/>
    <m/>
    <s v="C2"/>
    <s v="P1"/>
    <s v="BG"/>
    <n v="30"/>
    <n v="713"/>
    <s v="C2"/>
    <n v="713"/>
    <n v="30"/>
    <s v="Cam.A"/>
    <s v="QD.16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34"/>
    <s v="NEO771 I2X"/>
    <m/>
    <m/>
    <s v="C2"/>
    <s v="P2"/>
    <s v="BG"/>
    <n v="30"/>
    <n v="867"/>
    <s v="C2"/>
    <n v="867"/>
    <n v="30"/>
    <s v="Cam.A"/>
    <s v="QD.18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35"/>
    <s v="NEO771 I2X"/>
    <m/>
    <m/>
    <s v="C2"/>
    <s v="P1"/>
    <s v="BG"/>
    <n v="30"/>
    <n v="712"/>
    <s v="C2"/>
    <n v="712"/>
    <n v="30"/>
    <s v="Cam.A"/>
    <s v="QD.16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36"/>
    <s v="NEO771 I2X"/>
    <m/>
    <m/>
    <s v="C2"/>
    <s v="P2"/>
    <s v="BG"/>
    <n v="30"/>
    <n v="852"/>
    <s v="C2"/>
    <n v="852"/>
    <n v="30"/>
    <s v="Cam.A"/>
    <s v="QD.18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37"/>
    <s v="NEO771 I2X"/>
    <m/>
    <m/>
    <s v="C2"/>
    <s v="P1"/>
    <s v="BG"/>
    <n v="30"/>
    <n v="710"/>
    <s v="C2"/>
    <n v="710"/>
    <n v="30"/>
    <s v="Cam.A"/>
    <s v="QD.16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38"/>
    <s v="NEO771 I2X"/>
    <m/>
    <m/>
    <s v="C2"/>
    <s v="P1"/>
    <s v="BG"/>
    <n v="30"/>
    <n v="713"/>
    <s v="C2"/>
    <n v="713"/>
    <n v="30"/>
    <s v="Cam.A"/>
    <s v="QD.17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39"/>
    <s v="NEO771 I2X"/>
    <m/>
    <m/>
    <s v="C2"/>
    <s v="P2"/>
    <s v="BG"/>
    <n v="30"/>
    <n v="879"/>
    <s v="C2"/>
    <n v="879"/>
    <n v="30"/>
    <s v="Cam.A"/>
    <s v="QD.20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40"/>
    <s v="NEO771 I2X"/>
    <m/>
    <m/>
    <s v="C2"/>
    <s v="P1"/>
    <s v="BG"/>
    <n v="30"/>
    <n v="723"/>
    <s v="C2"/>
    <n v="723"/>
    <n v="30"/>
    <s v="Cam.A"/>
    <s v="QD.17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41"/>
    <s v="NEO771 I2X"/>
    <m/>
    <m/>
    <s v="C2"/>
    <s v="P2"/>
    <s v="BG"/>
    <n v="30"/>
    <n v="861"/>
    <s v="C2"/>
    <n v="861"/>
    <n v="30"/>
    <s v="Cam.A"/>
    <s v="QD.18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42"/>
    <s v="NEO771 I2X"/>
    <m/>
    <m/>
    <s v="C2"/>
    <s v="P1"/>
    <s v="BG"/>
    <n v="30"/>
    <n v="705"/>
    <s v="C2"/>
    <n v="705"/>
    <n v="30"/>
    <s v="Cam.A"/>
    <s v="QD.17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43"/>
    <s v="NEO771 I2X"/>
    <m/>
    <m/>
    <s v="C2"/>
    <s v="P2"/>
    <s v="BG"/>
    <n v="30"/>
    <n v="853"/>
    <s v="C2"/>
    <n v="853"/>
    <n v="30"/>
    <s v="Cam.A"/>
    <s v="QD.20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44"/>
    <s v="NEO771 I2X"/>
    <m/>
    <m/>
    <s v="C2"/>
    <s v="P1"/>
    <s v="BG"/>
    <n v="30"/>
    <n v="697"/>
    <s v="C2"/>
    <n v="697"/>
    <n v="30"/>
    <s v="Cam.A"/>
    <s v="QD.19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45"/>
    <s v="NEO771 I2X"/>
    <m/>
    <m/>
    <s v="C2"/>
    <s v="P1"/>
    <s v="BG"/>
    <n v="30"/>
    <n v="708"/>
    <s v="C2"/>
    <n v="708"/>
    <n v="30"/>
    <s v="Cam.A"/>
    <s v="QD.19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46"/>
    <s v="NEO771 I2X"/>
    <m/>
    <m/>
    <s v="C2"/>
    <s v="P1"/>
    <s v="BG"/>
    <n v="30"/>
    <n v="683"/>
    <s v="C2"/>
    <n v="683"/>
    <n v="30"/>
    <s v="Cam.B"/>
    <s v="QD.03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47"/>
    <s v="NEO771 I2X"/>
    <m/>
    <m/>
    <s v="C2"/>
    <s v="P1"/>
    <s v="BG"/>
    <n v="30"/>
    <n v="690"/>
    <s v="C2"/>
    <n v="690"/>
    <n v="30"/>
    <s v="Cam.A"/>
    <s v="QD.21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48"/>
    <s v="NEO771 I2X"/>
    <m/>
    <m/>
    <s v="C2"/>
    <s v="P2"/>
    <s v="BG"/>
    <n v="26"/>
    <n v="820"/>
    <s v="C2"/>
    <n v="820"/>
    <n v="26"/>
    <s v="Cam.A"/>
    <s v="QD.20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49"/>
    <s v="NEO771 I2X"/>
    <m/>
    <m/>
    <s v="C2"/>
    <s v="P1"/>
    <s v="BG"/>
    <n v="30"/>
    <n v="704"/>
    <s v="C2"/>
    <n v="704"/>
    <n v="30"/>
    <s v="Cam.A"/>
    <s v="QD.21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50"/>
    <s v="NEO771 I2X"/>
    <m/>
    <m/>
    <s v="C2"/>
    <s v="P1"/>
    <s v="BG"/>
    <n v="22"/>
    <n v="705"/>
    <s v="C2"/>
    <n v="705"/>
    <n v="22"/>
    <s v="Cam.A"/>
    <s v="QD.21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151"/>
    <s v="NEO761 I2X"/>
    <m/>
    <m/>
    <s v="C1"/>
    <s v="P2"/>
    <s v="BG"/>
    <n v="24"/>
    <n v="1045"/>
    <s v="C1"/>
    <n v="1045"/>
    <n v="24"/>
    <s v="Cam.A"/>
    <s v="QD.23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152"/>
    <s v="NEO761 I2X"/>
    <m/>
    <m/>
    <s v="C1"/>
    <s v="P2"/>
    <s v="BG"/>
    <n v="24"/>
    <n v="1075"/>
    <s v="C1"/>
    <n v="1075"/>
    <n v="24"/>
    <s v="Cam.A"/>
    <s v="QD.22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1153"/>
    <s v="NEO761 I2X"/>
    <m/>
    <m/>
    <s v="C1"/>
    <s v="P1"/>
    <s v="BG"/>
    <n v="30"/>
    <n v="828"/>
    <s v="C1"/>
    <n v="828"/>
    <n v="30"/>
    <s v="Cam.C"/>
    <s v="QD.18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154"/>
    <s v="NEO761 I2X"/>
    <m/>
    <m/>
    <s v="S2"/>
    <s v="P2"/>
    <s v="BG"/>
    <n v="24"/>
    <n v="1061"/>
    <s v="S2"/>
    <n v="1061"/>
    <n v="24"/>
    <s v="Cam.A"/>
    <s v="QD.22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155"/>
    <s v="NEO761 I2X"/>
    <m/>
    <m/>
    <s v="S2"/>
    <s v="P2"/>
    <s v="BG"/>
    <n v="27"/>
    <n v="995"/>
    <s v="S2"/>
    <n v="995"/>
    <n v="27"/>
    <s v="Cam.B"/>
    <s v="QD.02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1156"/>
    <s v="NEO761 I2X"/>
    <m/>
    <m/>
    <s v="S2"/>
    <s v="P1"/>
    <s v="BG"/>
    <n v="30"/>
    <n v="804"/>
    <s v="S2"/>
    <n v="804"/>
    <n v="30"/>
    <s v="Cam.C"/>
    <s v="QD.18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157"/>
    <s v="NEO761 I2X"/>
    <m/>
    <m/>
    <s v="S2"/>
    <s v="P2"/>
    <s v="BG"/>
    <n v="24"/>
    <n v="1049"/>
    <s v="S2"/>
    <n v="1049"/>
    <n v="24"/>
    <s v="Cam.B"/>
    <s v="QD.02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158"/>
    <s v="NEO761 I2X"/>
    <m/>
    <m/>
    <s v="S2"/>
    <s v="P2"/>
    <s v="BG"/>
    <n v="24"/>
    <n v="1050"/>
    <s v="S2"/>
    <n v="1050"/>
    <n v="24"/>
    <s v="Cam.A"/>
    <s v="QD.22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160"/>
    <s v="NEO761 I2X"/>
    <m/>
    <m/>
    <s v="S2"/>
    <s v="P2"/>
    <s v="BG"/>
    <n v="24"/>
    <n v="1032"/>
    <s v="S2"/>
    <n v="1032"/>
    <n v="24"/>
    <s v="Cam.A"/>
    <s v="QD.24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1161"/>
    <s v="NEO761 I2X"/>
    <m/>
    <m/>
    <s v="S2"/>
    <s v="P1"/>
    <s v="BG"/>
    <n v="30"/>
    <n v="823"/>
    <s v="S2"/>
    <n v="823"/>
    <n v="30"/>
    <s v="Cam.C"/>
    <s v="QD.18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162"/>
    <s v="NEO761 I2X"/>
    <m/>
    <m/>
    <s v="S2"/>
    <s v="P2"/>
    <s v="BG"/>
    <n v="24"/>
    <n v="1048"/>
    <s v="S2"/>
    <n v="1048"/>
    <n v="24"/>
    <s v="Cam.A"/>
    <s v="QD.24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163"/>
    <s v="NEO761 I2X"/>
    <m/>
    <m/>
    <s v="S2"/>
    <s v="P2"/>
    <s v="BG"/>
    <n v="24"/>
    <n v="1064"/>
    <s v="S2"/>
    <n v="1064"/>
    <n v="24"/>
    <s v="Cam.A"/>
    <s v="QD.25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164"/>
    <s v="NEO761 I2X"/>
    <m/>
    <m/>
    <s v="S2"/>
    <s v="P2"/>
    <s v="BG"/>
    <n v="24"/>
    <n v="1078"/>
    <s v="S2"/>
    <n v="1078"/>
    <n v="24"/>
    <s v="Cam.A"/>
    <s v="QD.25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165"/>
    <s v="NEO761 I2X"/>
    <m/>
    <m/>
    <s v="S2"/>
    <s v="P2"/>
    <s v="BG"/>
    <n v="24"/>
    <n v="1073"/>
    <s v="S2"/>
    <n v="1073"/>
    <n v="24"/>
    <s v="Cam.A"/>
    <s v="QD.25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166"/>
    <s v="NEO761 I2X"/>
    <m/>
    <m/>
    <s v="S2"/>
    <s v="P2"/>
    <s v="BG"/>
    <n v="24"/>
    <n v="1065"/>
    <s v="S2"/>
    <n v="1065"/>
    <n v="24"/>
    <s v="Cam.A"/>
    <s v="QD.30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1167"/>
    <s v="NEO761 I2X"/>
    <m/>
    <m/>
    <s v="S2"/>
    <s v="P1"/>
    <s v="BG"/>
    <n v="20"/>
    <n v="817"/>
    <s v="S2"/>
    <n v="817"/>
    <n v="20"/>
    <s v="Cam.C"/>
    <s v="QD.17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168"/>
    <s v="NEO761 I2X"/>
    <m/>
    <m/>
    <s v="S2"/>
    <s v="P2"/>
    <s v="BG"/>
    <n v="23"/>
    <n v="1077"/>
    <s v="S2"/>
    <n v="1077"/>
    <n v="23"/>
    <s v="Cam.A"/>
    <s v="QD.30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69"/>
    <s v="NEO771 I2X"/>
    <m/>
    <m/>
    <s v="C2"/>
    <s v="P1"/>
    <s v="BG"/>
    <n v="30"/>
    <n v="735"/>
    <s v="C2"/>
    <n v="735"/>
    <n v="30"/>
    <s v="Cam.A"/>
    <s v="QD.31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70"/>
    <s v="NEO771 I2X"/>
    <m/>
    <m/>
    <s v="C2"/>
    <s v="P2"/>
    <s v="BG"/>
    <n v="30"/>
    <n v="878"/>
    <s v="C2"/>
    <n v="878"/>
    <n v="30"/>
    <s v="Cam.B"/>
    <s v="QD.01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71"/>
    <s v="NEO771 I2X"/>
    <m/>
    <m/>
    <s v="C2"/>
    <s v="P1"/>
    <s v="BG"/>
    <n v="30"/>
    <n v="732"/>
    <s v="C2"/>
    <n v="732"/>
    <n v="30"/>
    <s v="Cam.A"/>
    <s v="QD.31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72"/>
    <s v="NEO771 I2X"/>
    <m/>
    <m/>
    <s v="C2"/>
    <s v="P2"/>
    <s v="BG"/>
    <n v="30"/>
    <n v="859"/>
    <s v="C2"/>
    <n v="859"/>
    <n v="30"/>
    <s v="Cam.A"/>
    <s v="QD.28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73"/>
    <s v="NEO771 I2X"/>
    <m/>
    <m/>
    <s v="C2"/>
    <s v="P1"/>
    <s v="BG"/>
    <n v="30"/>
    <n v="716"/>
    <s v="C2"/>
    <n v="716"/>
    <n v="30"/>
    <s v="Cam.A"/>
    <s v="QD.26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74"/>
    <s v="NEO771 I2X"/>
    <m/>
    <m/>
    <s v="C2"/>
    <s v="P2"/>
    <s v="BG"/>
    <n v="30"/>
    <n v="879"/>
    <s v="C2"/>
    <n v="879"/>
    <n v="30"/>
    <s v="Cam.B"/>
    <s v="QD.02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75"/>
    <s v="NEO771 I2X"/>
    <m/>
    <m/>
    <s v="C2"/>
    <s v="P1"/>
    <s v="BG"/>
    <n v="30"/>
    <n v="741"/>
    <s v="C2"/>
    <n v="741"/>
    <n v="30"/>
    <s v="Cam.A"/>
    <s v="QD.26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76"/>
    <s v="NEO771 I2X"/>
    <m/>
    <m/>
    <s v="C2"/>
    <s v="P1"/>
    <s v="BG"/>
    <n v="30"/>
    <n v="732"/>
    <s v="C2"/>
    <n v="732"/>
    <n v="30"/>
    <s v="Cam.A"/>
    <s v="QD.26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77"/>
    <s v="NEO771 I2X"/>
    <m/>
    <m/>
    <s v="C2"/>
    <s v="P2"/>
    <s v="BG"/>
    <n v="30"/>
    <n v="872"/>
    <s v="C2"/>
    <n v="872"/>
    <n v="30"/>
    <s v="Cam.A"/>
    <s v="QD.27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78"/>
    <s v="NEO771 I2X"/>
    <m/>
    <m/>
    <s v="C2"/>
    <s v="P1"/>
    <s v="BG"/>
    <n v="30"/>
    <n v="742"/>
    <s v="C2"/>
    <n v="742"/>
    <n v="30"/>
    <s v="Cam.B"/>
    <s v="QD.03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79"/>
    <s v="NEO771 I2X"/>
    <m/>
    <m/>
    <s v="C2"/>
    <s v="P2"/>
    <s v="BG"/>
    <n v="30"/>
    <n v="876"/>
    <s v="C2"/>
    <n v="876"/>
    <n v="30"/>
    <s v="Cam.A"/>
    <s v="QD.27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80"/>
    <s v="NEO771 I2X"/>
    <m/>
    <m/>
    <s v="C2"/>
    <s v="P2"/>
    <s v="BG"/>
    <n v="30"/>
    <n v="872"/>
    <s v="C2"/>
    <n v="872"/>
    <n v="30"/>
    <s v="Cam.B"/>
    <s v="QD.02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81"/>
    <s v="NEO771 I2X"/>
    <m/>
    <m/>
    <s v="C2"/>
    <s v="P1"/>
    <s v="BG"/>
    <n v="30"/>
    <n v="734"/>
    <s v="C2"/>
    <n v="734"/>
    <n v="30"/>
    <s v="Cam.A"/>
    <s v="QD.29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82"/>
    <s v="NEO771 I2X"/>
    <m/>
    <m/>
    <s v="C2"/>
    <s v="P2"/>
    <s v="BG"/>
    <n v="30"/>
    <n v="871"/>
    <s v="C2"/>
    <n v="871"/>
    <n v="30"/>
    <s v="Cam.B"/>
    <s v="QD.17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83"/>
    <s v="NEO771 I2X"/>
    <m/>
    <m/>
    <s v="C2"/>
    <s v="P1"/>
    <s v="BG"/>
    <n v="30"/>
    <n v="738"/>
    <s v="C2"/>
    <n v="738"/>
    <n v="30"/>
    <s v="Cam.A"/>
    <s v="QD.31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2184"/>
    <s v="NEO771 I2X"/>
    <m/>
    <m/>
    <s v="C2"/>
    <s v="P2"/>
    <s v="BG"/>
    <n v="23"/>
    <n v="870"/>
    <s v="C2"/>
    <n v="870"/>
    <n v="23"/>
    <s v="Cam.B"/>
    <s v="QD.17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40P1185"/>
    <s v="NEO771 I2X"/>
    <m/>
    <m/>
    <s v="C2"/>
    <s v="P1"/>
    <s v="BG"/>
    <n v="24"/>
    <n v="743"/>
    <s v="C2"/>
    <n v="743"/>
    <n v="24"/>
    <s v="Cam.A"/>
    <s v="QD.29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186"/>
    <s v="NEO790 IPRO"/>
    <m/>
    <m/>
    <s v="S1"/>
    <s v="P2"/>
    <s v="BG"/>
    <n v="27"/>
    <n v="954"/>
    <s v="S1"/>
    <n v="954"/>
    <n v="27"/>
    <s v="Cam.B"/>
    <s v="QD.04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187"/>
    <s v="NEO790 IPRO"/>
    <m/>
    <m/>
    <s v="S1"/>
    <s v="P1"/>
    <s v="BG"/>
    <n v="30"/>
    <n v="765"/>
    <s v="S1"/>
    <n v="765"/>
    <n v="30"/>
    <s v="Cam.B"/>
    <s v="QD.16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188"/>
    <s v="NEO790 IPRO"/>
    <m/>
    <m/>
    <s v="S1"/>
    <s v="P1"/>
    <s v="BG"/>
    <n v="30"/>
    <n v="771"/>
    <s v="S1"/>
    <n v="771"/>
    <n v="30"/>
    <s v="Cam.B"/>
    <s v="QD.16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189"/>
    <s v="NEO790 IPRO"/>
    <m/>
    <m/>
    <s v="S1"/>
    <s v="P2"/>
    <s v="BG"/>
    <n v="27"/>
    <n v="972"/>
    <s v="S1"/>
    <n v="972"/>
    <n v="27"/>
    <s v="Cam.B"/>
    <s v="QD.15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190"/>
    <s v="NEO790 IPRO"/>
    <m/>
    <m/>
    <s v="S1"/>
    <s v="P1"/>
    <s v="BG"/>
    <n v="30"/>
    <n v="780"/>
    <s v="S1"/>
    <n v="780"/>
    <n v="30"/>
    <s v="Cam.B"/>
    <s v="QD.17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191"/>
    <s v="NEO790 IPRO"/>
    <m/>
    <m/>
    <s v="S1"/>
    <s v="P1"/>
    <s v="BG"/>
    <n v="10"/>
    <n v="767"/>
    <s v="S1"/>
    <n v="767"/>
    <n v="10"/>
    <s v="Cam.B"/>
    <s v="QD.07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192"/>
    <s v="NEO790 IPRO"/>
    <m/>
    <m/>
    <s v="S1"/>
    <s v="P2"/>
    <s v="BG"/>
    <n v="6"/>
    <n v="941"/>
    <s v="S1"/>
    <n v="941"/>
    <n v="6"/>
    <s v="Cam.B"/>
    <s v="QD.05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193"/>
    <s v="NEO790 IPRO"/>
    <m/>
    <m/>
    <s v="S1"/>
    <s v="P2"/>
    <s v="BG"/>
    <n v="30"/>
    <n v="895"/>
    <s v="S1"/>
    <n v="895"/>
    <n v="30"/>
    <s v="Cam.B"/>
    <s v="QD.13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194"/>
    <s v="NEO790 IPRO"/>
    <m/>
    <m/>
    <s v="S1"/>
    <s v="P1"/>
    <s v="BG"/>
    <n v="30"/>
    <n v="695"/>
    <s v="S1"/>
    <n v="695"/>
    <n v="30"/>
    <s v="Cam.B"/>
    <s v="QD.16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195"/>
    <s v="NEO790 IPRO"/>
    <m/>
    <m/>
    <s v="S1"/>
    <s v="P2"/>
    <s v="BG"/>
    <n v="30"/>
    <n v="879"/>
    <s v="S1"/>
    <n v="879"/>
    <n v="30"/>
    <s v="Cam.B"/>
    <s v="QD.14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196"/>
    <s v="NEO790 IPRO"/>
    <m/>
    <m/>
    <s v="S1"/>
    <s v="P1"/>
    <s v="BG"/>
    <n v="30"/>
    <n v="694"/>
    <s v="S1"/>
    <n v="694"/>
    <n v="30"/>
    <s v="Cam.B"/>
    <s v="QD.13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197"/>
    <s v="NEO790 IPRO"/>
    <m/>
    <m/>
    <s v="S1"/>
    <s v="P2"/>
    <s v="BG"/>
    <n v="30"/>
    <n v="882"/>
    <s v="S1"/>
    <n v="882"/>
    <n v="30"/>
    <s v="Cam.A"/>
    <s v="QD.30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198"/>
    <s v="NEO790 IPRO"/>
    <m/>
    <m/>
    <s v="S1"/>
    <s v="P2"/>
    <s v="BG"/>
    <n v="27"/>
    <n v="921"/>
    <s v="S1"/>
    <n v="921"/>
    <n v="27"/>
    <s v="Cam.B"/>
    <s v="QD.15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199"/>
    <s v="NEO790 IPRO"/>
    <m/>
    <m/>
    <s v="S1"/>
    <s v="P2"/>
    <s v="BG"/>
    <n v="30"/>
    <n v="898"/>
    <s v="S1"/>
    <n v="898"/>
    <n v="30"/>
    <s v="Cam.B"/>
    <s v="QD.04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200"/>
    <s v="NEO790 IPRO"/>
    <m/>
    <m/>
    <s v="S1"/>
    <s v="P1"/>
    <s v="BG"/>
    <n v="30"/>
    <n v="696"/>
    <s v="S1"/>
    <n v="696"/>
    <n v="30"/>
    <s v="Cam.B"/>
    <s v="QD.13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01"/>
    <s v="NEO790 IPRO"/>
    <m/>
    <m/>
    <s v="S1"/>
    <s v="P2"/>
    <s v="BG"/>
    <n v="30"/>
    <n v="904"/>
    <s v="S1"/>
    <n v="904"/>
    <n v="30"/>
    <s v="Cam.B"/>
    <s v="QD.12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204"/>
    <s v="NEO800 I2X"/>
    <m/>
    <m/>
    <s v="S1"/>
    <s v="P1"/>
    <s v="BG"/>
    <n v="30"/>
    <n v="697"/>
    <s v="S1"/>
    <n v="697"/>
    <n v="30"/>
    <s v="Cam.B"/>
    <s v="QD.28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205"/>
    <s v="NEO800 I2X"/>
    <m/>
    <m/>
    <s v="S1"/>
    <s v="P2"/>
    <s v="BG"/>
    <n v="30"/>
    <n v="854"/>
    <s v="S1"/>
    <n v="854"/>
    <n v="30"/>
    <s v="Cam.B"/>
    <s v="QD.25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206"/>
    <s v="NEO800 I2X"/>
    <m/>
    <m/>
    <s v="S1"/>
    <s v="P1"/>
    <s v="BG"/>
    <n v="30"/>
    <n v="680"/>
    <s v="S1"/>
    <n v="680"/>
    <n v="30"/>
    <s v="Cam.B"/>
    <s v="QD.28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207"/>
    <s v="NEO800 I2X"/>
    <m/>
    <m/>
    <s v="S1"/>
    <s v="P2"/>
    <s v="BG"/>
    <n v="30"/>
    <n v="838"/>
    <s v="S1"/>
    <n v="838"/>
    <n v="30"/>
    <s v="Cam.B"/>
    <s v="QD.22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208"/>
    <s v="NEO800 I2X"/>
    <m/>
    <m/>
    <s v="S1"/>
    <s v="P1"/>
    <s v="BG"/>
    <n v="30"/>
    <n v="677"/>
    <s v="S1"/>
    <n v="677"/>
    <n v="30"/>
    <s v="Cam.B"/>
    <s v="QD.28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209"/>
    <s v="NEO800 I2X"/>
    <m/>
    <m/>
    <s v="S1"/>
    <s v="P1"/>
    <s v="BG"/>
    <n v="30"/>
    <n v="690"/>
    <s v="S1"/>
    <n v="690"/>
    <n v="30"/>
    <s v="Cam.B"/>
    <s v="QD.27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210"/>
    <s v="NEO800 I2X"/>
    <m/>
    <m/>
    <s v="S1"/>
    <s v="P2"/>
    <s v="BG"/>
    <n v="30"/>
    <n v="822"/>
    <s v="S1"/>
    <n v="822"/>
    <n v="30"/>
    <s v="Cam.B"/>
    <s v="QD.25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211"/>
    <s v="NEO800 I2X"/>
    <m/>
    <m/>
    <s v="S1"/>
    <s v="P1"/>
    <s v="BG"/>
    <n v="30"/>
    <n v="674"/>
    <s v="S1"/>
    <n v="674"/>
    <n v="30"/>
    <s v="Cam.B"/>
    <s v="QD.27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212"/>
    <s v="NEO800 I2X"/>
    <m/>
    <m/>
    <s v="S1"/>
    <s v="P1"/>
    <s v="BG"/>
    <n v="30"/>
    <n v="639"/>
    <s v="S1"/>
    <n v="639"/>
    <n v="30"/>
    <s v="Cam.B"/>
    <s v="QD.27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213"/>
    <s v="NEO800 I2X"/>
    <m/>
    <m/>
    <s v="S1"/>
    <s v="P2"/>
    <s v="BG"/>
    <n v="10"/>
    <n v="832"/>
    <s v="S1"/>
    <n v="832"/>
    <n v="10"/>
    <s v="Cam.B"/>
    <s v="QD.07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1214"/>
    <s v="SOYTECH 745 I2X"/>
    <m/>
    <m/>
    <s v="C1"/>
    <s v="P1"/>
    <s v="BG"/>
    <n v="30"/>
    <n v="695"/>
    <s v="C1"/>
    <n v="695"/>
    <n v="30"/>
    <s v="Cam.B"/>
    <s v="QD.38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2215"/>
    <s v="SOYTECH 745 I2X"/>
    <m/>
    <m/>
    <s v="C1"/>
    <s v="P2"/>
    <s v="BG"/>
    <n v="30"/>
    <n v="819"/>
    <s v="C1"/>
    <n v="819"/>
    <n v="30"/>
    <s v="Cam.B"/>
    <s v="QD.23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2216"/>
    <s v="SOYTECH 745 I2X"/>
    <m/>
    <m/>
    <s v="C1"/>
    <s v="P2"/>
    <s v="BG"/>
    <n v="30"/>
    <n v="802"/>
    <s v="C1"/>
    <n v="802"/>
    <n v="30"/>
    <s v="Cam.B"/>
    <s v="QD.26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1217"/>
    <s v="SOYTECH 745 I2X"/>
    <m/>
    <m/>
    <s v="C1"/>
    <s v="P1"/>
    <s v="BG"/>
    <n v="30"/>
    <n v="651"/>
    <s v="C1"/>
    <n v="651"/>
    <n v="30"/>
    <s v="Cam.B"/>
    <s v="QD.24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1218"/>
    <s v="SOYTECH 745 I2X"/>
    <m/>
    <m/>
    <s v="C1"/>
    <s v="P1"/>
    <s v="BG"/>
    <n v="30"/>
    <n v="646"/>
    <s v="C1"/>
    <n v="646"/>
    <n v="30"/>
    <s v="Cam.B"/>
    <s v="QD.24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2219"/>
    <s v="SOYTECH 745 I2X"/>
    <m/>
    <m/>
    <s v="C1"/>
    <s v="P2"/>
    <s v="BG"/>
    <n v="30"/>
    <n v="815"/>
    <s v="C1"/>
    <n v="815"/>
    <n v="30"/>
    <s v="Cam.B"/>
    <s v="QD.26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2220"/>
    <s v="SOYTECH 745 I2X"/>
    <m/>
    <m/>
    <s v="C1"/>
    <s v="P2"/>
    <s v="BG"/>
    <n v="30"/>
    <n v="796"/>
    <s v="C1"/>
    <n v="796"/>
    <n v="30"/>
    <s v="Cam.B"/>
    <s v="QD.23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1221"/>
    <s v="SOYTECH 745 I2X"/>
    <m/>
    <m/>
    <s v="C1"/>
    <s v="P1"/>
    <s v="BG"/>
    <n v="30"/>
    <n v="648"/>
    <s v="C1"/>
    <n v="648"/>
    <n v="30"/>
    <s v="Cam.B"/>
    <s v="QD.24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2222"/>
    <s v="SOYTECH 745 I2X"/>
    <m/>
    <m/>
    <s v="C1"/>
    <s v="P2"/>
    <s v="BG"/>
    <n v="30"/>
    <n v="794"/>
    <s v="C1"/>
    <n v="794"/>
    <n v="30"/>
    <s v="Cam.B"/>
    <s v="QD.39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1223"/>
    <s v="SOYTECH 745 I2X"/>
    <m/>
    <m/>
    <s v="C1"/>
    <s v="P1"/>
    <s v="BG"/>
    <n v="30"/>
    <n v="643"/>
    <s v="C1"/>
    <n v="643"/>
    <n v="30"/>
    <s v="Cam.B"/>
    <s v="QD.38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2224"/>
    <s v="SOYTECH 745 I2X"/>
    <m/>
    <m/>
    <s v="C1"/>
    <s v="P2"/>
    <s v="BG"/>
    <n v="30"/>
    <n v="793"/>
    <s v="C1"/>
    <n v="793"/>
    <n v="30"/>
    <s v="Cam.B"/>
    <s v="QD.26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2225"/>
    <s v="SOYTECH 745 I2X"/>
    <m/>
    <m/>
    <s v="C1"/>
    <s v="P2"/>
    <s v="BG"/>
    <n v="30"/>
    <n v="791"/>
    <s v="C1"/>
    <n v="791"/>
    <n v="30"/>
    <s v="Cam.B"/>
    <s v="QD.04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1226"/>
    <s v="SOYTECH 745 I2X"/>
    <m/>
    <m/>
    <s v="C1"/>
    <s v="P1"/>
    <s v="BG"/>
    <n v="30"/>
    <n v="644"/>
    <s v="C1"/>
    <n v="644"/>
    <n v="30"/>
    <s v="Cam.B"/>
    <s v="QD.04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2227"/>
    <s v="SOYTECH 745 I2X"/>
    <m/>
    <m/>
    <s v="C1"/>
    <s v="P2"/>
    <s v="BG"/>
    <n v="30"/>
    <n v="804"/>
    <s v="C1"/>
    <n v="804"/>
    <n v="30"/>
    <s v="Cam.B"/>
    <s v="QD.23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1228"/>
    <s v="SOYTECH 745 I2X"/>
    <m/>
    <m/>
    <s v="C1"/>
    <s v="P1"/>
    <s v="BG"/>
    <n v="30"/>
    <n v="638"/>
    <s v="C1"/>
    <n v="638"/>
    <n v="30"/>
    <s v="Cam.B"/>
    <s v="QD.38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2229"/>
    <s v="SOYTECH 745 I2X"/>
    <m/>
    <m/>
    <s v="C1"/>
    <s v="P2"/>
    <s v="BG"/>
    <n v="30"/>
    <n v="787"/>
    <s v="C1"/>
    <n v="787"/>
    <n v="30"/>
    <s v="Cam.B"/>
    <s v="QD.39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2230"/>
    <s v="SOYTECH 745 I2X"/>
    <m/>
    <m/>
    <s v="C1"/>
    <s v="P2"/>
    <s v="BG"/>
    <n v="30"/>
    <n v="792"/>
    <s v="C1"/>
    <n v="792"/>
    <n v="30"/>
    <s v="Cam.B"/>
    <s v="QD.39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1231"/>
    <s v="SOYTECH 745 I2X"/>
    <m/>
    <m/>
    <s v="C1"/>
    <s v="P1"/>
    <s v="BG"/>
    <n v="30"/>
    <n v="636"/>
    <s v="C1"/>
    <n v="636"/>
    <n v="30"/>
    <s v="Cam.B"/>
    <s v="QD.38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0P2232"/>
    <s v="SOYTECH 745 I2X"/>
    <m/>
    <m/>
    <s v="C1"/>
    <s v="P2"/>
    <s v="BG"/>
    <n v="17"/>
    <n v="808"/>
    <s v="C1"/>
    <n v="808"/>
    <n v="17"/>
    <s v="Cam.B"/>
    <s v="QD.07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6P1233"/>
    <s v="C2810CE"/>
    <m/>
    <m/>
    <s v="C1"/>
    <s v="P1"/>
    <s v="BG"/>
    <n v="30"/>
    <n v="730"/>
    <s v="C1"/>
    <n v="730"/>
    <n v="30"/>
    <s v="Cam.B"/>
    <s v="QD.40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6P2234"/>
    <s v="C2810CE"/>
    <m/>
    <m/>
    <s v="C1"/>
    <s v="P2"/>
    <s v="BG"/>
    <n v="30"/>
    <n v="871"/>
    <s v="C1"/>
    <n v="871"/>
    <n v="30"/>
    <s v="Cam.B"/>
    <s v="QD.40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6P1235"/>
    <s v="C2810CE"/>
    <m/>
    <m/>
    <s v="C1"/>
    <s v="P1"/>
    <s v="BG"/>
    <n v="30"/>
    <n v="734"/>
    <s v="C1"/>
    <n v="734"/>
    <n v="30"/>
    <s v="Cam.B"/>
    <s v="QD.40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6P2236"/>
    <s v="C2810CE"/>
    <m/>
    <m/>
    <s v="C1"/>
    <s v="P2"/>
    <s v="BG"/>
    <n v="12"/>
    <n v="852"/>
    <s v="C1"/>
    <n v="852"/>
    <n v="12"/>
    <s v="Cam.B"/>
    <s v="QD.06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02"/>
    <s v="NEO790 IPRO"/>
    <m/>
    <m/>
    <s v="S1"/>
    <s v="P2"/>
    <s v="BG"/>
    <n v="30"/>
    <n v="909"/>
    <s v="S1"/>
    <n v="909"/>
    <n v="30"/>
    <s v="Cam.B"/>
    <s v="QD.12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203"/>
    <s v="NEO790 IPRO"/>
    <m/>
    <m/>
    <s v="S1"/>
    <s v="P1"/>
    <s v="BG"/>
    <n v="30"/>
    <n v="711"/>
    <s v="S1"/>
    <n v="711"/>
    <n v="30"/>
    <s v="Cam.B"/>
    <s v="QD.41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37"/>
    <s v="NEO790 IPRO"/>
    <m/>
    <m/>
    <s v="S1"/>
    <s v="P2"/>
    <s v="BG"/>
    <n v="30"/>
    <n v="900"/>
    <s v="S1"/>
    <n v="900"/>
    <n v="30"/>
    <s v="Cam.B"/>
    <s v="QD.42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238"/>
    <s v="NEO790 IPRO"/>
    <m/>
    <m/>
    <s v="S1"/>
    <s v="P1"/>
    <s v="BG"/>
    <n v="30"/>
    <n v="706"/>
    <s v="S1"/>
    <n v="706"/>
    <n v="30"/>
    <s v="Cam.B"/>
    <s v="QD.41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39"/>
    <s v="NEO790 IPRO"/>
    <m/>
    <m/>
    <s v="S1"/>
    <s v="P2"/>
    <s v="BG"/>
    <n v="30"/>
    <n v="898"/>
    <s v="S1"/>
    <n v="898"/>
    <n v="30"/>
    <s v="Cam.B"/>
    <s v="QD.42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240"/>
    <s v="NEO790 IPRO"/>
    <m/>
    <m/>
    <s v="S1"/>
    <s v="P1"/>
    <s v="BG"/>
    <n v="30"/>
    <n v="705"/>
    <s v="S1"/>
    <n v="705"/>
    <n v="30"/>
    <s v="Cam.B"/>
    <s v="QD.41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41"/>
    <s v="NEO790 IPRO"/>
    <m/>
    <m/>
    <s v="S1"/>
    <s v="P2"/>
    <s v="BG"/>
    <n v="27"/>
    <n v="927"/>
    <s v="S1"/>
    <n v="927"/>
    <n v="27"/>
    <s v="Cam.B"/>
    <s v="QD.14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242"/>
    <s v="NEO790 IPRO"/>
    <m/>
    <m/>
    <s v="S1"/>
    <s v="P1"/>
    <s v="BG"/>
    <n v="30"/>
    <n v="705"/>
    <s v="S1"/>
    <n v="705"/>
    <n v="30"/>
    <s v="Cam.B"/>
    <s v="QD.41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43"/>
    <s v="NEO790 IPRO"/>
    <m/>
    <m/>
    <s v="S1"/>
    <s v="P2"/>
    <s v="BG"/>
    <n v="30"/>
    <n v="904"/>
    <s v="S1"/>
    <n v="904"/>
    <n v="30"/>
    <s v="Cam.B"/>
    <s v="QD.42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44"/>
    <s v="NEO790 IPRO"/>
    <m/>
    <m/>
    <s v="S1"/>
    <s v="P2"/>
    <s v="BG"/>
    <n v="27"/>
    <n v="910"/>
    <s v="S1"/>
    <n v="910"/>
    <n v="27"/>
    <s v="Cam.B"/>
    <s v="QD.37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245"/>
    <s v="NEO790 IPRO"/>
    <m/>
    <m/>
    <s v="S1"/>
    <s v="P1"/>
    <s v="BG"/>
    <n v="30"/>
    <n v="711"/>
    <s v="S1"/>
    <n v="711"/>
    <n v="30"/>
    <s v="Cam.B"/>
    <s v="QD.36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46"/>
    <s v="NEO790 IPRO"/>
    <m/>
    <m/>
    <s v="S1"/>
    <s v="P2"/>
    <s v="BG"/>
    <n v="30"/>
    <n v="902"/>
    <s v="S1"/>
    <n v="902"/>
    <n v="30"/>
    <s v="Cam.B"/>
    <s v="QD.37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47"/>
    <s v="NEO790 IPRO"/>
    <m/>
    <m/>
    <s v="S1"/>
    <s v="P2"/>
    <s v="BG"/>
    <n v="30"/>
    <n v="899"/>
    <s v="S1"/>
    <n v="899"/>
    <n v="30"/>
    <s v="Cam.B"/>
    <s v="QD.12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248"/>
    <s v="NEO790 IPRO"/>
    <m/>
    <m/>
    <s v="S1"/>
    <s v="P1"/>
    <s v="BG"/>
    <n v="30"/>
    <n v="707"/>
    <s v="S1"/>
    <n v="707"/>
    <n v="30"/>
    <s v="Cam.B"/>
    <s v="QD.36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49"/>
    <s v="NEO790 IPRO"/>
    <m/>
    <m/>
    <s v="S1"/>
    <s v="P2"/>
    <s v="BG"/>
    <n v="27"/>
    <n v="917"/>
    <s v="S1"/>
    <n v="917"/>
    <n v="27"/>
    <s v="Cam.B"/>
    <s v="QD.37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50"/>
    <s v="NEO790 IPRO"/>
    <m/>
    <m/>
    <s v="S1"/>
    <s v="P2"/>
    <s v="BG"/>
    <n v="30"/>
    <n v="909"/>
    <s v="S1"/>
    <n v="909"/>
    <n v="30"/>
    <s v="Cam.B"/>
    <s v="QD.15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251"/>
    <s v="NEO790 IPRO"/>
    <m/>
    <m/>
    <s v="S1"/>
    <s v="P1"/>
    <s v="BG"/>
    <n v="30"/>
    <n v="701"/>
    <s v="S1"/>
    <n v="701"/>
    <n v="30"/>
    <s v="Cam.B"/>
    <s v="QD.36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52"/>
    <s v="NEO790 IPRO"/>
    <m/>
    <m/>
    <s v="S1"/>
    <s v="P2"/>
    <s v="BG"/>
    <n v="30"/>
    <n v="887"/>
    <s v="S1"/>
    <n v="887"/>
    <n v="30"/>
    <s v="Cam.B"/>
    <s v="QD.37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253"/>
    <s v="NEO790 IPRO"/>
    <m/>
    <m/>
    <s v="S1"/>
    <s v="P1"/>
    <s v="BG"/>
    <n v="30"/>
    <n v="700"/>
    <s v="S1"/>
    <n v="700"/>
    <n v="30"/>
    <s v="Cam.B"/>
    <s v="QD.36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54"/>
    <s v="NEO790 IPRO"/>
    <m/>
    <m/>
    <s v="S1"/>
    <s v="P2"/>
    <s v="BG"/>
    <n v="30"/>
    <n v="904"/>
    <s v="S1"/>
    <n v="904"/>
    <n v="30"/>
    <s v="Cam.B"/>
    <s v="QD.35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55"/>
    <s v="NEO790 IPRO"/>
    <m/>
    <m/>
    <s v="S1"/>
    <s v="P2"/>
    <s v="BG"/>
    <n v="27"/>
    <n v="920"/>
    <s v="S1"/>
    <n v="920"/>
    <n v="27"/>
    <s v="Cam.B"/>
    <s v="QD.35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256"/>
    <s v="NEO790 IPRO"/>
    <m/>
    <m/>
    <s v="S1"/>
    <s v="P1"/>
    <s v="BG"/>
    <n v="30"/>
    <n v="708"/>
    <s v="S1"/>
    <n v="708"/>
    <n v="30"/>
    <s v="Cam.B"/>
    <s v="QD.34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57"/>
    <s v="NEO790 IPRO"/>
    <m/>
    <m/>
    <s v="S1"/>
    <s v="P2"/>
    <s v="BG"/>
    <n v="30"/>
    <n v="894"/>
    <s v="S1"/>
    <n v="894"/>
    <n v="30"/>
    <s v="Cam.B"/>
    <s v="QD.35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58"/>
    <s v="NEO790 IPRO"/>
    <m/>
    <m/>
    <s v="S1"/>
    <s v="P2"/>
    <s v="BG"/>
    <n v="30"/>
    <n v="903"/>
    <s v="S1"/>
    <n v="903"/>
    <n v="30"/>
    <s v="Cam.B"/>
    <s v="QD.35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259"/>
    <s v="NEO790 IPRO"/>
    <m/>
    <m/>
    <s v="S1"/>
    <s v="P1"/>
    <s v="BG"/>
    <n v="30"/>
    <n v="702"/>
    <s v="S1"/>
    <n v="702"/>
    <n v="30"/>
    <s v="Cam.B"/>
    <s v="QD.34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60"/>
    <s v="NEO790 IPRO"/>
    <m/>
    <m/>
    <s v="S1"/>
    <s v="P2"/>
    <s v="BG"/>
    <n v="27"/>
    <n v="918"/>
    <s v="S1"/>
    <n v="918"/>
    <n v="27"/>
    <s v="Cam.B"/>
    <s v="QD.33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261"/>
    <s v="NEO790 IPRO"/>
    <m/>
    <m/>
    <s v="S1"/>
    <s v="P1"/>
    <s v="BG"/>
    <n v="30"/>
    <n v="692"/>
    <s v="S1"/>
    <n v="692"/>
    <n v="30"/>
    <s v="Cam.B"/>
    <s v="QD.34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62"/>
    <s v="NEO790 IPRO"/>
    <m/>
    <m/>
    <s v="S1"/>
    <s v="P2"/>
    <s v="BG"/>
    <n v="30"/>
    <n v="884"/>
    <s v="S1"/>
    <n v="884"/>
    <n v="30"/>
    <s v="Cam.B"/>
    <s v="QD.33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263"/>
    <s v="NEO790 IPRO"/>
    <m/>
    <m/>
    <s v="S1"/>
    <s v="P1"/>
    <s v="BG"/>
    <n v="30"/>
    <n v="705"/>
    <s v="S1"/>
    <n v="705"/>
    <n v="30"/>
    <s v="Cam.B"/>
    <s v="QD.34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64"/>
    <s v="NEO790 IPRO"/>
    <m/>
    <m/>
    <s v="S1"/>
    <s v="P2"/>
    <s v="BG"/>
    <n v="30"/>
    <n v="901"/>
    <s v="S1"/>
    <n v="901"/>
    <n v="30"/>
    <s v="Cam.B"/>
    <s v="QD.33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65"/>
    <s v="NEO790 IPRO"/>
    <m/>
    <m/>
    <s v="S1"/>
    <s v="P2"/>
    <s v="BG"/>
    <n v="30"/>
    <n v="896"/>
    <s v="S1"/>
    <n v="896"/>
    <n v="30"/>
    <s v="Cam.B"/>
    <s v="QD.33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266"/>
    <s v="NEO790 IPRO"/>
    <m/>
    <m/>
    <s v="S1"/>
    <s v="P1"/>
    <s v="BG"/>
    <n v="29"/>
    <n v="710"/>
    <s v="S1"/>
    <n v="710"/>
    <n v="29"/>
    <s v="Cam.B"/>
    <s v="QD.11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267"/>
    <s v="NEO790 IPRO"/>
    <m/>
    <m/>
    <s v="S1"/>
    <s v="P2"/>
    <s v="BG"/>
    <n v="24"/>
    <n v="925"/>
    <s v="S1"/>
    <n v="925"/>
    <n v="24"/>
    <s v="Cam.B"/>
    <s v="QD.14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268"/>
    <s v="NEO800 I2X"/>
    <m/>
    <m/>
    <s v="S1"/>
    <s v="P1"/>
    <s v="BG"/>
    <n v="30"/>
    <n v="629"/>
    <s v="S1"/>
    <n v="629"/>
    <n v="30"/>
    <s v="Cam.B"/>
    <s v="QD.22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269"/>
    <s v="NEO800 I2X"/>
    <m/>
    <m/>
    <s v="S1"/>
    <s v="P2"/>
    <s v="BG"/>
    <n v="30"/>
    <n v="814"/>
    <s v="S1"/>
    <n v="814"/>
    <n v="30"/>
    <s v="Cam.B"/>
    <s v="QD.32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270"/>
    <s v="NEO800 I2X"/>
    <m/>
    <m/>
    <s v="S1"/>
    <s v="P1"/>
    <s v="BG"/>
    <n v="30"/>
    <n v="651"/>
    <s v="S1"/>
    <n v="651"/>
    <n v="30"/>
    <s v="Cam.B"/>
    <s v="QD.22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271"/>
    <s v="NEO800 I2X"/>
    <m/>
    <m/>
    <s v="S1"/>
    <s v="P2"/>
    <s v="BG"/>
    <n v="30"/>
    <n v="834"/>
    <s v="S1"/>
    <n v="834"/>
    <n v="30"/>
    <s v="Cam.B"/>
    <s v="QD.32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272"/>
    <s v="NEO800 I2X"/>
    <m/>
    <m/>
    <s v="S1"/>
    <s v="P1"/>
    <s v="BG"/>
    <n v="30"/>
    <n v="628"/>
    <s v="S1"/>
    <n v="628"/>
    <n v="30"/>
    <s v="Cam.B"/>
    <s v="QD.31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273"/>
    <s v="NEO800 I2X"/>
    <m/>
    <m/>
    <s v="S1"/>
    <s v="P2"/>
    <s v="BG"/>
    <n v="30"/>
    <n v="828"/>
    <s v="S1"/>
    <n v="828"/>
    <n v="30"/>
    <s v="Cam.B"/>
    <s v="QD.31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274"/>
    <s v="NEO800 I2X"/>
    <m/>
    <m/>
    <s v="S1"/>
    <s v="P1"/>
    <s v="BG"/>
    <n v="30"/>
    <n v="649"/>
    <s v="S1"/>
    <n v="649"/>
    <n v="30"/>
    <s v="Cam.B"/>
    <s v="QD.25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275"/>
    <s v="NEO800 I2X"/>
    <m/>
    <m/>
    <s v="S1"/>
    <s v="P2"/>
    <s v="BG"/>
    <n v="30"/>
    <n v="862"/>
    <s v="S1"/>
    <n v="862"/>
    <n v="30"/>
    <s v="Cam.B"/>
    <s v="QD.32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276"/>
    <s v="NEO800 I2X"/>
    <m/>
    <m/>
    <s v="S1"/>
    <s v="P1"/>
    <s v="BG"/>
    <n v="30"/>
    <n v="664"/>
    <s v="S1"/>
    <n v="664"/>
    <n v="30"/>
    <s v="Cam.B"/>
    <s v="QD.21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277"/>
    <s v="NEO800 I2X"/>
    <m/>
    <m/>
    <s v="S1"/>
    <s v="P2"/>
    <s v="BG"/>
    <n v="30"/>
    <n v="852"/>
    <s v="S1"/>
    <n v="852"/>
    <n v="30"/>
    <s v="Cam.B"/>
    <s v="QD.31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278"/>
    <s v="NEO800 I2X"/>
    <m/>
    <m/>
    <s v="S1"/>
    <s v="P1"/>
    <s v="BG"/>
    <n v="30"/>
    <n v="645"/>
    <s v="S1"/>
    <n v="645"/>
    <n v="30"/>
    <s v="Cam.B"/>
    <s v="QD.21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279"/>
    <s v="NEO800 I2X"/>
    <m/>
    <m/>
    <s v="S1"/>
    <s v="P2"/>
    <s v="BG"/>
    <n v="30"/>
    <n v="835"/>
    <s v="S1"/>
    <n v="835"/>
    <n v="30"/>
    <s v="Cam.B"/>
    <s v="QD.32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280"/>
    <s v="NEO800 I2X"/>
    <m/>
    <m/>
    <s v="S1"/>
    <s v="P2"/>
    <s v="BG"/>
    <n v="30"/>
    <n v="826"/>
    <s v="S1"/>
    <n v="826"/>
    <n v="30"/>
    <s v="Cam.B"/>
    <s v="QD.10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7P1282"/>
    <s v="NEO780 CE"/>
    <m/>
    <m/>
    <s v="C1"/>
    <s v="P1"/>
    <s v="BG"/>
    <n v="30"/>
    <n v="729"/>
    <s v="C1"/>
    <n v="729"/>
    <n v="30"/>
    <s v="Cam.B"/>
    <s v="QD.30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7P2283"/>
    <s v="NEO780 CE"/>
    <m/>
    <m/>
    <s v="C1"/>
    <s v="P2"/>
    <s v="BG"/>
    <n v="30"/>
    <n v="929"/>
    <s v="C1"/>
    <n v="929"/>
    <n v="30"/>
    <s v="Cam.B"/>
    <s v="QD.29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7P2284"/>
    <s v="NEO780 CE"/>
    <m/>
    <m/>
    <s v="C1"/>
    <s v="P2"/>
    <s v="BG"/>
    <n v="30"/>
    <n v="913"/>
    <s v="C1"/>
    <n v="913"/>
    <n v="30"/>
    <s v="Cam.B"/>
    <s v="QD.29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7P1285"/>
    <s v="NEO780 CE"/>
    <m/>
    <m/>
    <s v="C1"/>
    <s v="P1"/>
    <s v="BG"/>
    <n v="30"/>
    <n v="760"/>
    <s v="C1"/>
    <n v="760"/>
    <n v="30"/>
    <s v="Cam.B"/>
    <s v="QD.30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7P1286"/>
    <s v="NEO780 CE"/>
    <m/>
    <m/>
    <s v="C1"/>
    <s v="P1"/>
    <s v="BG"/>
    <n v="30"/>
    <n v="740"/>
    <s v="C1"/>
    <n v="740"/>
    <n v="30"/>
    <s v="Cam.B"/>
    <s v="QD.30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7P2287"/>
    <s v="NEO780 CE"/>
    <m/>
    <m/>
    <s v="C1"/>
    <s v="P2"/>
    <s v="BG"/>
    <n v="30"/>
    <n v="900"/>
    <s v="C1"/>
    <n v="900"/>
    <n v="30"/>
    <s v="Cam.B"/>
    <s v="QD.29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7P1288"/>
    <s v="NEO780 CE"/>
    <m/>
    <m/>
    <s v="C1"/>
    <s v="P1"/>
    <s v="BG"/>
    <n v="6"/>
    <n v="733"/>
    <s v="C1"/>
    <n v="733"/>
    <n v="6"/>
    <s v="Cam.B"/>
    <s v="QD.05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4P2289"/>
    <s v="NEO791 CE"/>
    <m/>
    <m/>
    <s v="C1"/>
    <s v="P2"/>
    <s v="BG"/>
    <n v="30"/>
    <n v="712"/>
    <s v="C1"/>
    <n v="712"/>
    <n v="30"/>
    <s v="Cam.B"/>
    <s v="QD.18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4P2291"/>
    <s v="NEO791 CE"/>
    <m/>
    <m/>
    <s v="C1"/>
    <s v="P2"/>
    <s v="BG"/>
    <n v="30"/>
    <n v="720"/>
    <s v="C1"/>
    <n v="720"/>
    <n v="30"/>
    <s v="Cam.B"/>
    <s v="QD.18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4P1290"/>
    <s v="NEO791 CE"/>
    <m/>
    <m/>
    <s v="C1"/>
    <s v="P1"/>
    <s v="BG"/>
    <n v="30"/>
    <n v="583"/>
    <s v="C1"/>
    <n v="583"/>
    <n v="30"/>
    <s v="Cam.B"/>
    <s v="QD.20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4P2292"/>
    <s v="NEO791 CE"/>
    <m/>
    <m/>
    <s v="C1"/>
    <s v="P2"/>
    <s v="BG"/>
    <n v="30"/>
    <n v="770"/>
    <s v="C1"/>
    <n v="770"/>
    <n v="30"/>
    <s v="Cam.B"/>
    <s v="QD.18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4P2293"/>
    <s v="NEO791 CE"/>
    <m/>
    <m/>
    <s v="C1"/>
    <s v="P2"/>
    <s v="BG"/>
    <n v="30"/>
    <n v="718"/>
    <s v="C1"/>
    <n v="718"/>
    <n v="30"/>
    <s v="Cam.B"/>
    <s v="QD.18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4P1294"/>
    <s v="NEO791 CE"/>
    <m/>
    <m/>
    <s v="C1"/>
    <s v="P1"/>
    <s v="BG"/>
    <n v="30"/>
    <n v="544"/>
    <s v="C1"/>
    <n v="544"/>
    <n v="30"/>
    <s v="Cam.B"/>
    <s v="QD.20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4P2295"/>
    <s v="NEO791 CE"/>
    <m/>
    <m/>
    <s v="C1"/>
    <s v="P2"/>
    <s v="BG"/>
    <n v="30"/>
    <n v="720"/>
    <s v="C1"/>
    <n v="720"/>
    <n v="30"/>
    <s v="Cam.B"/>
    <s v="QD.19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4P2296"/>
    <s v="NEO791 CE"/>
    <m/>
    <m/>
    <s v="C1"/>
    <s v="P2"/>
    <s v="BG"/>
    <n v="30"/>
    <n v="717"/>
    <s v="C1"/>
    <n v="717"/>
    <n v="30"/>
    <s v="Cam.B"/>
    <s v="QD.19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4P2297"/>
    <s v="NEO791 CE"/>
    <m/>
    <m/>
    <s v="C1"/>
    <s v="P2"/>
    <s v="BG"/>
    <n v="30"/>
    <n v="725"/>
    <s v="C1"/>
    <n v="725"/>
    <n v="30"/>
    <s v="Cam.B"/>
    <s v="QD.19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4P2298"/>
    <s v="NEO791 CE"/>
    <m/>
    <m/>
    <s v="C1"/>
    <s v="P2"/>
    <s v="BG"/>
    <n v="18"/>
    <n v="723"/>
    <s v="C1"/>
    <n v="723"/>
    <n v="18"/>
    <s v="Cam.B"/>
    <s v="QD.06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64P1299"/>
    <s v="NEO791 CE"/>
    <m/>
    <m/>
    <s v="C1"/>
    <s v="P1"/>
    <s v="BG"/>
    <n v="9"/>
    <n v="553"/>
    <s v="C1"/>
    <n v="553"/>
    <n v="9"/>
    <s v="Cam.B"/>
    <s v="QD.05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300"/>
    <s v="NEO790 IPRO"/>
    <m/>
    <m/>
    <s v="S1"/>
    <s v="P2"/>
    <s v="BG"/>
    <n v="30"/>
    <n v="906"/>
    <s v="S1"/>
    <n v="906"/>
    <n v="30"/>
    <s v="Cam.B"/>
    <s v="QD.20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301"/>
    <s v="NEO790 IPRO"/>
    <m/>
    <m/>
    <s v="S1"/>
    <s v="P1"/>
    <s v="BG"/>
    <n v="30"/>
    <n v="702"/>
    <s v="S1"/>
    <n v="702"/>
    <n v="30"/>
    <s v="Cam.B"/>
    <s v="QD.19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302"/>
    <s v="NEO790 IPRO"/>
    <m/>
    <m/>
    <s v="S1"/>
    <s v="P2"/>
    <s v="BG"/>
    <n v="27"/>
    <n v="936"/>
    <s v="S1"/>
    <n v="936"/>
    <n v="27"/>
    <s v="Cam.B"/>
    <s v="QD.20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2303"/>
    <s v="NEO790 IPRO"/>
    <m/>
    <m/>
    <s v="S1"/>
    <s v="P2"/>
    <s v="BG"/>
    <n v="14"/>
    <n v="920"/>
    <s v="S1"/>
    <n v="920"/>
    <n v="14"/>
    <s v="Cam.B"/>
    <s v="QD.07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4P1304"/>
    <s v="NEO790 IPRO"/>
    <m/>
    <m/>
    <s v="S1"/>
    <s v="P1"/>
    <s v="BG"/>
    <n v="8"/>
    <n v="715"/>
    <s v="S1"/>
    <n v="715"/>
    <n v="8"/>
    <s v="Cam.B"/>
    <s v="QD.05"/>
    <s v="F5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281"/>
    <s v="NEO800 I2X"/>
    <m/>
    <m/>
    <s v="S1"/>
    <s v="P1"/>
    <s v="BG"/>
    <n v="30"/>
    <n v="652"/>
    <s v="S1"/>
    <n v="652"/>
    <n v="30"/>
    <s v="Cam.B"/>
    <s v="QD.08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305"/>
    <s v="NEO800 I2X"/>
    <m/>
    <m/>
    <s v="S1"/>
    <s v="P2"/>
    <s v="BG"/>
    <n v="30"/>
    <n v="837"/>
    <s v="S1"/>
    <n v="837"/>
    <n v="30"/>
    <s v="Cam.B"/>
    <s v="QD.09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306"/>
    <s v="NEO800 I2X"/>
    <m/>
    <m/>
    <s v="S1"/>
    <s v="P1"/>
    <s v="BG"/>
    <n v="30"/>
    <n v="660"/>
    <s v="S1"/>
    <n v="660"/>
    <n v="30"/>
    <s v="Cam.B"/>
    <s v="QD.08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307"/>
    <s v="NEO800 I2X"/>
    <m/>
    <m/>
    <s v="S1"/>
    <s v="P2"/>
    <s v="BG"/>
    <n v="30"/>
    <n v="833"/>
    <s v="S1"/>
    <n v="833"/>
    <n v="30"/>
    <s v="Cam.B"/>
    <s v="QD.10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308"/>
    <s v="NEO800 I2X"/>
    <m/>
    <m/>
    <s v="S1"/>
    <s v="P1"/>
    <s v="BG"/>
    <n v="30"/>
    <n v="645"/>
    <s v="S1"/>
    <n v="645"/>
    <n v="30"/>
    <s v="Cam.B"/>
    <s v="QD.08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309"/>
    <s v="NEO800 I2X"/>
    <m/>
    <m/>
    <s v="S1"/>
    <s v="P2"/>
    <s v="BG"/>
    <n v="30"/>
    <n v="833"/>
    <s v="S1"/>
    <n v="833"/>
    <n v="30"/>
    <s v="Cam.C"/>
    <s v="QD.21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310"/>
    <s v="NEO800 I2X"/>
    <m/>
    <m/>
    <s v="S1"/>
    <s v="P2"/>
    <s v="BG"/>
    <n v="30"/>
    <n v="824"/>
    <s v="S1"/>
    <n v="824"/>
    <n v="30"/>
    <s v="Cam.B"/>
    <s v="QD.09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311"/>
    <s v="NEO800 I2X"/>
    <m/>
    <m/>
    <s v="S1"/>
    <s v="P1"/>
    <s v="BG"/>
    <n v="30"/>
    <n v="628"/>
    <s v="S1"/>
    <n v="628"/>
    <n v="30"/>
    <s v="Cam.C"/>
    <s v="QD.12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312"/>
    <s v="NEO800 I2X"/>
    <m/>
    <m/>
    <s v="S1"/>
    <s v="P1"/>
    <s v="BG"/>
    <n v="30"/>
    <n v="635"/>
    <s v="S1"/>
    <n v="635"/>
    <n v="30"/>
    <s v="Cam.C"/>
    <s v="QD.12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313"/>
    <s v="NEO800 I2X"/>
    <m/>
    <m/>
    <s v="S1"/>
    <s v="P2"/>
    <s v="BG"/>
    <n v="30"/>
    <n v="827"/>
    <s v="S1"/>
    <n v="827"/>
    <n v="30"/>
    <s v="Cam.C"/>
    <s v="QD.21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314"/>
    <s v="NEO800 I2X"/>
    <m/>
    <m/>
    <s v="S1"/>
    <s v="P2"/>
    <s v="BG"/>
    <n v="30"/>
    <n v="835"/>
    <s v="S1"/>
    <n v="835"/>
    <n v="30"/>
    <s v="Cam.B"/>
    <s v="QD.09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315"/>
    <s v="NEO800 I2X"/>
    <m/>
    <m/>
    <s v="S1"/>
    <s v="P1"/>
    <s v="BG"/>
    <n v="30"/>
    <n v="648"/>
    <s v="S1"/>
    <n v="648"/>
    <n v="30"/>
    <s v="Cam.C"/>
    <s v="QD.12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316"/>
    <s v="NEO800 I2X"/>
    <m/>
    <m/>
    <s v="S1"/>
    <s v="P2"/>
    <s v="BG"/>
    <n v="30"/>
    <n v="828"/>
    <s v="S1"/>
    <n v="828"/>
    <n v="30"/>
    <s v="Cam.C"/>
    <s v="QD.36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317"/>
    <s v="NEO800 I2X"/>
    <m/>
    <m/>
    <s v="S1"/>
    <s v="P1"/>
    <s v="BG"/>
    <n v="30"/>
    <n v="641"/>
    <s v="S1"/>
    <n v="641"/>
    <n v="30"/>
    <s v="Cam.C"/>
    <s v="QD.21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318"/>
    <s v="NEO800 I2X"/>
    <m/>
    <m/>
    <s v="S1"/>
    <s v="P2"/>
    <s v="BG"/>
    <n v="30"/>
    <n v="840"/>
    <s v="S1"/>
    <n v="840"/>
    <n v="30"/>
    <s v="Cam.C"/>
    <s v="QD.36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2319"/>
    <s v="NEO800 I2X"/>
    <m/>
    <m/>
    <s v="S1"/>
    <s v="P2"/>
    <s v="BG"/>
    <n v="18"/>
    <n v="836"/>
    <s v="S1"/>
    <n v="836"/>
    <n v="18"/>
    <s v="Cam.B"/>
    <s v="QD.06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273P1320"/>
    <s v="NEO800 I2X"/>
    <m/>
    <m/>
    <s v="S1"/>
    <s v="P1"/>
    <s v="BG"/>
    <n v="10"/>
    <n v="652"/>
    <s v="S1"/>
    <n v="652"/>
    <n v="10"/>
    <s v="Cam.B"/>
    <s v="QD.05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321"/>
    <s v="NEO700 I2X"/>
    <m/>
    <m/>
    <s v="C2"/>
    <s v="P2"/>
    <s v="BG"/>
    <n v="27"/>
    <n v="988"/>
    <s v="C2"/>
    <n v="988"/>
    <n v="27"/>
    <s v="Cam.C"/>
    <s v="QD.17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322"/>
    <s v="NEO700 I2X"/>
    <m/>
    <m/>
    <s v="C2"/>
    <s v="P1"/>
    <s v="BG"/>
    <n v="30"/>
    <n v="824"/>
    <s v="C2"/>
    <n v="824"/>
    <n v="30"/>
    <s v="Cam.C"/>
    <s v="QD.11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323"/>
    <s v="NEO700 I2X"/>
    <m/>
    <m/>
    <s v="C2"/>
    <s v="P2"/>
    <s v="BG"/>
    <n v="27"/>
    <n v="977"/>
    <s v="C2"/>
    <n v="977"/>
    <n v="27"/>
    <s v="Cam.C"/>
    <s v="QD.11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324"/>
    <s v="NEO700 I2X"/>
    <m/>
    <m/>
    <s v="C2"/>
    <s v="P1"/>
    <s v="BG"/>
    <n v="30"/>
    <n v="818"/>
    <s v="C2"/>
    <n v="818"/>
    <n v="30"/>
    <s v="Cam.C"/>
    <s v="QD.10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325"/>
    <s v="NEO700 I2X"/>
    <m/>
    <m/>
    <s v="C2"/>
    <s v="P2"/>
    <s v="BG"/>
    <n v="27"/>
    <n v="986"/>
    <s v="C2"/>
    <n v="986"/>
    <n v="27"/>
    <s v="Cam.C"/>
    <s v="QD.11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326"/>
    <s v="NEO700 I2X"/>
    <m/>
    <m/>
    <s v="C2"/>
    <s v="P2"/>
    <s v="BG"/>
    <n v="27"/>
    <n v="983"/>
    <s v="C2"/>
    <n v="983"/>
    <n v="27"/>
    <s v="Cam.C"/>
    <s v="QD.10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327"/>
    <s v="NEO700 I2X"/>
    <m/>
    <m/>
    <s v="C2"/>
    <s v="P2"/>
    <s v="BG"/>
    <n v="27"/>
    <n v="968"/>
    <s v="C2"/>
    <n v="968"/>
    <n v="27"/>
    <s v="Cam.C"/>
    <s v="QD.10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328"/>
    <s v="NEO700 I2X"/>
    <m/>
    <m/>
    <s v="C2"/>
    <s v="P1"/>
    <s v="BG"/>
    <n v="30"/>
    <n v="827"/>
    <s v="C2"/>
    <n v="827"/>
    <n v="30"/>
    <s v="Cam.C"/>
    <s v="QD.13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329"/>
    <s v="NEO700 I2X"/>
    <m/>
    <m/>
    <s v="C2"/>
    <s v="P1"/>
    <s v="BG"/>
    <n v="30"/>
    <n v="822"/>
    <s v="C2"/>
    <n v="822"/>
    <n v="30"/>
    <s v="Cam.C"/>
    <s v="QD.13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330"/>
    <s v="NEO700 I2X"/>
    <m/>
    <m/>
    <s v="S2"/>
    <s v="P2"/>
    <s v="BG"/>
    <n v="27"/>
    <n v="955"/>
    <s v="S2"/>
    <n v="955"/>
    <n v="27"/>
    <s v="Cam.C"/>
    <s v="QD.28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331"/>
    <s v="NEO700 I2X"/>
    <m/>
    <m/>
    <s v="S2"/>
    <s v="P2"/>
    <s v="BG"/>
    <n v="27"/>
    <n v="939"/>
    <s v="S2"/>
    <n v="939"/>
    <n v="27"/>
    <s v="Cam.C"/>
    <s v="QD.17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1332"/>
    <s v="NEO700 I2X"/>
    <m/>
    <m/>
    <s v="S2 "/>
    <s v="P1"/>
    <s v="BG"/>
    <n v="20"/>
    <n v="828"/>
    <s v="S2 "/>
    <n v="828"/>
    <n v="20"/>
    <s v="Cam.C"/>
    <s v="QD.14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333"/>
    <s v="NEO700 I2X"/>
    <m/>
    <m/>
    <s v="S2"/>
    <s v="P2"/>
    <s v="BG"/>
    <n v="27"/>
    <n v="970"/>
    <s v="S2"/>
    <n v="970"/>
    <n v="27"/>
    <s v="Cam.C"/>
    <s v="QD.28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334"/>
    <s v="NEO700 I2X"/>
    <m/>
    <m/>
    <s v="S2"/>
    <s v="P2"/>
    <s v="BG"/>
    <n v="27"/>
    <n v="985"/>
    <s v="S2"/>
    <n v="985"/>
    <n v="27"/>
    <s v="Cam.C"/>
    <s v="QD.13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39P2335"/>
    <s v="NEO700 I2X"/>
    <m/>
    <m/>
    <s v="S2"/>
    <s v="P2"/>
    <s v="BG"/>
    <n v="16"/>
    <n v="989"/>
    <s v="S2"/>
    <n v="989"/>
    <n v="16"/>
    <s v="Cam.C"/>
    <s v="QD.26"/>
    <s v="F4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5P1336"/>
    <s v="M 7535 I2X"/>
    <m/>
    <m/>
    <s v="C1"/>
    <s v="P1"/>
    <s v="BG"/>
    <n v="30"/>
    <n v="752"/>
    <s v="C1"/>
    <n v="752"/>
    <n v="30"/>
    <s v="Cam.C"/>
    <s v="QD.16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5P2337"/>
    <s v="M 7535 I2X"/>
    <m/>
    <m/>
    <s v="C1"/>
    <s v="P2"/>
    <s v="BG"/>
    <n v="30"/>
    <n v="888"/>
    <s v="C1"/>
    <n v="888"/>
    <n v="30"/>
    <s v="Cam.C"/>
    <s v="QD.16"/>
    <s v="F3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5P2338"/>
    <s v="M 7535 I2X"/>
    <m/>
    <m/>
    <s v="C1"/>
    <s v="P2"/>
    <s v="BG"/>
    <n v="30"/>
    <n v="889"/>
    <s v="C1"/>
    <n v="889"/>
    <n v="30"/>
    <s v="Cam.C"/>
    <s v="QD.16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5P1339"/>
    <s v="M 7535 I2X"/>
    <m/>
    <m/>
    <s v="C1"/>
    <s v="P1"/>
    <s v="BG"/>
    <n v="8"/>
    <n v="746"/>
    <s v="C1"/>
    <n v="746"/>
    <n v="8"/>
    <s v="Cam.C"/>
    <s v="QD.04"/>
    <s v="F1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55P2340"/>
    <s v="M 7535 I2X"/>
    <m/>
    <m/>
    <s v="C1"/>
    <s v="P2"/>
    <s v="BG"/>
    <n v="10"/>
    <n v="878"/>
    <s v="C1"/>
    <n v="878"/>
    <n v="10"/>
    <s v="Cam.C"/>
    <s v="QD.04"/>
    <s v="F2"/>
    <s v="SIM"/>
    <n v="1"/>
    <d v="2026-06-24T00:00:00"/>
    <x v="2"/>
    <s v="Renato de Castro"/>
    <s v="Sergio Mench do Prado"/>
    <s v="Rodrigo de Almeida"/>
  </r>
  <r>
    <x v="1"/>
    <s v="GO"/>
    <s v="0101"/>
    <n v="10"/>
    <x v="0"/>
    <s v="11026715P2159"/>
    <s v="NEO761 I2X"/>
    <m/>
    <m/>
    <s v="S2"/>
    <s v="P2"/>
    <s v="BG"/>
    <n v="24"/>
    <n v="1062"/>
    <s v="S2"/>
    <n v="1062"/>
    <n v="24"/>
    <s v="Cam.A"/>
    <s v="QD.24"/>
    <s v="F1"/>
    <s v="SIM"/>
    <n v="1"/>
    <d v="2026-06-24T00:00:00"/>
    <x v="2"/>
    <s v="Renato de Castro"/>
    <s v="Sergio Mench do Prado"/>
    <s v="Rodrigo de Almeida"/>
  </r>
  <r>
    <x v="0"/>
    <s v="GO"/>
    <s v="0101"/>
    <n v="11"/>
    <x v="0"/>
    <s v="11728P2005"/>
    <s v="6930I2X"/>
    <m/>
    <m/>
    <s v="C2"/>
    <s v="P2"/>
    <s v="BG"/>
    <n v="24"/>
    <n v="1010"/>
    <s v="C2"/>
    <n v="1010"/>
    <n v="24"/>
    <s v="Cam.A"/>
    <s v="QD.36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1004"/>
    <s v="6930I2X"/>
    <m/>
    <m/>
    <s v="C2"/>
    <s v="P1"/>
    <s v="BG"/>
    <n v="30"/>
    <n v="812"/>
    <s v="C2"/>
    <n v="812"/>
    <n v="30"/>
    <s v="Cam.A"/>
    <s v="QD.35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1003"/>
    <s v="6930I2X"/>
    <m/>
    <m/>
    <s v="C2"/>
    <s v="P1"/>
    <s v="BG"/>
    <n v="30"/>
    <n v="828"/>
    <s v="C2"/>
    <n v="828"/>
    <n v="30"/>
    <s v="Cam.A"/>
    <s v="QD.35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2002"/>
    <s v="6930I2X"/>
    <m/>
    <m/>
    <s v="C2"/>
    <s v="P2"/>
    <s v="BG"/>
    <n v="24"/>
    <n v="1035"/>
    <s v="C2"/>
    <n v="1035"/>
    <n v="24"/>
    <s v="Cam.A"/>
    <s v="QD.36"/>
    <s v="F7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1001"/>
    <s v="6930I2X"/>
    <m/>
    <m/>
    <s v="C2"/>
    <s v="P1"/>
    <s v="BG"/>
    <n v="30"/>
    <n v="835"/>
    <s v="C2"/>
    <n v="835"/>
    <n v="30"/>
    <s v="Cam.A"/>
    <s v="QD.35"/>
    <s v="F7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16"/>
    <s v="NEO680 IPRO"/>
    <m/>
    <m/>
    <s v="S2"/>
    <s v="P1"/>
    <s v="BG"/>
    <n v="30"/>
    <n v="765"/>
    <s v="S2"/>
    <n v="765"/>
    <n v="30"/>
    <s v="Cam.A"/>
    <s v="QD.49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1006"/>
    <s v="6930I2X"/>
    <m/>
    <m/>
    <s v="C2"/>
    <s v="P1"/>
    <s v="BG"/>
    <n v="30"/>
    <n v="801"/>
    <s v="C2"/>
    <n v="801"/>
    <n v="30"/>
    <s v="Cam.A"/>
    <s v="QD.35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2011"/>
    <s v="6930I2X"/>
    <m/>
    <m/>
    <s v="C2"/>
    <s v="P2"/>
    <s v="BG"/>
    <n v="24"/>
    <n v="1019"/>
    <s v="C2"/>
    <n v="1019"/>
    <n v="24"/>
    <s v="Cam.A"/>
    <s v="QD.36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2009"/>
    <s v="6930I2X"/>
    <m/>
    <m/>
    <s v="C2"/>
    <s v="P2"/>
    <s v="BG"/>
    <n v="24"/>
    <n v="1021"/>
    <s v="C2"/>
    <n v="1021"/>
    <n v="24"/>
    <s v="Cam.A"/>
    <s v="QD.36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1010"/>
    <s v="6930I2X"/>
    <m/>
    <m/>
    <s v="C2"/>
    <s v="P1"/>
    <s v="BG"/>
    <n v="30"/>
    <n v="827"/>
    <s v="C2"/>
    <n v="827"/>
    <n v="30"/>
    <s v="Cam.A"/>
    <s v="QD.35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1008"/>
    <s v="6930I2X"/>
    <m/>
    <m/>
    <s v="C2"/>
    <s v="P1"/>
    <s v="BG"/>
    <n v="30"/>
    <n v="821"/>
    <s v="C2"/>
    <n v="821"/>
    <n v="30"/>
    <s v="Cam.A"/>
    <s v="QD.35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2007"/>
    <s v="6930I2X"/>
    <m/>
    <m/>
    <s v="C2"/>
    <s v="P2"/>
    <s v="BG"/>
    <n v="24"/>
    <n v="1010"/>
    <s v="C2"/>
    <n v="1010"/>
    <n v="24"/>
    <s v="Cam.A"/>
    <s v="QD.36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2013"/>
    <s v="6930I2X"/>
    <m/>
    <m/>
    <s v="C2"/>
    <s v="P2"/>
    <s v="BG"/>
    <n v="24"/>
    <n v="1056"/>
    <s v="C2"/>
    <n v="1056"/>
    <n v="24"/>
    <s v="Cam.A"/>
    <s v="QD.36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1014"/>
    <s v="6930I2X"/>
    <m/>
    <m/>
    <s v="C2"/>
    <s v="P1"/>
    <s v="BG"/>
    <n v="30"/>
    <n v="804"/>
    <s v="C2"/>
    <n v="804"/>
    <n v="30"/>
    <s v="Cam.A"/>
    <s v="QD.37"/>
    <s v="F7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1012"/>
    <s v="6930I2X"/>
    <m/>
    <m/>
    <s v="C2"/>
    <s v="P1"/>
    <s v="BG"/>
    <n v="30"/>
    <n v="813"/>
    <s v="C2"/>
    <n v="813"/>
    <n v="30"/>
    <s v="Cam.A"/>
    <s v="QD.35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02"/>
    <s v="O790 IPRO"/>
    <m/>
    <m/>
    <s v="S1"/>
    <s v="P2"/>
    <s v="BG"/>
    <n v="24"/>
    <n v="1028"/>
    <s v="S1"/>
    <n v="1028"/>
    <n v="24"/>
    <s v="Cam.B"/>
    <s v="QD.72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1101"/>
    <s v="O790 IPRO"/>
    <m/>
    <m/>
    <s v="S1"/>
    <s v="P1"/>
    <s v="BG"/>
    <n v="30"/>
    <n v="792"/>
    <s v="S1"/>
    <n v="792"/>
    <n v="30"/>
    <s v="Cam.B"/>
    <s v="QD.71"/>
    <m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22"/>
    <s v="761 I2X"/>
    <m/>
    <m/>
    <s v="S2"/>
    <s v="P2"/>
    <s v="BG"/>
    <n v="24"/>
    <n v="1032"/>
    <s v="S2"/>
    <n v="1032"/>
    <n v="24"/>
    <s v="Cam.A"/>
    <s v="QD.57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1103"/>
    <s v="O790 IPRO"/>
    <m/>
    <m/>
    <s v="S1"/>
    <s v="P1"/>
    <s v="BG"/>
    <n v="30"/>
    <n v="775"/>
    <s v="S1"/>
    <n v="775"/>
    <n v="30"/>
    <s v="Cam.B"/>
    <s v="QD.71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2015"/>
    <s v="6930I2X"/>
    <m/>
    <m/>
    <s v="C2"/>
    <s v="P2"/>
    <s v="BG"/>
    <n v="24"/>
    <n v="1065"/>
    <s v="C2"/>
    <n v="1065"/>
    <n v="24"/>
    <s v="Cam.A"/>
    <s v="QD.36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06"/>
    <s v="O790 IPRO"/>
    <m/>
    <m/>
    <s v="S1"/>
    <s v="P2"/>
    <s v="BG"/>
    <n v="24"/>
    <n v="1033"/>
    <s v="S1"/>
    <n v="1033"/>
    <n v="24"/>
    <s v="Cam.B"/>
    <s v="QD.72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1105"/>
    <s v="O790 IPRO"/>
    <m/>
    <m/>
    <s v="S1"/>
    <s v="P1"/>
    <s v="BG"/>
    <n v="30"/>
    <n v="818"/>
    <s v="S1"/>
    <n v="818"/>
    <n v="30"/>
    <s v="Cam.B"/>
    <s v="QD.71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04"/>
    <s v="O790 IPRO"/>
    <m/>
    <m/>
    <s v="S1"/>
    <s v="P2"/>
    <s v="BG"/>
    <n v="24"/>
    <n v="1029"/>
    <s v="S1"/>
    <n v="1029"/>
    <n v="24"/>
    <s v="Cam.B"/>
    <s v="QD.72"/>
    <s v="F7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1016"/>
    <s v="6930I2X"/>
    <m/>
    <m/>
    <s v="C2"/>
    <s v="P1"/>
    <s v="BG"/>
    <n v="29"/>
    <n v="842"/>
    <s v="C2"/>
    <n v="842"/>
    <n v="29"/>
    <s v="Cam.A"/>
    <s v="QD.37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05"/>
    <s v="690 I2X"/>
    <m/>
    <m/>
    <s v="S1"/>
    <s v="P1"/>
    <s v="BG"/>
    <n v="30"/>
    <n v="755"/>
    <s v="S1"/>
    <n v="755"/>
    <n v="30"/>
    <s v="Cam.A"/>
    <s v="QD.39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2204"/>
    <s v="690 I2X"/>
    <m/>
    <m/>
    <s v="S1"/>
    <s v="P2"/>
    <s v="BG"/>
    <n v="30"/>
    <n v="898"/>
    <s v="S1"/>
    <n v="898"/>
    <n v="30"/>
    <s v="Cam.A"/>
    <s v="QD.38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03"/>
    <s v="690 I2X"/>
    <m/>
    <m/>
    <s v="S1"/>
    <s v="P1"/>
    <s v="BG"/>
    <n v="30"/>
    <n v="742"/>
    <s v="S1"/>
    <n v="742"/>
    <n v="30"/>
    <s v="Cam.A"/>
    <s v="QD.39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2202"/>
    <s v="690 I2X"/>
    <m/>
    <m/>
    <s v="S1"/>
    <s v="P2"/>
    <s v="BG"/>
    <n v="27"/>
    <n v="915"/>
    <s v="S1"/>
    <n v="915"/>
    <n v="27"/>
    <s v="Cam.A"/>
    <s v="QD.38"/>
    <s v="F7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01"/>
    <s v="690 I2X"/>
    <m/>
    <m/>
    <s v="S1"/>
    <s v="P1"/>
    <s v="BG"/>
    <n v="30"/>
    <n v="759"/>
    <s v="S1"/>
    <n v="759"/>
    <n v="30"/>
    <s v="Cam.A"/>
    <s v="QD.39"/>
    <s v="F7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2207"/>
    <s v="690 I2X"/>
    <m/>
    <m/>
    <s v="S1"/>
    <s v="P2"/>
    <s v="BG"/>
    <n v="27"/>
    <n v="909"/>
    <s v="S1"/>
    <n v="909"/>
    <n v="27"/>
    <s v="Cam.A"/>
    <s v="QD.38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06"/>
    <s v="690 I2X"/>
    <m/>
    <m/>
    <s v="S1"/>
    <s v="P1"/>
    <s v="BG"/>
    <n v="30"/>
    <n v="755"/>
    <s v="S1"/>
    <n v="755"/>
    <n v="30"/>
    <s v="Cam.A"/>
    <s v="QD.39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2305"/>
    <s v="NEO801 CE"/>
    <m/>
    <m/>
    <s v="C2"/>
    <s v="P2"/>
    <s v="BG"/>
    <n v="24"/>
    <n v="1019"/>
    <s v="C2"/>
    <n v="1019"/>
    <n v="24"/>
    <s v="Cam.B"/>
    <s v="QD.88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1301"/>
    <s v="NEO801 CE"/>
    <m/>
    <m/>
    <s v="C2"/>
    <s v="P1"/>
    <s v="BG"/>
    <n v="30"/>
    <n v="815"/>
    <s v="C2"/>
    <n v="815"/>
    <n v="30"/>
    <s v="Cam.B"/>
    <s v="QD.89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11"/>
    <s v="690 I2X"/>
    <m/>
    <m/>
    <s v="S1"/>
    <s v="P1"/>
    <s v="BG"/>
    <n v="30"/>
    <n v="750"/>
    <s v="S1"/>
    <n v="750"/>
    <n v="30"/>
    <s v="Cam.A"/>
    <s v="QD.39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2303"/>
    <s v="NEO801 CE"/>
    <m/>
    <m/>
    <s v="C2"/>
    <s v="P2"/>
    <s v="BG"/>
    <n v="27"/>
    <n v="1000"/>
    <s v="C2"/>
    <n v="1000"/>
    <n v="27"/>
    <s v="Cam.B"/>
    <s v="QD.88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09"/>
    <s v="690 I2X"/>
    <m/>
    <m/>
    <s v="S1"/>
    <s v="P1"/>
    <s v="BG"/>
    <n v="30"/>
    <n v="746"/>
    <s v="S1"/>
    <n v="746"/>
    <n v="30"/>
    <s v="Cam.A"/>
    <s v="QD.39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2302"/>
    <s v="NEO801 CE"/>
    <m/>
    <m/>
    <s v="C2"/>
    <s v="P2"/>
    <s v="BG"/>
    <n v="24"/>
    <n v="1003"/>
    <s v="C2"/>
    <n v="1003"/>
    <n v="24"/>
    <s v="Cam.B"/>
    <s v="QD.88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08"/>
    <s v="690 I2X"/>
    <m/>
    <m/>
    <s v="S1"/>
    <s v="P1"/>
    <s v="BG"/>
    <n v="30"/>
    <n v="767"/>
    <s v="S1"/>
    <n v="767"/>
    <n v="30"/>
    <s v="Cam.A"/>
    <s v="QD.39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1306"/>
    <s v="NEO801 CE"/>
    <m/>
    <m/>
    <s v="C2"/>
    <s v="P1"/>
    <s v="BG"/>
    <n v="19"/>
    <n v="832"/>
    <s v="C2"/>
    <n v="832"/>
    <n v="19"/>
    <s v="Cam.B"/>
    <s v="QD.89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2307"/>
    <s v="NEO801 CE"/>
    <m/>
    <m/>
    <s v="C2"/>
    <s v="P2"/>
    <s v="BG"/>
    <n v="14"/>
    <n v="955"/>
    <s v="C2"/>
    <n v="955"/>
    <n v="14"/>
    <s v="Cam.B"/>
    <s v="QD.88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2213"/>
    <s v="690 I2X"/>
    <m/>
    <m/>
    <s v="S1"/>
    <s v="P2"/>
    <s v="BG"/>
    <n v="27"/>
    <n v="929"/>
    <s v="S1"/>
    <n v="929"/>
    <n v="27"/>
    <s v="Cam.A"/>
    <s v="QD.38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14"/>
    <s v="690 I2X"/>
    <m/>
    <m/>
    <s v="S1"/>
    <s v="P1"/>
    <s v="BG"/>
    <n v="30"/>
    <n v="768"/>
    <s v="S1"/>
    <n v="768"/>
    <n v="30"/>
    <s v="Cam.A"/>
    <s v="QD.40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12"/>
    <s v="690 I2X"/>
    <m/>
    <m/>
    <s v="S1"/>
    <s v="P1"/>
    <s v="BG"/>
    <n v="30"/>
    <n v="765"/>
    <s v="S1"/>
    <n v="765"/>
    <n v="30"/>
    <s v="Cam.A"/>
    <s v="QD.40"/>
    <s v="F7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1304"/>
    <s v="NEO801 CE"/>
    <m/>
    <m/>
    <s v="C2"/>
    <s v="P1"/>
    <s v="BG"/>
    <n v="30"/>
    <n v="823"/>
    <s v="C2"/>
    <n v="823"/>
    <n v="30"/>
    <s v="Cam.B"/>
    <s v="QD.89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2210"/>
    <s v="690 I2X"/>
    <m/>
    <m/>
    <s v="S1"/>
    <s v="P2"/>
    <s v="BG"/>
    <n v="27"/>
    <n v="916"/>
    <s v="S1"/>
    <n v="916"/>
    <n v="27"/>
    <s v="Cam.A"/>
    <s v="QD.38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2219"/>
    <s v="690 I2X"/>
    <m/>
    <m/>
    <s v="S1"/>
    <s v="P2"/>
    <s v="BG"/>
    <n v="30"/>
    <n v="891"/>
    <s v="S1"/>
    <n v="891"/>
    <n v="30"/>
    <s v="Cam.A"/>
    <s v="QD.38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18"/>
    <s v="690 I2X"/>
    <m/>
    <m/>
    <s v="S1"/>
    <s v="P1"/>
    <s v="BG"/>
    <n v="30"/>
    <n v="757"/>
    <s v="S1"/>
    <n v="757"/>
    <n v="30"/>
    <s v="Cam.A"/>
    <s v="QD.40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2216"/>
    <s v="690 I2X"/>
    <m/>
    <m/>
    <s v="S1"/>
    <s v="P2"/>
    <s v="BG"/>
    <n v="27"/>
    <n v="914"/>
    <s v="S1"/>
    <n v="914"/>
    <n v="27"/>
    <s v="Cam.A"/>
    <s v="QD.38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17"/>
    <s v="690 I2X"/>
    <m/>
    <m/>
    <s v="S1"/>
    <s v="P1"/>
    <s v="BG"/>
    <n v="30"/>
    <n v="761"/>
    <s v="S1"/>
    <n v="761"/>
    <n v="30"/>
    <s v="Cam.A"/>
    <s v="QD.40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15"/>
    <s v="690 I2X"/>
    <m/>
    <m/>
    <s v="S1"/>
    <s v="P1"/>
    <s v="BG"/>
    <n v="30"/>
    <n v="763"/>
    <s v="S1"/>
    <n v="763"/>
    <n v="30"/>
    <s v="Cam.A"/>
    <s v="QD.40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22"/>
    <s v="690 I2X"/>
    <m/>
    <m/>
    <s v="S1"/>
    <s v="P1"/>
    <s v="BG"/>
    <n v="30"/>
    <n v="750"/>
    <s v="S1"/>
    <n v="750"/>
    <n v="30"/>
    <s v="Cam.A"/>
    <s v="QD.40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20"/>
    <s v="690 I2X"/>
    <m/>
    <m/>
    <s v="S1"/>
    <s v="P1"/>
    <s v="BG"/>
    <n v="30"/>
    <n v="767"/>
    <s v="S1"/>
    <n v="767"/>
    <n v="30"/>
    <s v="Cam.A"/>
    <s v="QD.40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2224"/>
    <s v="690 I2X"/>
    <m/>
    <m/>
    <s v="S1"/>
    <s v="P2"/>
    <s v="BG"/>
    <n v="7"/>
    <n v="908"/>
    <s v="S1"/>
    <n v="908"/>
    <n v="7"/>
    <s v="Cam.A"/>
    <s v="QD.70"/>
    <m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23"/>
    <s v="690 I2X"/>
    <m/>
    <m/>
    <s v="S1"/>
    <s v="P1"/>
    <s v="BG"/>
    <n v="30"/>
    <n v="759"/>
    <s v="S1"/>
    <n v="759"/>
    <n v="30"/>
    <s v="Cam.B"/>
    <s v="QD.80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2221"/>
    <s v="690 I2X"/>
    <m/>
    <m/>
    <s v="S1"/>
    <s v="P2"/>
    <s v="BG"/>
    <n v="27"/>
    <n v="920"/>
    <s v="S1"/>
    <n v="920"/>
    <n v="27"/>
    <s v="Cam.A"/>
    <s v="CORREDOR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4P1401"/>
    <s v="7222I2X"/>
    <m/>
    <m/>
    <s v="C1"/>
    <s v="P1"/>
    <s v="BG"/>
    <n v="24"/>
    <n v="1050"/>
    <s v="C1"/>
    <n v="1050"/>
    <n v="24"/>
    <s v="Cam.A"/>
    <s v="QD.42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4P1407"/>
    <s v="7222I2X"/>
    <m/>
    <m/>
    <s v="C1"/>
    <s v="P1"/>
    <s v="BG"/>
    <n v="14"/>
    <n v="1033"/>
    <s v="C1"/>
    <n v="1033"/>
    <n v="14"/>
    <s v="Cam.A"/>
    <s v="QD.43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8P2501"/>
    <s v="C2705CE"/>
    <m/>
    <m/>
    <s v="C1"/>
    <s v="P2"/>
    <s v="BG"/>
    <n v="24"/>
    <n v="1112"/>
    <s v="C1"/>
    <n v="1112"/>
    <n v="24"/>
    <s v="Cam.B"/>
    <s v="QD.73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8P1502"/>
    <s v="C2705CE"/>
    <m/>
    <m/>
    <s v="C1"/>
    <s v="P1"/>
    <s v="BG"/>
    <n v="27"/>
    <n v="913"/>
    <s v="C1"/>
    <n v="913"/>
    <n v="27"/>
    <s v="Cam.B"/>
    <s v="QD.74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4P1405"/>
    <s v="7222I2X"/>
    <m/>
    <m/>
    <s v="C1"/>
    <s v="P1"/>
    <s v="BG"/>
    <n v="24"/>
    <n v="1029"/>
    <s v="C1"/>
    <n v="1029"/>
    <n v="24"/>
    <s v="Cam.A"/>
    <s v="QD.42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72P1225"/>
    <s v="690 I2X"/>
    <m/>
    <m/>
    <s v="S1"/>
    <s v="P1"/>
    <s v="BG"/>
    <n v="8"/>
    <n v="766"/>
    <s v="S1"/>
    <n v="766"/>
    <n v="8"/>
    <s v="Cam.A"/>
    <s v="QD.70"/>
    <m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4P2404"/>
    <s v="7222I2X"/>
    <m/>
    <m/>
    <s v="C1"/>
    <s v="P2"/>
    <s v="BG"/>
    <n v="18"/>
    <n v="1201"/>
    <s v="C1"/>
    <n v="1201"/>
    <n v="18"/>
    <s v="Cam.A"/>
    <s v="QD.41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4P1403"/>
    <s v="7222I2X"/>
    <m/>
    <m/>
    <s v="C1"/>
    <s v="P1"/>
    <s v="BG"/>
    <n v="24"/>
    <n v="1031"/>
    <s v="C1"/>
    <n v="1031"/>
    <n v="24"/>
    <s v="Cam.A"/>
    <s v="QD.42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4P2402"/>
    <s v="7222I2X"/>
    <m/>
    <m/>
    <s v="C1"/>
    <s v="P2"/>
    <s v="BG"/>
    <n v="18"/>
    <n v="1203"/>
    <s v="C1"/>
    <n v="1203"/>
    <n v="18"/>
    <s v="Cam.A"/>
    <s v="QD.43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1107"/>
    <s v="O790 IPRO"/>
    <m/>
    <m/>
    <s v="S1"/>
    <s v="P1"/>
    <s v="BG"/>
    <n v="30"/>
    <n v="806"/>
    <s v="S1"/>
    <n v="806"/>
    <n v="30"/>
    <s v="Cam.B"/>
    <s v="QD.71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8P2506"/>
    <s v="C2705CE"/>
    <m/>
    <m/>
    <s v="C1"/>
    <s v="P2"/>
    <s v="BG"/>
    <n v="21"/>
    <n v="1105"/>
    <s v="C1"/>
    <n v="1105"/>
    <n v="21"/>
    <s v="Cam.B"/>
    <s v="QD.73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8P2504"/>
    <s v="C2705CE"/>
    <m/>
    <m/>
    <s v="C1"/>
    <s v="P2"/>
    <s v="BG"/>
    <n v="24"/>
    <n v="1102"/>
    <s v="C1"/>
    <n v="1102"/>
    <n v="24"/>
    <s v="Cam.B"/>
    <s v="QD.73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8P1503"/>
    <s v="C2705CE"/>
    <m/>
    <m/>
    <s v="C1"/>
    <s v="P1"/>
    <s v="BG"/>
    <n v="27"/>
    <n v="917"/>
    <s v="C1"/>
    <n v="917"/>
    <n v="27"/>
    <s v="Cam.B"/>
    <s v="QD.74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4P2406"/>
    <s v="7222I2X"/>
    <m/>
    <m/>
    <s v="C1"/>
    <s v="P2"/>
    <s v="BG"/>
    <n v="9"/>
    <n v="1200"/>
    <s v="C1"/>
    <n v="1200"/>
    <n v="9"/>
    <s v="Cam.A"/>
    <s v="QD.41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1018"/>
    <s v="6930I2X"/>
    <m/>
    <m/>
    <s v="C2"/>
    <s v="P1"/>
    <s v="BG"/>
    <n v="30"/>
    <n v="830"/>
    <s v="C2"/>
    <n v="830"/>
    <n v="30"/>
    <s v="Cam.A"/>
    <s v="QD.37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2019"/>
    <s v="6930I2X"/>
    <m/>
    <m/>
    <s v="C2"/>
    <s v="P2"/>
    <s v="BG"/>
    <n v="24"/>
    <n v="1042"/>
    <s v="C2"/>
    <n v="1042"/>
    <n v="24"/>
    <s v="Cam.A"/>
    <s v="CORREDOR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2017"/>
    <s v="6930I2X"/>
    <m/>
    <m/>
    <s v="C2"/>
    <s v="P2"/>
    <s v="BG"/>
    <n v="24"/>
    <n v="1007"/>
    <s v="C2"/>
    <n v="1007"/>
    <n v="24"/>
    <s v="Cam.A"/>
    <s v="CORREDOR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8P1507"/>
    <s v="C2705CE"/>
    <m/>
    <m/>
    <s v="C1"/>
    <s v="P1"/>
    <s v="BG"/>
    <n v="4"/>
    <n v="905"/>
    <s v="C1"/>
    <n v="905"/>
    <n v="4"/>
    <s v="Cam.B"/>
    <s v="QD.74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8P1505"/>
    <s v="C2705CE"/>
    <m/>
    <m/>
    <s v="C1"/>
    <s v="P1"/>
    <s v="BG"/>
    <n v="27"/>
    <n v="912"/>
    <s v="C1"/>
    <n v="912"/>
    <n v="27"/>
    <s v="Cam.B"/>
    <s v="QD.74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1020"/>
    <s v="6930I2X"/>
    <m/>
    <m/>
    <s v="C2"/>
    <s v="P1"/>
    <s v="BG"/>
    <n v="30"/>
    <n v="834"/>
    <s v="C2"/>
    <n v="834"/>
    <n v="30"/>
    <s v="Cam.A"/>
    <s v="QD.37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08"/>
    <s v="O790 IPRO"/>
    <m/>
    <m/>
    <s v="S1"/>
    <s v="P2"/>
    <s v="BG"/>
    <n v="24"/>
    <n v="1031"/>
    <s v="S1"/>
    <n v="1031"/>
    <n v="24"/>
    <s v="Cam.B"/>
    <s v="QD.72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1022"/>
    <s v="6930I2X"/>
    <m/>
    <m/>
    <s v="C2"/>
    <s v="P1"/>
    <s v="BG"/>
    <n v="30"/>
    <n v="822"/>
    <s v="C2"/>
    <n v="822"/>
    <n v="30"/>
    <s v="Cam.A"/>
    <s v="QD.37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10"/>
    <s v="O790 IPRO"/>
    <m/>
    <m/>
    <s v="S1"/>
    <s v="P2"/>
    <s v="BG"/>
    <n v="24"/>
    <n v="1030"/>
    <s v="S1"/>
    <n v="1030"/>
    <n v="24"/>
    <s v="Cam.B"/>
    <s v="QD.75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1109"/>
    <s v="O790 IPRO"/>
    <m/>
    <m/>
    <s v="S1"/>
    <s v="P1"/>
    <s v="BG"/>
    <n v="30"/>
    <n v="800"/>
    <s v="S1"/>
    <n v="800"/>
    <n v="30"/>
    <s v="Cam.B"/>
    <s v="QD.76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2025"/>
    <s v="6930I2X"/>
    <m/>
    <m/>
    <s v="C2"/>
    <s v="P2"/>
    <s v="BG"/>
    <n v="24"/>
    <n v="1050"/>
    <s v="C2"/>
    <n v="1050"/>
    <n v="24"/>
    <s v="Cam.A"/>
    <s v="CORREDOR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2023"/>
    <s v="6930I2X"/>
    <m/>
    <m/>
    <s v="C2"/>
    <s v="P2"/>
    <s v="BG"/>
    <n v="24"/>
    <n v="1078"/>
    <s v="C2"/>
    <n v="1078"/>
    <n v="24"/>
    <s v="Cam.A"/>
    <s v="CORREDOR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1111"/>
    <s v="O790 IPRO"/>
    <m/>
    <m/>
    <s v="S1"/>
    <s v="P1"/>
    <s v="BG"/>
    <n v="30"/>
    <n v="803"/>
    <s v="S1"/>
    <n v="803"/>
    <n v="30"/>
    <s v="Cam.B"/>
    <s v="QD.76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2021"/>
    <s v="6930I2X"/>
    <m/>
    <m/>
    <s v="C2"/>
    <s v="P2"/>
    <s v="BG"/>
    <n v="24"/>
    <n v="1034"/>
    <s v="C2"/>
    <n v="1034"/>
    <n v="24"/>
    <s v="Cam.A"/>
    <s v="CORREDOR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15"/>
    <s v="O790 IPRO"/>
    <m/>
    <m/>
    <s v="S1"/>
    <s v="P2"/>
    <s v="BG"/>
    <n v="24"/>
    <n v="1020"/>
    <s v="S1"/>
    <n v="1020"/>
    <n v="24"/>
    <s v="Cam.B"/>
    <s v="QD.75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1027"/>
    <s v="6930I2X"/>
    <m/>
    <m/>
    <s v="C2"/>
    <s v="P1"/>
    <s v="BG"/>
    <n v="2"/>
    <n v="835"/>
    <s v="C2"/>
    <n v="835"/>
    <n v="2"/>
    <s v="Cam.A"/>
    <s v="QD.37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2026"/>
    <s v="6930I2X"/>
    <m/>
    <m/>
    <s v="C2"/>
    <s v="P2"/>
    <s v="BG"/>
    <n v="21"/>
    <n v="1029"/>
    <s v="C2"/>
    <n v="1029"/>
    <n v="21"/>
    <s v="Cam.A"/>
    <s v="CORREDOR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28P1024"/>
    <s v="6930I2X"/>
    <m/>
    <m/>
    <s v="C2"/>
    <s v="P1"/>
    <s v="BG"/>
    <n v="30"/>
    <n v="836"/>
    <s v="C2"/>
    <n v="836"/>
    <n v="30"/>
    <s v="Cam.A"/>
    <s v="QD.37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1113"/>
    <s v="O790 IPRO"/>
    <m/>
    <m/>
    <s v="S1"/>
    <s v="P1"/>
    <s v="BG"/>
    <n v="30"/>
    <n v="801"/>
    <s v="S1"/>
    <n v="801"/>
    <n v="30"/>
    <s v="Cam.B"/>
    <s v="QD.76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14"/>
    <s v="O790 IPRO"/>
    <m/>
    <m/>
    <s v="S1"/>
    <s v="P2"/>
    <s v="BG"/>
    <n v="24"/>
    <n v="1022"/>
    <s v="S1"/>
    <n v="1022"/>
    <n v="24"/>
    <s v="Cam.B"/>
    <s v="QD.75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12"/>
    <s v="O790 IPRO"/>
    <m/>
    <m/>
    <s v="S1"/>
    <s v="P2"/>
    <s v="BG"/>
    <n v="24"/>
    <n v="1028"/>
    <s v="S1"/>
    <n v="1028"/>
    <n v="24"/>
    <s v="Cam.B"/>
    <s v="QD.75"/>
    <m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19"/>
    <s v="O790 IPRO"/>
    <m/>
    <m/>
    <s v="S1"/>
    <s v="P2"/>
    <s v="BG"/>
    <n v="24"/>
    <n v="1041"/>
    <s v="S1"/>
    <n v="1041"/>
    <n v="24"/>
    <s v="Cam.B"/>
    <s v="QD.75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03"/>
    <s v="NEO680 IPRO"/>
    <m/>
    <m/>
    <s v="S2"/>
    <s v="P1"/>
    <s v="BG"/>
    <n v="30"/>
    <n v="826"/>
    <s v="S2"/>
    <n v="826"/>
    <n v="30"/>
    <s v="Cam.A"/>
    <s v="QD.52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01"/>
    <s v="NEO680 IPRO"/>
    <m/>
    <m/>
    <s v="S2"/>
    <s v="P1"/>
    <s v="BG"/>
    <n v="30"/>
    <n v="838"/>
    <s v="S2"/>
    <n v="838"/>
    <n v="30"/>
    <s v="Cam.A"/>
    <s v="QD.52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1118"/>
    <s v="O790 IPRO"/>
    <m/>
    <m/>
    <s v="S1"/>
    <s v="P1"/>
    <s v="BG"/>
    <n v="30"/>
    <n v="811"/>
    <s v="S1"/>
    <n v="811"/>
    <n v="30"/>
    <s v="Cam.B"/>
    <s v="QD.77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17"/>
    <s v="O790 IPRO"/>
    <m/>
    <m/>
    <s v="S1"/>
    <s v="P2"/>
    <s v="BG"/>
    <n v="24"/>
    <n v="1038"/>
    <s v="S1"/>
    <n v="1038"/>
    <n v="24"/>
    <s v="Cam.B"/>
    <s v="QD.72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1116"/>
    <s v="O790 IPRO"/>
    <m/>
    <m/>
    <s v="S1"/>
    <s v="P1"/>
    <s v="BG"/>
    <n v="30"/>
    <n v="810"/>
    <s v="S1"/>
    <n v="810"/>
    <n v="30"/>
    <s v="Cam.B"/>
    <s v="QD.76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21"/>
    <s v="O790 IPRO"/>
    <m/>
    <m/>
    <s v="S1"/>
    <s v="P2"/>
    <s v="BG"/>
    <n v="24"/>
    <n v="1053"/>
    <s v="S1"/>
    <n v="1053"/>
    <n v="24"/>
    <s v="Cam.B"/>
    <s v="QD.78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04"/>
    <s v="NEO680 IPRO"/>
    <m/>
    <m/>
    <s v="S2"/>
    <s v="P1"/>
    <s v="BG"/>
    <n v="30"/>
    <n v="822"/>
    <s v="S2"/>
    <n v="822"/>
    <n v="30"/>
    <s v="Cam.A"/>
    <s v="QD.52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2602"/>
    <s v="NEO680 IPRO"/>
    <m/>
    <m/>
    <s v="S2"/>
    <s v="P2"/>
    <s v="BG"/>
    <n v="24"/>
    <n v="1010"/>
    <s v="S2"/>
    <n v="1010"/>
    <n v="24"/>
    <s v="Cam.A"/>
    <s v="QD.51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1120"/>
    <s v="O790 IPRO"/>
    <m/>
    <m/>
    <s v="S1"/>
    <s v="P1"/>
    <s v="BG"/>
    <n v="30"/>
    <n v="805"/>
    <s v="S1"/>
    <n v="805"/>
    <n v="30"/>
    <s v="Cam.B"/>
    <s v="QD.71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25"/>
    <s v="O790 IPRO"/>
    <m/>
    <m/>
    <s v="S1"/>
    <s v="P2"/>
    <s v="BG"/>
    <n v="24"/>
    <n v="1015"/>
    <s v="S1"/>
    <n v="1015"/>
    <n v="24"/>
    <s v="Cam.B"/>
    <s v="QD.78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1124"/>
    <s v="O790 IPRO"/>
    <m/>
    <m/>
    <s v="S1"/>
    <s v="P1"/>
    <s v="BG"/>
    <n v="30"/>
    <n v="791"/>
    <s v="S1"/>
    <n v="791"/>
    <n v="30"/>
    <s v="Cam.B"/>
    <s v="QD.77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06"/>
    <s v="NEO680 IPRO"/>
    <m/>
    <m/>
    <s v="S2"/>
    <s v="P1"/>
    <s v="BG"/>
    <n v="30"/>
    <n v="830"/>
    <s v="S2"/>
    <n v="830"/>
    <n v="30"/>
    <s v="Cam.A"/>
    <s v="QD.52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23"/>
    <s v="O790 IPRO"/>
    <m/>
    <m/>
    <s v="S1"/>
    <s v="P2"/>
    <s v="BG"/>
    <n v="24"/>
    <n v="1038"/>
    <s v="S1"/>
    <n v="1038"/>
    <n v="24"/>
    <s v="Cam.B"/>
    <s v="QD.78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1122"/>
    <s v="O790 IPRO"/>
    <m/>
    <m/>
    <s v="S1"/>
    <s v="P1"/>
    <s v="BG"/>
    <n v="30"/>
    <n v="791"/>
    <s v="S1"/>
    <n v="791"/>
    <n v="30"/>
    <s v="Cam.B"/>
    <s v="QD.77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07"/>
    <s v="NEO680 IPRO"/>
    <m/>
    <m/>
    <s v="S2"/>
    <s v="P1"/>
    <s v="BG"/>
    <n v="30"/>
    <n v="794"/>
    <s v="S2"/>
    <n v="794"/>
    <n v="30"/>
    <s v="Cam.A"/>
    <s v="QD.52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27"/>
    <s v="O790 IPRO"/>
    <m/>
    <m/>
    <s v="S1"/>
    <s v="P2"/>
    <s v="BG"/>
    <n v="24"/>
    <n v="1045"/>
    <s v="S1"/>
    <n v="1045"/>
    <n v="24"/>
    <s v="Cam.B"/>
    <s v="QD.78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1126"/>
    <s v="O790 IPRO"/>
    <m/>
    <m/>
    <s v="S1"/>
    <s v="P1"/>
    <s v="BG"/>
    <n v="30"/>
    <n v="814"/>
    <s v="S1"/>
    <n v="814"/>
    <n v="30"/>
    <s v="Cam.B"/>
    <s v="QD.77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13"/>
    <s v="NEO680 IPRO"/>
    <m/>
    <m/>
    <s v="S2"/>
    <s v="P1"/>
    <s v="BG"/>
    <n v="30"/>
    <n v="764"/>
    <s v="S2"/>
    <n v="764"/>
    <n v="30"/>
    <s v="Cam.A"/>
    <s v="QD.56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31"/>
    <s v="O790 IPRO"/>
    <m/>
    <m/>
    <s v="S1"/>
    <s v="P2"/>
    <s v="BG"/>
    <n v="18"/>
    <n v="1023"/>
    <s v="S1"/>
    <n v="1023"/>
    <n v="18"/>
    <s v="Cam.B"/>
    <s v="QD.80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09"/>
    <s v="NEO680 IPRO"/>
    <m/>
    <m/>
    <s v="S2"/>
    <s v="P1"/>
    <s v="BG"/>
    <n v="30"/>
    <n v="789"/>
    <s v="S2"/>
    <n v="789"/>
    <n v="30"/>
    <s v="Cam.A"/>
    <s v="QD.52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2128"/>
    <s v="O790 IPRO"/>
    <m/>
    <m/>
    <s v="S1"/>
    <s v="P2"/>
    <s v="BG"/>
    <n v="24"/>
    <n v="1015"/>
    <s v="S1"/>
    <n v="1015"/>
    <n v="24"/>
    <s v="Cam.B"/>
    <s v="QD.78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1129"/>
    <s v="O790 IPRO"/>
    <m/>
    <m/>
    <s v="S1"/>
    <s v="P1"/>
    <s v="BG"/>
    <n v="30"/>
    <n v="799"/>
    <s v="S1"/>
    <n v="799"/>
    <n v="30"/>
    <s v="Cam.B"/>
    <s v="QD.77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08"/>
    <s v="NEO680 IPRO"/>
    <m/>
    <m/>
    <s v="S2"/>
    <s v="P1"/>
    <s v="BG"/>
    <n v="30"/>
    <n v="785"/>
    <s v="S2"/>
    <n v="785"/>
    <n v="30"/>
    <s v="Cam.A"/>
    <s v="QD.56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12"/>
    <s v="NEO680 IPRO"/>
    <m/>
    <m/>
    <s v="S2"/>
    <s v="P1"/>
    <s v="BG"/>
    <n v="30"/>
    <n v="797"/>
    <s v="S2"/>
    <n v="797"/>
    <n v="30"/>
    <s v="Cam.A"/>
    <s v="QD.56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02"/>
    <s v="761 I2X"/>
    <m/>
    <m/>
    <s v="S2"/>
    <s v="P1"/>
    <s v="BG"/>
    <n v="30"/>
    <n v="846"/>
    <s v="S2"/>
    <n v="846"/>
    <n v="30"/>
    <s v="Cam.A"/>
    <s v="QD.54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11"/>
    <s v="NEO680 IPRO"/>
    <m/>
    <m/>
    <s v="S2"/>
    <s v="P1"/>
    <s v="BG"/>
    <n v="30"/>
    <n v="802"/>
    <s v="S2"/>
    <n v="802"/>
    <n v="30"/>
    <s v="Cam.A"/>
    <s v="QD.56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4P1130"/>
    <s v="O790 IPRO"/>
    <m/>
    <m/>
    <s v="S1"/>
    <s v="P1"/>
    <s v="BG"/>
    <n v="20"/>
    <n v="792"/>
    <s v="S1"/>
    <n v="792"/>
    <n v="20"/>
    <s v="Cam.B"/>
    <s v="QD.76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10"/>
    <s v="NEO680 IPRO"/>
    <m/>
    <m/>
    <s v="S2"/>
    <s v="P1"/>
    <s v="BG"/>
    <n v="30"/>
    <n v="792"/>
    <s v="S2"/>
    <n v="792"/>
    <n v="30"/>
    <s v="Cam.A"/>
    <s v="QD.56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2605"/>
    <s v="NEO680 IPRO"/>
    <m/>
    <m/>
    <s v="S2"/>
    <s v="P2"/>
    <s v="BG"/>
    <n v="27"/>
    <n v="998"/>
    <s v="S2"/>
    <n v="998"/>
    <n v="27"/>
    <s v="Cam.A"/>
    <s v="QD.51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05"/>
    <s v="761 I2X"/>
    <m/>
    <m/>
    <s v="S2"/>
    <s v="P1"/>
    <s v="BG"/>
    <n v="30"/>
    <n v="853"/>
    <s v="S2"/>
    <n v="853"/>
    <n v="30"/>
    <s v="Cam.A"/>
    <s v="QD.54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04"/>
    <s v="761 I2X"/>
    <m/>
    <m/>
    <s v="S2"/>
    <s v="P2"/>
    <s v="BG"/>
    <n v="24"/>
    <n v="1030"/>
    <s v="S2"/>
    <n v="1030"/>
    <n v="24"/>
    <s v="Cam.A"/>
    <s v="QD.55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03"/>
    <s v="761 I2X"/>
    <m/>
    <m/>
    <s v="S2"/>
    <s v="P1"/>
    <s v="BG"/>
    <n v="30"/>
    <n v="834"/>
    <s v="S2"/>
    <n v="834"/>
    <n v="30"/>
    <s v="Cam.A"/>
    <s v="QD.70"/>
    <m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01"/>
    <s v="761 I2X"/>
    <m/>
    <m/>
    <s v="S2"/>
    <s v="P2"/>
    <s v="BG"/>
    <n v="24"/>
    <n v="1029"/>
    <s v="S2"/>
    <n v="1029"/>
    <n v="24"/>
    <s v="Cam.A"/>
    <s v="QD.70"/>
    <m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2615"/>
    <s v="NEO680 IPRO"/>
    <m/>
    <m/>
    <s v="S2"/>
    <s v="P2"/>
    <s v="BG"/>
    <n v="27"/>
    <n v="931"/>
    <s v="S2"/>
    <n v="931"/>
    <n v="27"/>
    <s v="Cam.A"/>
    <s v="QD.51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13"/>
    <s v="761 I2X"/>
    <m/>
    <m/>
    <s v="S2"/>
    <s v="P2"/>
    <s v="BG"/>
    <n v="24"/>
    <n v="1019"/>
    <s v="S2"/>
    <n v="1019"/>
    <n v="24"/>
    <s v="Cam.A"/>
    <s v="QD.55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12"/>
    <s v="761 I2X"/>
    <m/>
    <m/>
    <s v="S2"/>
    <s v="P1"/>
    <s v="BG"/>
    <n v="30"/>
    <n v="844"/>
    <s v="S2"/>
    <n v="844"/>
    <n v="30"/>
    <s v="Cam.A"/>
    <s v="QD.56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11"/>
    <s v="761 I2X"/>
    <m/>
    <m/>
    <s v="S2"/>
    <s v="P2"/>
    <s v="BG"/>
    <n v="24"/>
    <n v="1031"/>
    <s v="S2"/>
    <n v="1031"/>
    <n v="24"/>
    <s v="Cam.A"/>
    <s v="QD.55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10"/>
    <s v="761 I2X"/>
    <m/>
    <m/>
    <s v="S2"/>
    <s v="P1"/>
    <s v="BG"/>
    <n v="30"/>
    <n v="833"/>
    <s v="S2"/>
    <n v="833"/>
    <n v="30"/>
    <s v="Cam.A"/>
    <s v="QD.54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09"/>
    <s v="761 I2X"/>
    <m/>
    <m/>
    <s v="S2"/>
    <s v="P2"/>
    <s v="BG"/>
    <n v="24"/>
    <n v="1023"/>
    <s v="S2"/>
    <n v="1023"/>
    <n v="24"/>
    <s v="Cam.A"/>
    <s v="QD.55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14"/>
    <s v="NEO680 IPRO"/>
    <m/>
    <m/>
    <s v="S2"/>
    <s v="P1"/>
    <s v="BG"/>
    <n v="30"/>
    <n v="764"/>
    <s v="S2"/>
    <n v="764"/>
    <n v="30"/>
    <s v="Cam.A"/>
    <s v="QD.56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08"/>
    <s v="761 I2X"/>
    <m/>
    <m/>
    <s v="S2"/>
    <s v="P1"/>
    <s v="BG"/>
    <n v="30"/>
    <n v="853"/>
    <s v="S2"/>
    <n v="853"/>
    <n v="30"/>
    <s v="Cam.A"/>
    <s v="QD.54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07"/>
    <s v="761 I2X"/>
    <m/>
    <m/>
    <s v="S2"/>
    <s v="P1"/>
    <s v="BG"/>
    <n v="30"/>
    <n v="849"/>
    <s v="S2"/>
    <n v="849"/>
    <n v="30"/>
    <s v="Cam.A"/>
    <s v="QD.54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06"/>
    <s v="761 I2X"/>
    <m/>
    <m/>
    <s v="S2"/>
    <s v="P2"/>
    <s v="BG"/>
    <n v="24"/>
    <n v="1026"/>
    <s v="S2"/>
    <n v="1026"/>
    <n v="24"/>
    <s v="Cam.A"/>
    <s v="QD.55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1928"/>
    <s v="NEO771 I2X"/>
    <m/>
    <m/>
    <s v="C2"/>
    <s v="P1"/>
    <s v="BG"/>
    <n v="5"/>
    <n v="676"/>
    <s v="C2"/>
    <n v="676"/>
    <n v="5"/>
    <s v="Cam.B"/>
    <s v="QD.97"/>
    <m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17"/>
    <s v="761 I2X"/>
    <m/>
    <m/>
    <s v="S2"/>
    <s v="P1"/>
    <s v="BG"/>
    <n v="30"/>
    <n v="838"/>
    <s v="S2"/>
    <n v="838"/>
    <n v="30"/>
    <s v="Cam.A"/>
    <s v="QD.56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15"/>
    <s v="761 I2X"/>
    <m/>
    <m/>
    <s v="S2"/>
    <s v="P1"/>
    <s v="BG"/>
    <n v="30"/>
    <n v="853"/>
    <s v="S2"/>
    <n v="853"/>
    <n v="30"/>
    <s v="Cam.A"/>
    <s v="QD.56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17"/>
    <s v="NEO680 IPRO"/>
    <m/>
    <m/>
    <s v="S2"/>
    <s v="P1"/>
    <s v="BG"/>
    <n v="30"/>
    <n v="762"/>
    <s v="S2"/>
    <n v="762"/>
    <n v="30"/>
    <s v="Cam.A"/>
    <s v="QD.49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14"/>
    <s v="761 I2X"/>
    <m/>
    <m/>
    <s v="S2"/>
    <s v="P1"/>
    <s v="BG"/>
    <n v="30"/>
    <n v="842"/>
    <s v="S2"/>
    <n v="842"/>
    <n v="30"/>
    <s v="Cam.A"/>
    <s v="QD.56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21"/>
    <s v="NEO680 IPRO"/>
    <m/>
    <m/>
    <s v="C1"/>
    <s v="P1"/>
    <s v="BG"/>
    <n v="30"/>
    <n v="778"/>
    <s v="C1"/>
    <n v="778"/>
    <n v="30"/>
    <s v="Cam.A"/>
    <s v="QD.48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2619"/>
    <s v="NEO680 IPRO"/>
    <m/>
    <m/>
    <s v="C1"/>
    <s v="P2"/>
    <s v="BG"/>
    <n v="27"/>
    <n v="928"/>
    <s v="C1"/>
    <n v="928"/>
    <n v="27"/>
    <s v="Cam.A"/>
    <s v="QD.47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20"/>
    <s v="NEO680 IPRO"/>
    <m/>
    <m/>
    <s v="C1"/>
    <s v="P1"/>
    <s v="BG"/>
    <n v="30"/>
    <n v="787"/>
    <s v="C1"/>
    <n v="787"/>
    <n v="30"/>
    <s v="Cam.A"/>
    <s v="QD.48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20"/>
    <s v="761 I2X"/>
    <m/>
    <m/>
    <s v="S2"/>
    <s v="P1"/>
    <s v="BG"/>
    <n v="30"/>
    <n v="825"/>
    <s v="S2"/>
    <n v="825"/>
    <n v="30"/>
    <s v="Cam.A"/>
    <s v="QD.56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18"/>
    <s v="761 I2X"/>
    <m/>
    <m/>
    <s v="S2"/>
    <s v="P1"/>
    <s v="BG"/>
    <n v="30"/>
    <n v="842"/>
    <s v="S2"/>
    <n v="842"/>
    <n v="30"/>
    <s v="Cam.A"/>
    <s v="QD.56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18"/>
    <s v="NEO680 IPRO"/>
    <m/>
    <m/>
    <s v="S2"/>
    <s v="P1"/>
    <s v="BG"/>
    <n v="30"/>
    <n v="787"/>
    <s v="S2"/>
    <n v="787"/>
    <n v="30"/>
    <s v="Cam.A"/>
    <s v="QD.49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16"/>
    <s v="761 I2X"/>
    <m/>
    <m/>
    <s v="S2"/>
    <s v="P2"/>
    <s v="BG"/>
    <n v="24"/>
    <n v="1029"/>
    <s v="S2"/>
    <n v="1029"/>
    <n v="24"/>
    <s v="Cam.A"/>
    <s v="QD.57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21"/>
    <s v="761 I2X"/>
    <m/>
    <m/>
    <s v="S2"/>
    <s v="P1"/>
    <s v="BG"/>
    <n v="30"/>
    <n v="842"/>
    <s v="S2"/>
    <n v="842"/>
    <n v="30"/>
    <s v="Cam.A"/>
    <s v="QD.58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22"/>
    <s v="NEO680 IPRO"/>
    <m/>
    <m/>
    <s v="C1"/>
    <s v="P1"/>
    <s v="BG"/>
    <n v="30"/>
    <n v="785"/>
    <s v="C1"/>
    <n v="785"/>
    <n v="30"/>
    <s v="Cam.A"/>
    <s v="QD.48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19"/>
    <s v="761 I2X"/>
    <m/>
    <m/>
    <s v="S2"/>
    <s v="P2"/>
    <s v="BG"/>
    <n v="24"/>
    <n v="1027"/>
    <s v="S2"/>
    <n v="1027"/>
    <n v="24"/>
    <s v="Cam.A"/>
    <s v="QD.57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2625"/>
    <s v="NEO680 IPRO"/>
    <m/>
    <m/>
    <s v="C1"/>
    <s v="P2"/>
    <s v="BG"/>
    <n v="27"/>
    <n v="934"/>
    <s v="C1"/>
    <n v="934"/>
    <n v="27"/>
    <s v="Cam.A"/>
    <s v="QD.47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26"/>
    <s v="NEO680 IPRO"/>
    <m/>
    <m/>
    <s v="C1"/>
    <s v="P1"/>
    <s v="BG"/>
    <n v="30"/>
    <n v="783"/>
    <s v="C1"/>
    <n v="783"/>
    <n v="30"/>
    <s v="Cam.A"/>
    <s v="QD.48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24"/>
    <s v="NEO680 IPRO"/>
    <m/>
    <m/>
    <s v="C1"/>
    <s v="P1"/>
    <s v="BG"/>
    <n v="30"/>
    <n v="789"/>
    <s v="C1"/>
    <n v="789"/>
    <n v="30"/>
    <s v="Cam.A"/>
    <s v="QD.48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23"/>
    <s v="761 I2X"/>
    <m/>
    <m/>
    <s v="S2"/>
    <s v="P1"/>
    <s v="BG"/>
    <n v="30"/>
    <n v="851"/>
    <s v="S2"/>
    <n v="851"/>
    <n v="30"/>
    <s v="Cam.A"/>
    <s v="QD.58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2623"/>
    <s v="NEO680 IPRO"/>
    <m/>
    <m/>
    <s v="C1"/>
    <s v="P2"/>
    <s v="BG"/>
    <n v="27"/>
    <n v="937"/>
    <s v="C1"/>
    <n v="937"/>
    <n v="27"/>
    <s v="Cam.A"/>
    <s v="QD.47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2629"/>
    <s v="NEO680 IPRO"/>
    <m/>
    <m/>
    <s v="S2"/>
    <s v="P2"/>
    <s v="BG"/>
    <n v="27"/>
    <n v="917"/>
    <s v="S2"/>
    <n v="917"/>
    <n v="27"/>
    <s v="Cam.A"/>
    <s v="QD.51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30"/>
    <s v="NEO680 IPRO"/>
    <m/>
    <m/>
    <s v="S2"/>
    <s v="P1"/>
    <s v="BG"/>
    <n v="30"/>
    <n v="786"/>
    <s v="S2"/>
    <n v="786"/>
    <n v="30"/>
    <s v="Cam.A"/>
    <s v="QD.49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28"/>
    <s v="NEO680 IPRO"/>
    <m/>
    <m/>
    <s v="C1"/>
    <s v="P1"/>
    <s v="BG"/>
    <n v="30"/>
    <n v="747"/>
    <s v="C1"/>
    <n v="747"/>
    <n v="30"/>
    <s v="Cam.A"/>
    <s v="QD.47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25"/>
    <s v="761 I2X"/>
    <m/>
    <m/>
    <s v="S2"/>
    <s v="P2"/>
    <s v="BG"/>
    <n v="24"/>
    <n v="1039"/>
    <s v="S2"/>
    <n v="1039"/>
    <n v="24"/>
    <s v="Cam.A"/>
    <s v="QD.57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26"/>
    <s v="761 I2X"/>
    <m/>
    <m/>
    <s v="S2"/>
    <s v="P1"/>
    <s v="BG"/>
    <n v="30"/>
    <n v="850"/>
    <s v="S2"/>
    <n v="850"/>
    <n v="30"/>
    <s v="Cam.A"/>
    <s v="QD.58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27"/>
    <s v="NEO680 IPRO"/>
    <m/>
    <m/>
    <s v="C1"/>
    <s v="P1"/>
    <s v="BG"/>
    <n v="30"/>
    <n v="775"/>
    <s v="C1"/>
    <n v="775"/>
    <n v="30"/>
    <s v="Cam.A"/>
    <s v="QD.48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24"/>
    <s v="761 I2X"/>
    <m/>
    <m/>
    <s v="S2"/>
    <s v="P1"/>
    <s v="BG"/>
    <n v="30"/>
    <n v="850"/>
    <s v="S2"/>
    <n v="850"/>
    <n v="30"/>
    <s v="Cam.A"/>
    <s v="QD.58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31"/>
    <s v="761 I2X"/>
    <m/>
    <m/>
    <s v="S2"/>
    <s v="P2"/>
    <s v="BG"/>
    <n v="24"/>
    <n v="1045"/>
    <s v="S2"/>
    <n v="1045"/>
    <n v="24"/>
    <s v="Cam.A"/>
    <s v="QD.57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33"/>
    <s v="NEO680 IPRO"/>
    <m/>
    <m/>
    <s v="S2"/>
    <s v="P1"/>
    <s v="BG"/>
    <n v="30"/>
    <n v="763"/>
    <s v="S2"/>
    <n v="763"/>
    <n v="30"/>
    <s v="Cam.A"/>
    <s v="QD.62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30"/>
    <s v="761 I2X"/>
    <m/>
    <m/>
    <s v="S2"/>
    <s v="P1"/>
    <s v="BG"/>
    <n v="30"/>
    <n v="841"/>
    <s v="S2"/>
    <n v="841"/>
    <n v="30"/>
    <s v="Cam.A"/>
    <s v="QD.69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32"/>
    <s v="NEO680 IPRO"/>
    <m/>
    <m/>
    <s v="S2"/>
    <s v="P1"/>
    <s v="BG"/>
    <n v="30"/>
    <n v="760"/>
    <s v="S2"/>
    <n v="760"/>
    <n v="30"/>
    <s v="Cam.A"/>
    <s v="QD.49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28"/>
    <s v="761 I2X"/>
    <m/>
    <m/>
    <s v="S2"/>
    <s v="P2"/>
    <s v="BG"/>
    <n v="24"/>
    <n v="1029"/>
    <s v="S2"/>
    <n v="1029"/>
    <n v="24"/>
    <s v="Cam.A"/>
    <s v="QD.57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29"/>
    <s v="761 I2X"/>
    <m/>
    <m/>
    <s v="S2"/>
    <s v="P1"/>
    <s v="BG"/>
    <n v="30"/>
    <n v="846"/>
    <s v="S2"/>
    <n v="846"/>
    <n v="30"/>
    <s v="Cam.A"/>
    <s v="QD.58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31"/>
    <s v="NEO680 IPRO"/>
    <m/>
    <m/>
    <s v="S2"/>
    <s v="P1"/>
    <s v="BG"/>
    <n v="30"/>
    <n v="759"/>
    <s v="S2"/>
    <n v="759"/>
    <n v="30"/>
    <s v="Cam.A"/>
    <s v="QD.49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27"/>
    <s v="761 I2X"/>
    <m/>
    <m/>
    <s v="S2"/>
    <s v="P1"/>
    <s v="BG"/>
    <n v="30"/>
    <n v="830"/>
    <s v="S2"/>
    <n v="830"/>
    <n v="30"/>
    <s v="Cam.A"/>
    <s v="QD.58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1309"/>
    <s v="NEO801 CE"/>
    <m/>
    <m/>
    <s v="C2"/>
    <s v="P1"/>
    <s v="BG"/>
    <n v="30"/>
    <n v="689"/>
    <s v="C2"/>
    <n v="689"/>
    <n v="30"/>
    <s v="Cam.A"/>
    <s v="QD.46"/>
    <s v="F7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1310"/>
    <s v="NEO801 CE"/>
    <m/>
    <m/>
    <s v="C2"/>
    <s v="P1"/>
    <s v="BG"/>
    <n v="30"/>
    <n v="668"/>
    <s v="C2"/>
    <n v="668"/>
    <n v="30"/>
    <s v="Cam.A"/>
    <s v="QD.46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34"/>
    <s v="761 I2X"/>
    <m/>
    <m/>
    <s v="S2"/>
    <s v="P1"/>
    <s v="BG"/>
    <n v="30"/>
    <n v="858"/>
    <s v="S2"/>
    <n v="858"/>
    <n v="30"/>
    <s v="Cam.A"/>
    <s v="QD.69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33"/>
    <s v="761 I2X"/>
    <m/>
    <m/>
    <s v="S2"/>
    <s v="P2"/>
    <s v="BG"/>
    <n v="24"/>
    <n v="1030"/>
    <s v="S2"/>
    <n v="1030"/>
    <n v="24"/>
    <s v="Cam.A"/>
    <s v="QD.58"/>
    <m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36"/>
    <s v="NEO680 IPRO"/>
    <m/>
    <m/>
    <s v="S2"/>
    <s v="P1"/>
    <s v="BG"/>
    <n v="30"/>
    <n v="739"/>
    <s v="S2"/>
    <n v="739"/>
    <n v="30"/>
    <s v="Cam.A"/>
    <s v="QD.62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35"/>
    <s v="NEO680 IPRO"/>
    <m/>
    <m/>
    <s v="S2"/>
    <s v="P1"/>
    <s v="BG"/>
    <n v="30"/>
    <n v="769"/>
    <s v="S2"/>
    <n v="769"/>
    <n v="30"/>
    <s v="Cam.A"/>
    <s v="QD.62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32"/>
    <s v="761 I2X"/>
    <m/>
    <m/>
    <s v="S2"/>
    <s v="P1"/>
    <s v="BG"/>
    <n v="30"/>
    <n v="857"/>
    <s v="S2"/>
    <n v="857"/>
    <n v="30"/>
    <s v="Cam.A"/>
    <s v="QD.69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2640"/>
    <s v="NEO680 IPRO"/>
    <m/>
    <m/>
    <s v="S2"/>
    <s v="P2"/>
    <s v="BG"/>
    <n v="30"/>
    <n v="911"/>
    <s v="S2"/>
    <n v="911"/>
    <n v="30"/>
    <s v="Cam.A"/>
    <s v="QD.61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39"/>
    <s v="NEO680 IPRO"/>
    <m/>
    <m/>
    <s v="S2"/>
    <s v="P1"/>
    <s v="BG"/>
    <n v="30"/>
    <n v="746"/>
    <s v="S2"/>
    <n v="746"/>
    <n v="30"/>
    <s v="Cam.A"/>
    <s v="QD.60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2634"/>
    <s v="NEO680 IPRO"/>
    <m/>
    <m/>
    <s v="S2"/>
    <s v="P2"/>
    <s v="BG"/>
    <n v="27"/>
    <n v="933"/>
    <s v="S2"/>
    <n v="933"/>
    <n v="27"/>
    <s v="Cam.A"/>
    <s v="QD.61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36"/>
    <s v="761 I2X"/>
    <m/>
    <m/>
    <s v="S2"/>
    <s v="P2"/>
    <s v="BG"/>
    <n v="24"/>
    <n v="1020"/>
    <s v="S2"/>
    <n v="1020"/>
    <n v="24"/>
    <s v="Cam.A"/>
    <s v="QD.65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38"/>
    <s v="NEO680 IPRO"/>
    <m/>
    <m/>
    <s v="S2"/>
    <s v="P1"/>
    <s v="BG"/>
    <n v="30"/>
    <n v="755"/>
    <s v="S2"/>
    <n v="755"/>
    <n v="30"/>
    <s v="Cam.A"/>
    <s v="QD.62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37"/>
    <s v="NEO680 IPRO"/>
    <m/>
    <m/>
    <s v="S2"/>
    <s v="P1"/>
    <s v="BG"/>
    <n v="30"/>
    <n v="720"/>
    <s v="S2"/>
    <n v="720"/>
    <n v="30"/>
    <s v="Cam.A"/>
    <s v="QD.62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40"/>
    <s v="761 I2X"/>
    <m/>
    <m/>
    <s v="S2"/>
    <s v="P2"/>
    <s v="BG"/>
    <n v="24"/>
    <n v="1025"/>
    <s v="S2"/>
    <n v="1025"/>
    <n v="24"/>
    <s v="Cam.A"/>
    <s v="QD.65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39"/>
    <s v="761 I2X"/>
    <m/>
    <m/>
    <s v="S2"/>
    <s v="P1"/>
    <s v="BG"/>
    <n v="30"/>
    <n v="863"/>
    <s v="S2"/>
    <n v="863"/>
    <n v="30"/>
    <s v="Cam.A"/>
    <s v="QD.67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38"/>
    <s v="761 I2X"/>
    <m/>
    <m/>
    <s v="S2"/>
    <s v="P2"/>
    <s v="BG"/>
    <n v="24"/>
    <n v="1016"/>
    <s v="S2"/>
    <n v="1016"/>
    <n v="24"/>
    <s v="Cam.A"/>
    <s v="QD.65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41"/>
    <s v="NEO680 IPRO"/>
    <m/>
    <m/>
    <s v="S2"/>
    <s v="P1"/>
    <s v="BG"/>
    <n v="30"/>
    <n v="800"/>
    <s v="S2"/>
    <n v="800"/>
    <n v="30"/>
    <s v="Cam.A"/>
    <s v="QD.60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37"/>
    <s v="761 I2X"/>
    <m/>
    <m/>
    <s v="S2"/>
    <s v="P1"/>
    <s v="BG"/>
    <n v="30"/>
    <n v="854"/>
    <s v="S2"/>
    <n v="854"/>
    <n v="30"/>
    <s v="Cam.A"/>
    <s v="QD.69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43"/>
    <s v="761 I2X"/>
    <m/>
    <m/>
    <s v="S2"/>
    <s v="P2"/>
    <s v="BG"/>
    <n v="24"/>
    <n v="1027"/>
    <s v="S2"/>
    <n v="1027"/>
    <n v="24"/>
    <s v="Cam.A"/>
    <s v="QD.65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44"/>
    <s v="761 I2X"/>
    <m/>
    <m/>
    <s v="S2"/>
    <s v="P1"/>
    <s v="BG"/>
    <n v="30"/>
    <n v="833"/>
    <s v="S2"/>
    <n v="833"/>
    <n v="30"/>
    <s v="Cam.A"/>
    <s v="QD.67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42"/>
    <s v="761 I2X"/>
    <m/>
    <m/>
    <s v="S2"/>
    <s v="P1"/>
    <s v="BG"/>
    <n v="30"/>
    <n v="857"/>
    <s v="S2"/>
    <n v="857"/>
    <n v="30"/>
    <s v="Cam.A"/>
    <s v="QD.67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44"/>
    <s v="NEO680 IPRO"/>
    <m/>
    <m/>
    <s v="S2"/>
    <s v="P1"/>
    <s v="BG"/>
    <n v="9"/>
    <n v="777"/>
    <s v="S2"/>
    <n v="777"/>
    <n v="9"/>
    <s v="Cam.A"/>
    <s v="QD.61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2642"/>
    <s v="NEO680 IPRO"/>
    <m/>
    <m/>
    <s v="S2"/>
    <s v="P2"/>
    <s v="BG"/>
    <n v="11"/>
    <n v="928"/>
    <s v="S2"/>
    <n v="928"/>
    <n v="11"/>
    <s v="Cam.A"/>
    <s v="QD.61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41"/>
    <s v="761 I2X"/>
    <m/>
    <m/>
    <s v="S2"/>
    <s v="P1"/>
    <s v="BG"/>
    <n v="30"/>
    <n v="844"/>
    <s v="S2"/>
    <n v="844"/>
    <n v="30"/>
    <s v="Cam.A"/>
    <s v="QD.67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149P1643"/>
    <s v="NEO680 IPRO"/>
    <m/>
    <m/>
    <s v="S2"/>
    <s v="P1"/>
    <s v="BG"/>
    <n v="30"/>
    <n v="766"/>
    <s v="S2"/>
    <n v="766"/>
    <n v="30"/>
    <s v="Cam.A"/>
    <s v="QD.60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35"/>
    <s v="761 I2X"/>
    <m/>
    <m/>
    <s v="S2"/>
    <s v="P1"/>
    <s v="BG"/>
    <n v="30"/>
    <n v="852"/>
    <s v="S2"/>
    <n v="852"/>
    <n v="30"/>
    <s v="Cam.A"/>
    <s v="QD.69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7P2804"/>
    <s v="NEO780 CE"/>
    <m/>
    <m/>
    <s v="C1"/>
    <s v="P2"/>
    <s v="BG"/>
    <n v="24"/>
    <n v="1032"/>
    <s v="C1"/>
    <n v="1032"/>
    <n v="24"/>
    <s v="Cam.B"/>
    <s v="QD.82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47"/>
    <s v="761 I2X"/>
    <m/>
    <m/>
    <s v="S2"/>
    <s v="P2"/>
    <s v="BG"/>
    <n v="24"/>
    <n v="1030"/>
    <s v="S2"/>
    <n v="1030"/>
    <n v="24"/>
    <s v="Cam.A"/>
    <s v="QD.65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48"/>
    <s v="761 I2X"/>
    <m/>
    <m/>
    <s v="S2"/>
    <s v="P1"/>
    <s v="BG"/>
    <n v="30"/>
    <n v="830"/>
    <s v="S2"/>
    <n v="830"/>
    <n v="30"/>
    <s v="Cam.A"/>
    <s v="QD.53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7P2802"/>
    <s v="NEO780 CE"/>
    <m/>
    <m/>
    <s v="C1"/>
    <s v="P2"/>
    <s v="BG"/>
    <n v="24"/>
    <n v="1039"/>
    <s v="C1"/>
    <n v="1039"/>
    <n v="24"/>
    <s v="Cam.B"/>
    <s v="QD.82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46"/>
    <s v="761 I2X"/>
    <m/>
    <m/>
    <s v="S2"/>
    <s v="P1"/>
    <s v="BG"/>
    <n v="30"/>
    <n v="830"/>
    <s v="S2"/>
    <n v="830"/>
    <n v="30"/>
    <s v="Cam.A"/>
    <s v="QD.53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7P1801"/>
    <s v="NEO780 CE"/>
    <m/>
    <m/>
    <s v="C1"/>
    <s v="P1"/>
    <s v="BG"/>
    <n v="30"/>
    <n v="846"/>
    <s v="C1"/>
    <n v="846"/>
    <n v="30"/>
    <s v="Cam.B"/>
    <s v="QD.81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45"/>
    <s v="761 I2X"/>
    <m/>
    <m/>
    <s v="S2"/>
    <s v="P1"/>
    <s v="BG"/>
    <n v="30"/>
    <n v="862"/>
    <s v="S2"/>
    <n v="862"/>
    <n v="30"/>
    <s v="Cam.A"/>
    <s v="QD.67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52"/>
    <s v="761 I2X"/>
    <m/>
    <m/>
    <s v="S2"/>
    <s v="P1"/>
    <s v="BG"/>
    <n v="30"/>
    <n v="851"/>
    <s v="S2"/>
    <n v="851"/>
    <n v="30"/>
    <s v="Cam.A"/>
    <s v="QD.53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7P1805"/>
    <s v="NEO780 CE"/>
    <m/>
    <m/>
    <s v="C1"/>
    <s v="P1"/>
    <s v="BG"/>
    <n v="30"/>
    <n v="855"/>
    <s v="C1"/>
    <n v="855"/>
    <n v="30"/>
    <s v="Cam.B"/>
    <s v="QD.81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50"/>
    <s v="761 I2X"/>
    <m/>
    <m/>
    <s v="S2"/>
    <s v="P2"/>
    <s v="BG"/>
    <n v="24"/>
    <n v="1012"/>
    <s v="S2"/>
    <n v="1012"/>
    <n v="24"/>
    <s v="Cam.A"/>
    <s v="CORREDOR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51"/>
    <s v="761 I2X"/>
    <m/>
    <m/>
    <s v="S2"/>
    <s v="P1"/>
    <s v="BG"/>
    <n v="30"/>
    <n v="845"/>
    <s v="S2"/>
    <n v="845"/>
    <n v="30"/>
    <s v="Cam.A"/>
    <s v="QD.53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49"/>
    <s v="761 I2X"/>
    <m/>
    <m/>
    <s v="S2"/>
    <s v="P1"/>
    <s v="BG"/>
    <n v="30"/>
    <n v="839"/>
    <s v="S2"/>
    <n v="839"/>
    <n v="30"/>
    <s v="Cam.A"/>
    <s v="QD.53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7P1803"/>
    <s v="NEO780 CE"/>
    <m/>
    <m/>
    <s v="C1"/>
    <s v="P1"/>
    <s v="BG"/>
    <n v="30"/>
    <n v="848"/>
    <s v="C1"/>
    <n v="848"/>
    <n v="30"/>
    <s v="Cam.B"/>
    <s v="QD.81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56"/>
    <s v="761 I2X"/>
    <m/>
    <m/>
    <s v="S2"/>
    <s v="P2"/>
    <s v="BG"/>
    <n v="15"/>
    <n v="1033"/>
    <s v="S2"/>
    <n v="1033"/>
    <n v="15"/>
    <s v="Cam.A"/>
    <s v="CORREDOR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7P1807"/>
    <s v="NEO780 CE"/>
    <m/>
    <m/>
    <s v="C1"/>
    <s v="P1"/>
    <s v="BG"/>
    <n v="30"/>
    <n v="846"/>
    <s v="C1"/>
    <n v="846"/>
    <n v="30"/>
    <s v="Cam.B"/>
    <s v="QD.81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2753"/>
    <s v="761 I2X"/>
    <m/>
    <m/>
    <s v="S2"/>
    <s v="P2"/>
    <s v="BG"/>
    <n v="24"/>
    <n v="1023"/>
    <s v="S2"/>
    <n v="1023"/>
    <n v="24"/>
    <s v="Cam.A"/>
    <s v="CORREDOR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54"/>
    <s v="761 I2X"/>
    <m/>
    <m/>
    <s v="S2"/>
    <s v="P1"/>
    <s v="BG"/>
    <n v="30"/>
    <n v="857"/>
    <s v="S2"/>
    <n v="857"/>
    <n v="30"/>
    <s v="Cam.A"/>
    <s v="QD.53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9P2408"/>
    <s v="NEO811 I2X"/>
    <m/>
    <m/>
    <s v="C1"/>
    <s v="P2"/>
    <s v="BG"/>
    <n v="30"/>
    <n v="809"/>
    <s v="C1"/>
    <n v="809"/>
    <n v="30"/>
    <s v="Cam.B"/>
    <s v="QD.84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7P2806"/>
    <s v="NEO780 CE"/>
    <m/>
    <m/>
    <s v="C1"/>
    <s v="P2"/>
    <s v="BG"/>
    <n v="24"/>
    <n v="1032"/>
    <s v="C1"/>
    <n v="1032"/>
    <n v="24"/>
    <s v="Cam.B"/>
    <s v="QD.82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15P1755"/>
    <s v="761 I2X"/>
    <m/>
    <m/>
    <s v="S2"/>
    <s v="P1"/>
    <s v="BG"/>
    <n v="29"/>
    <n v="864"/>
    <s v="S2"/>
    <n v="864"/>
    <n v="29"/>
    <s v="Cam.A"/>
    <s v="CORREDOR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7P2809"/>
    <s v="NEO780 CE"/>
    <m/>
    <m/>
    <s v="C1"/>
    <s v="P2"/>
    <s v="BG"/>
    <n v="17"/>
    <n v="1029"/>
    <s v="C1"/>
    <n v="1029"/>
    <n v="17"/>
    <s v="Cam.B"/>
    <s v="QD.82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9P1410"/>
    <s v="NEO811 I2X"/>
    <m/>
    <m/>
    <s v="C1"/>
    <s v="P1"/>
    <s v="BG"/>
    <n v="30"/>
    <n v="656"/>
    <s v="C1"/>
    <n v="656"/>
    <n v="30"/>
    <s v="Cam.B"/>
    <s v="QD.83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7P1810"/>
    <s v="NEO780 CE"/>
    <m/>
    <m/>
    <s v="C1"/>
    <s v="P1"/>
    <s v="BG"/>
    <n v="2"/>
    <n v="851"/>
    <s v="C1"/>
    <n v="851"/>
    <n v="2"/>
    <s v="Cam.B"/>
    <s v="QD.82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9P1409"/>
    <s v="NEO811 I2X"/>
    <m/>
    <m/>
    <s v="C1"/>
    <s v="P1"/>
    <s v="BG"/>
    <n v="30"/>
    <n v="652"/>
    <s v="C1"/>
    <n v="652"/>
    <n v="30"/>
    <s v="Cam.B"/>
    <s v="QD.83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7P1808"/>
    <s v="NEO780 CE"/>
    <m/>
    <m/>
    <s v="C1"/>
    <s v="P1"/>
    <s v="BG"/>
    <n v="30"/>
    <n v="850"/>
    <s v="C1"/>
    <n v="850"/>
    <n v="30"/>
    <s v="Cam.B"/>
    <s v="QD.81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1901"/>
    <s v="NEO771 I2X"/>
    <m/>
    <m/>
    <s v="C2"/>
    <s v="P1"/>
    <s v="BG"/>
    <n v="30"/>
    <n v="771"/>
    <s v="C2"/>
    <n v="771"/>
    <n v="30"/>
    <s v="Cam.B"/>
    <s v="QD.90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9P2413"/>
    <s v="NEO811 I2X"/>
    <m/>
    <m/>
    <s v="C1"/>
    <s v="P2"/>
    <s v="BG"/>
    <n v="30"/>
    <n v="826"/>
    <s v="C1"/>
    <n v="826"/>
    <n v="30"/>
    <s v="Cam.B"/>
    <s v="QD.84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9P1414"/>
    <s v="NEO811 I2X"/>
    <m/>
    <m/>
    <s v="C1"/>
    <s v="P1"/>
    <s v="BG"/>
    <n v="30"/>
    <n v="658"/>
    <s v="C1"/>
    <n v="658"/>
    <n v="30"/>
    <s v="Cam.B"/>
    <s v="QD.83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9P1412"/>
    <s v="NEO811 I2X"/>
    <m/>
    <m/>
    <s v="C1"/>
    <s v="P1"/>
    <s v="BG"/>
    <n v="30"/>
    <n v="656"/>
    <s v="C1"/>
    <n v="656"/>
    <n v="30"/>
    <s v="Cam.B"/>
    <s v="QD.83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9P2411"/>
    <s v="NEO811 I2X"/>
    <m/>
    <m/>
    <s v="C1"/>
    <s v="P2"/>
    <s v="BG"/>
    <n v="30"/>
    <n v="801"/>
    <s v="C1"/>
    <n v="801"/>
    <n v="30"/>
    <s v="Cam.B"/>
    <s v="QD.84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2904"/>
    <s v="NEO771 I2X"/>
    <m/>
    <m/>
    <s v="C2"/>
    <s v="P2"/>
    <s v="BG"/>
    <n v="30"/>
    <n v="870"/>
    <s v="C2"/>
    <n v="870"/>
    <n v="30"/>
    <s v="Cam.B"/>
    <s v="QD.91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1903"/>
    <s v="NEO771 I2X"/>
    <m/>
    <m/>
    <s v="C2"/>
    <s v="P1"/>
    <s v="BG"/>
    <n v="30"/>
    <n v="683"/>
    <s v="C2"/>
    <n v="683"/>
    <n v="30"/>
    <s v="Cam.B"/>
    <s v="QD.90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9P2416"/>
    <s v="NEO811 I2X"/>
    <m/>
    <m/>
    <s v="C1"/>
    <s v="P2"/>
    <s v="BG"/>
    <n v="1"/>
    <n v="794"/>
    <s v="C1"/>
    <n v="794"/>
    <n v="1"/>
    <s v="Cam.B"/>
    <s v="QD.84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59P1415"/>
    <s v="NEO811 I2X"/>
    <m/>
    <m/>
    <s v="C1"/>
    <s v="P1"/>
    <s v="BG"/>
    <n v="18"/>
    <n v="640"/>
    <s v="C1"/>
    <n v="640"/>
    <n v="18"/>
    <s v="Cam.B"/>
    <s v="QD.84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2902"/>
    <s v="NEO771 I2X"/>
    <m/>
    <m/>
    <s v="C2"/>
    <s v="P2"/>
    <s v="BG"/>
    <n v="27"/>
    <n v="941"/>
    <s v="C2"/>
    <n v="941"/>
    <n v="27"/>
    <s v="Cam.B"/>
    <s v="QD.91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3P2423"/>
    <s v="22213I2X"/>
    <m/>
    <m/>
    <s v="C2"/>
    <s v="P2"/>
    <s v="BG"/>
    <n v="27"/>
    <n v="929"/>
    <s v="C2"/>
    <n v="929"/>
    <n v="27"/>
    <s v="Cam.B"/>
    <s v="QD.86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2906"/>
    <s v="NEO771 I2X"/>
    <m/>
    <m/>
    <s v="C2"/>
    <s v="P2"/>
    <s v="BG"/>
    <n v="30"/>
    <n v="874"/>
    <s v="C2"/>
    <n v="874"/>
    <n v="30"/>
    <s v="Cam.B"/>
    <s v="QD.91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3P1420"/>
    <s v="22213I2X"/>
    <m/>
    <m/>
    <s v="C2"/>
    <s v="P1"/>
    <s v="BG"/>
    <n v="30"/>
    <n v="733"/>
    <s v="C2"/>
    <n v="733"/>
    <n v="30"/>
    <s v="Cam.B"/>
    <s v="QD.85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3P2419"/>
    <s v="22213I2X"/>
    <m/>
    <m/>
    <s v="C2"/>
    <s v="P2"/>
    <s v="BG"/>
    <n v="27"/>
    <n v="936"/>
    <s v="C2"/>
    <n v="936"/>
    <n v="27"/>
    <s v="Cam.B"/>
    <s v="QD.86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3P1417"/>
    <s v="22213I2X"/>
    <m/>
    <m/>
    <s v="C2"/>
    <s v="P1"/>
    <s v="BG"/>
    <n v="30"/>
    <n v="761"/>
    <s v="C2"/>
    <n v="761"/>
    <n v="30"/>
    <s v="Cam.B"/>
    <s v="QD.85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1905"/>
    <s v="NEO771 I2X"/>
    <m/>
    <m/>
    <s v="C2"/>
    <s v="P1"/>
    <s v="BG"/>
    <n v="30"/>
    <n v="688"/>
    <s v="C2"/>
    <n v="688"/>
    <n v="30"/>
    <s v="Cam.B"/>
    <s v="QD.90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3P2418"/>
    <s v="22213I2X"/>
    <m/>
    <m/>
    <s v="C2"/>
    <s v="P2"/>
    <s v="BG"/>
    <n v="27"/>
    <n v="953"/>
    <s v="C2"/>
    <n v="953"/>
    <n v="27"/>
    <s v="Cam.B"/>
    <s v="QD.86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1910"/>
    <s v="NEO771 I2X"/>
    <m/>
    <m/>
    <s v="C2"/>
    <s v="P1"/>
    <s v="BG"/>
    <n v="30"/>
    <n v="685"/>
    <s v="C2"/>
    <n v="685"/>
    <n v="30"/>
    <s v="Cam.B"/>
    <s v="QD.92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1911"/>
    <s v="NEO771 I2X"/>
    <m/>
    <m/>
    <s v="C2"/>
    <s v="P1"/>
    <s v="BG"/>
    <n v="30"/>
    <n v="680"/>
    <s v="C2"/>
    <n v="680"/>
    <n v="30"/>
    <s v="Cam.B"/>
    <s v="QD.92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2909"/>
    <s v="NEO771 I2X"/>
    <m/>
    <m/>
    <s v="C2"/>
    <s v="P2"/>
    <s v="BG"/>
    <n v="30"/>
    <n v="865"/>
    <s v="C2"/>
    <n v="865"/>
    <n v="30"/>
    <s v="Cam.B"/>
    <s v="QD.93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3P1424"/>
    <s v="22213I2X"/>
    <m/>
    <m/>
    <s v="C2"/>
    <s v="P1"/>
    <s v="BG"/>
    <n v="23"/>
    <n v="731"/>
    <s v="C2"/>
    <n v="731"/>
    <n v="23"/>
    <s v="Cam.B"/>
    <s v="QD.85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2908"/>
    <s v="NEO771 I2X"/>
    <m/>
    <m/>
    <s v="C2"/>
    <s v="P2"/>
    <s v="BG"/>
    <n v="30"/>
    <n v="874"/>
    <s v="C2"/>
    <n v="874"/>
    <n v="30"/>
    <s v="Cam.B"/>
    <s v="QD.93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1907"/>
    <s v="NEO771 I2X"/>
    <m/>
    <m/>
    <s v="C2"/>
    <s v="P1"/>
    <s v="BG"/>
    <n v="30"/>
    <n v="689"/>
    <s v="C2"/>
    <n v="689"/>
    <n v="30"/>
    <s v="Cam.B"/>
    <s v="QD.92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3P2421"/>
    <s v="22213I2X"/>
    <m/>
    <m/>
    <s v="C2"/>
    <s v="P2"/>
    <s v="BG"/>
    <n v="27"/>
    <n v="948"/>
    <s v="C2"/>
    <n v="948"/>
    <n v="27"/>
    <s v="Cam.B"/>
    <s v="QD.86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3P1422"/>
    <s v="22213I2X"/>
    <m/>
    <m/>
    <s v="C2"/>
    <s v="P1"/>
    <s v="BG"/>
    <n v="30"/>
    <n v="748"/>
    <s v="C2"/>
    <n v="748"/>
    <n v="30"/>
    <s v="Cam.B"/>
    <s v="QD.85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3P2425"/>
    <s v="22213I2X"/>
    <m/>
    <m/>
    <s v="C2"/>
    <s v="P2"/>
    <s v="BG"/>
    <n v="14"/>
    <n v="949"/>
    <s v="C2"/>
    <n v="949"/>
    <n v="14"/>
    <s v="Cam.B"/>
    <s v="QD.86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2912"/>
    <s v="NEO771 I2X"/>
    <m/>
    <m/>
    <s v="C2"/>
    <s v="P2"/>
    <s v="BG"/>
    <n v="30"/>
    <n v="872"/>
    <s v="C2"/>
    <n v="872"/>
    <n v="30"/>
    <s v="Cam.B"/>
    <s v="QD.93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64P1426"/>
    <s v="O820 IPRO"/>
    <m/>
    <m/>
    <s v="S1"/>
    <s v="P1"/>
    <s v="BG"/>
    <n v="27"/>
    <n v="967"/>
    <s v="S1"/>
    <n v="967"/>
    <n v="27"/>
    <s v="Cam.B"/>
    <s v="QD.99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2915"/>
    <s v="NEO771 I2X"/>
    <m/>
    <m/>
    <s v="C2"/>
    <s v="P2"/>
    <s v="BG"/>
    <n v="30"/>
    <n v="885"/>
    <s v="C2"/>
    <n v="885"/>
    <n v="30"/>
    <s v="Cam.B"/>
    <s v="QD.94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2914"/>
    <s v="NEO771 I2X"/>
    <m/>
    <m/>
    <s v="C2"/>
    <s v="P2"/>
    <s v="BG"/>
    <n v="30"/>
    <n v="878"/>
    <s v="C2"/>
    <n v="878"/>
    <n v="30"/>
    <s v="Cam.B"/>
    <s v="QD.94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1913"/>
    <s v="NEO771 I2X"/>
    <m/>
    <m/>
    <s v="C2"/>
    <s v="P1"/>
    <s v="BG"/>
    <n v="30"/>
    <n v="688"/>
    <s v="C2"/>
    <n v="688"/>
    <n v="30"/>
    <s v="Cam.A"/>
    <s v="QD.95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64P1428"/>
    <s v="O820 IPRO"/>
    <m/>
    <m/>
    <s v="S1"/>
    <s v="P1"/>
    <s v="BG"/>
    <n v="27"/>
    <n v="981"/>
    <s v="S1"/>
    <n v="981"/>
    <n v="27"/>
    <s v="Cam.B"/>
    <s v="QD.99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2917"/>
    <s v="NEO771 I2X"/>
    <m/>
    <m/>
    <s v="C2"/>
    <s v="P2"/>
    <s v="BG"/>
    <n v="30"/>
    <n v="871"/>
    <s v="C2"/>
    <n v="871"/>
    <n v="30"/>
    <s v="Cam.B"/>
    <s v="QD.94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64P2427"/>
    <s v="O820 IPRO"/>
    <m/>
    <m/>
    <s v="S1"/>
    <s v="P2"/>
    <s v="BG"/>
    <n v="18"/>
    <n v="1177"/>
    <s v="S1"/>
    <n v="1177"/>
    <n v="18"/>
    <s v="Cam.B"/>
    <s v="QD.100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1916"/>
    <s v="NEO771 I2X"/>
    <m/>
    <m/>
    <s v="C2"/>
    <s v="P1"/>
    <s v="BG"/>
    <n v="30"/>
    <n v="688"/>
    <s v="C2"/>
    <n v="688"/>
    <n v="30"/>
    <s v="Cam.A"/>
    <s v="QD.95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64P2431"/>
    <s v="O820 IPRO"/>
    <m/>
    <m/>
    <s v="S1"/>
    <s v="P2"/>
    <s v="BG"/>
    <n v="18"/>
    <n v="1182"/>
    <s v="S1"/>
    <n v="1182"/>
    <n v="18"/>
    <s v="Cam.B"/>
    <s v="QD.100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64P1432"/>
    <s v="O820 IPRO"/>
    <m/>
    <m/>
    <s v="S1"/>
    <s v="P1"/>
    <s v="BG"/>
    <n v="27"/>
    <n v="984"/>
    <s v="S1"/>
    <n v="984"/>
    <n v="27"/>
    <s v="Cam.B"/>
    <s v="QD.101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1920"/>
    <s v="NEO771 I2X"/>
    <m/>
    <m/>
    <s v="C2"/>
    <s v="P1"/>
    <s v="BG"/>
    <n v="30"/>
    <n v="678"/>
    <s v="C2"/>
    <n v="678"/>
    <n v="30"/>
    <s v="Cam.B"/>
    <s v="QD.97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2921"/>
    <s v="NEO771 I2X"/>
    <m/>
    <m/>
    <s v="C2"/>
    <s v="P2"/>
    <s v="BG"/>
    <n v="30"/>
    <n v="878"/>
    <s v="C2"/>
    <n v="878"/>
    <n v="30"/>
    <s v="Cam.B"/>
    <s v="QD.96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64P2429"/>
    <s v="O820 IPRO"/>
    <m/>
    <m/>
    <s v="S1"/>
    <s v="P2"/>
    <s v="BG"/>
    <n v="18"/>
    <n v="1178"/>
    <s v="S1"/>
    <n v="1178"/>
    <n v="18"/>
    <s v="Cam.B"/>
    <s v="QD.100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64P1430"/>
    <s v="O820 IPRO"/>
    <m/>
    <m/>
    <s v="S1"/>
    <s v="P1"/>
    <s v="BG"/>
    <n v="27"/>
    <n v="995"/>
    <s v="S1"/>
    <n v="995"/>
    <n v="27"/>
    <s v="Cam.B"/>
    <s v="QD.99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1918"/>
    <s v="NEO771 I2X"/>
    <m/>
    <m/>
    <s v="C2"/>
    <s v="P1"/>
    <s v="BG"/>
    <n v="30"/>
    <n v="679"/>
    <s v="C2"/>
    <n v="679"/>
    <n v="30"/>
    <s v="Cam.A"/>
    <s v="QD.95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2919"/>
    <s v="NEO771 I2X"/>
    <m/>
    <m/>
    <s v="C2"/>
    <s v="P2"/>
    <s v="BG"/>
    <n v="30"/>
    <n v="879"/>
    <s v="C2"/>
    <n v="879"/>
    <n v="30"/>
    <s v="Cam.B"/>
    <s v="QD.96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64P2433"/>
    <s v="O820 IPRO"/>
    <m/>
    <m/>
    <s v="S1"/>
    <s v="P2"/>
    <s v="BG"/>
    <n v="4"/>
    <n v="1193"/>
    <s v="S1"/>
    <n v="1193"/>
    <n v="4"/>
    <s v="Cam.B"/>
    <s v="QD.100"/>
    <m/>
    <s v="SIM"/>
    <n v="1"/>
    <d v="2026-06-25T00:00:00"/>
    <x v="2"/>
    <s v="Renato de Castro"/>
    <s v="Joselia Soares da Silva"/>
    <s v="Lucas Lima"/>
  </r>
  <r>
    <x v="0"/>
    <s v="GO"/>
    <s v="0101"/>
    <n v="11"/>
    <x v="0"/>
    <s v="11264P1434"/>
    <s v="O820 IPRO"/>
    <m/>
    <m/>
    <s v="S1"/>
    <s v="P1"/>
    <s v="BG"/>
    <n v="11"/>
    <n v="1002"/>
    <s v="S1"/>
    <n v="1002"/>
    <n v="11"/>
    <s v="Cam.B"/>
    <s v="QD.101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2922"/>
    <s v="NEO771 I2X"/>
    <m/>
    <m/>
    <s v="C2"/>
    <s v="P2"/>
    <s v="BG"/>
    <n v="30"/>
    <n v="870"/>
    <s v="C2"/>
    <n v="870"/>
    <n v="30"/>
    <s v="Cam.B"/>
    <s v="QD.96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1925"/>
    <s v="NEO771 I2X"/>
    <m/>
    <m/>
    <s v="C2"/>
    <s v="P1"/>
    <s v="BG"/>
    <n v="30"/>
    <n v="673"/>
    <s v="C2"/>
    <n v="673"/>
    <n v="30"/>
    <s v="Cam.B"/>
    <s v="QD.98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1923"/>
    <s v="NEO771 I2X"/>
    <m/>
    <m/>
    <s v="C2"/>
    <s v="P1"/>
    <s v="BG"/>
    <n v="30"/>
    <n v="682"/>
    <s v="C2"/>
    <n v="682"/>
    <n v="30"/>
    <s v="Cam.B"/>
    <s v="QD.30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2924"/>
    <s v="NEO771 I2X"/>
    <m/>
    <m/>
    <s v="C2"/>
    <s v="P2"/>
    <s v="BG"/>
    <n v="30"/>
    <n v="874"/>
    <s v="C2"/>
    <n v="874"/>
    <n v="30"/>
    <s v="Cam.B"/>
    <s v="QD.98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2926"/>
    <s v="NEO771 I2X"/>
    <m/>
    <m/>
    <s v="C2"/>
    <s v="P2"/>
    <s v="BG"/>
    <n v="30"/>
    <n v="866"/>
    <s v="C2"/>
    <n v="866"/>
    <n v="30"/>
    <s v="Cam.A"/>
    <s v="QD.98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0P2927"/>
    <s v="NEO771 I2X"/>
    <m/>
    <m/>
    <s v="C2"/>
    <s v="P2"/>
    <s v="BG"/>
    <n v="27"/>
    <n v="881"/>
    <s v="C2"/>
    <n v="881"/>
    <n v="27"/>
    <s v="Cam.B"/>
    <s v="QD.98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1312"/>
    <s v="NEO801 CE"/>
    <m/>
    <m/>
    <s v="C2"/>
    <s v="P1"/>
    <s v="BG"/>
    <n v="30"/>
    <n v="668"/>
    <s v="C2"/>
    <n v="668"/>
    <n v="30"/>
    <s v="Cam.A"/>
    <s v="QD.46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1314"/>
    <s v="NEO801 CE"/>
    <m/>
    <m/>
    <s v="C2"/>
    <s v="P1"/>
    <s v="BG"/>
    <n v="30"/>
    <n v="673"/>
    <s v="C2"/>
    <n v="673"/>
    <n v="30"/>
    <s v="Cam.A"/>
    <s v="QD.46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1315"/>
    <s v="NEO801 CE"/>
    <m/>
    <m/>
    <s v="C2"/>
    <s v="P1"/>
    <s v="BG"/>
    <n v="30"/>
    <n v="669"/>
    <s v="C2"/>
    <n v="669"/>
    <n v="30"/>
    <s v="Cam.A"/>
    <s v="QD.46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1317"/>
    <s v="NEO801 CE"/>
    <m/>
    <m/>
    <s v="C2"/>
    <s v="P1"/>
    <s v="BG"/>
    <n v="30"/>
    <n v="676"/>
    <s v="C2"/>
    <n v="676"/>
    <n v="30"/>
    <s v="Cam.A"/>
    <s v="QD.46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1319"/>
    <s v="NEO801 CE"/>
    <m/>
    <m/>
    <s v="C2"/>
    <s v="P1"/>
    <s v="BG"/>
    <n v="30"/>
    <n v="667"/>
    <s v="C2"/>
    <n v="667"/>
    <n v="30"/>
    <s v="Cam.A"/>
    <s v="QD.46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1320"/>
    <s v="NEO801 CE"/>
    <m/>
    <m/>
    <s v="C2"/>
    <s v="P1"/>
    <s v="BG"/>
    <n v="30"/>
    <n v="680"/>
    <s v="C2"/>
    <n v="680"/>
    <n v="30"/>
    <s v="Cam.A"/>
    <s v="QD.43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1322"/>
    <s v="NEO801 CE"/>
    <m/>
    <m/>
    <s v="C2"/>
    <s v="P1"/>
    <s v="BG"/>
    <n v="30"/>
    <n v="703"/>
    <s v="C2"/>
    <n v="703"/>
    <n v="30"/>
    <s v="Cam.A"/>
    <s v="QD.43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1324"/>
    <s v="NEO801 CE"/>
    <m/>
    <m/>
    <s v="C2"/>
    <s v="P1"/>
    <s v="BG"/>
    <n v="11"/>
    <n v="702"/>
    <s v="C2"/>
    <n v="702"/>
    <n v="11"/>
    <s v="Cam.A"/>
    <s v="QD.43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2308"/>
    <s v="NEO801 CE"/>
    <m/>
    <m/>
    <s v="C2"/>
    <s v="P2"/>
    <s v="BG"/>
    <n v="30"/>
    <n v="884"/>
    <s v="C2"/>
    <n v="884"/>
    <n v="30"/>
    <s v="Cam.A"/>
    <s v="QD.45"/>
    <s v="F7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2311"/>
    <s v="NEO801 CE"/>
    <m/>
    <m/>
    <s v="C2"/>
    <s v="P2"/>
    <s v="BG"/>
    <n v="30"/>
    <n v="859"/>
    <s v="C2"/>
    <n v="859"/>
    <n v="30"/>
    <s v="Cam.A"/>
    <s v="QD.45"/>
    <s v="F6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2313"/>
    <s v="NEO801 CE"/>
    <m/>
    <m/>
    <s v="C2"/>
    <s v="P2"/>
    <s v="BG"/>
    <n v="30"/>
    <n v="868"/>
    <s v="C2"/>
    <n v="868"/>
    <n v="30"/>
    <s v="Cam.A"/>
    <s v="QD.45"/>
    <s v="F4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2316"/>
    <s v="NEO801 CE"/>
    <m/>
    <m/>
    <s v="C2"/>
    <s v="P2"/>
    <s v="BG"/>
    <n v="30"/>
    <n v="861"/>
    <s v="C2"/>
    <n v="861"/>
    <n v="30"/>
    <s v="Cam.A"/>
    <s v="QD.45"/>
    <s v="F5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2318"/>
    <s v="NEO801 CE"/>
    <m/>
    <m/>
    <s v="C2"/>
    <s v="P2"/>
    <s v="BG"/>
    <n v="30"/>
    <n v="869"/>
    <s v="C2"/>
    <n v="869"/>
    <n v="30"/>
    <s v="Cam.A"/>
    <s v="QD.45"/>
    <s v="F3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2321"/>
    <s v="NEO801 CE"/>
    <m/>
    <m/>
    <s v="C2"/>
    <s v="P2"/>
    <s v="BG"/>
    <n v="30"/>
    <n v="880"/>
    <s v="C2"/>
    <n v="880"/>
    <n v="30"/>
    <s v="Cam.A"/>
    <s v="QD.45"/>
    <s v="F1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2323"/>
    <s v="NEO801 CE"/>
    <m/>
    <m/>
    <s v="C2"/>
    <s v="P2"/>
    <s v="BG"/>
    <n v="30"/>
    <n v="884"/>
    <s v="C2"/>
    <n v="884"/>
    <n v="30"/>
    <s v="Cam.A"/>
    <s v="QD.45"/>
    <s v="F2"/>
    <s v="SIM"/>
    <n v="1"/>
    <d v="2026-06-25T00:00:00"/>
    <x v="2"/>
    <s v="Renato de Castro"/>
    <s v="Joselia Soares da Silva"/>
    <s v="Lucas Lima"/>
  </r>
  <r>
    <x v="0"/>
    <s v="GO"/>
    <s v="0101"/>
    <n v="11"/>
    <x v="0"/>
    <s v="11741P2325"/>
    <s v="NEO801 CE"/>
    <m/>
    <m/>
    <s v="C2"/>
    <s v="P2"/>
    <s v="BG"/>
    <n v="21"/>
    <n v="884"/>
    <s v="C2"/>
    <n v="884"/>
    <n v="21"/>
    <s v="Cam.A"/>
    <s v="QD.43"/>
    <s v="F2"/>
    <s v="SIM"/>
    <n v="1"/>
    <d v="2026-06-25T00:00:00"/>
    <x v="2"/>
    <s v="Renato de Castro"/>
    <s v="Joselia Soares da Silva"/>
    <s v="Lucas Lima"/>
  </r>
  <r>
    <x v="1"/>
    <s v="GO"/>
    <s v="0101"/>
    <n v="10"/>
    <x v="1"/>
    <s v="242504306"/>
    <s v="CRV2874 PRO4"/>
    <m/>
    <m/>
    <s v="S1"/>
    <m/>
    <s v="SC"/>
    <n v="1"/>
    <m/>
    <s v="S1"/>
    <m/>
    <n v="2"/>
    <s v="Cam.A"/>
    <m/>
    <m/>
    <s v="NÃO"/>
    <n v="1"/>
    <d v="2026-06-24T00:00:00"/>
    <x v="2"/>
    <m/>
    <m/>
    <m/>
  </r>
  <r>
    <x v="1"/>
    <s v="GO"/>
    <s v="0101"/>
    <n v="10"/>
    <x v="1"/>
    <s v="CRV2I04002"/>
    <s v="CRV2874 PRO4"/>
    <m/>
    <m/>
    <s v="S1"/>
    <s v="R3L"/>
    <s v="SC"/>
    <n v="61"/>
    <m/>
    <s v="S1"/>
    <m/>
    <n v="55"/>
    <s v="Cam.A"/>
    <m/>
    <m/>
    <s v="NÃO"/>
    <n v="1"/>
    <d v="2026-06-24T00:00:00"/>
    <x v="2"/>
    <m/>
    <m/>
    <m/>
  </r>
  <r>
    <x v="1"/>
    <s v="GO"/>
    <s v="0101"/>
    <n v="10"/>
    <x v="1"/>
    <s v="CRV2I04016"/>
    <s v="CRV2874 PRO4"/>
    <m/>
    <m/>
    <s v="S1"/>
    <s v="C3C"/>
    <s v="SC"/>
    <n v="8"/>
    <m/>
    <s v="S1"/>
    <m/>
    <n v="8"/>
    <s v="Cam.A"/>
    <m/>
    <m/>
    <s v="SIM"/>
    <n v="1"/>
    <d v="2026-06-24T00:00:00"/>
    <x v="2"/>
    <m/>
    <m/>
    <m/>
  </r>
  <r>
    <x v="1"/>
    <s v="GO"/>
    <s v="0101"/>
    <n v="10"/>
    <x v="1"/>
    <s v="CRV2I04018"/>
    <s v="CRV2874 PRO4"/>
    <m/>
    <m/>
    <s v="S1"/>
    <s v="R4C"/>
    <s v="SC"/>
    <n v="16"/>
    <m/>
    <s v="S1"/>
    <m/>
    <n v="16"/>
    <s v="Cam.A"/>
    <m/>
    <m/>
    <s v="SIM"/>
    <n v="1"/>
    <d v="2026-06-24T00:00:00"/>
    <x v="2"/>
    <m/>
    <m/>
    <m/>
  </r>
  <r>
    <x v="1"/>
    <s v="GO"/>
    <s v="0101"/>
    <n v="10"/>
    <x v="1"/>
    <s v="CRV2I04020"/>
    <s v="CRV2874 PRO4"/>
    <m/>
    <m/>
    <s v="S1"/>
    <s v="C4C"/>
    <s v="SC"/>
    <n v="36"/>
    <m/>
    <s v="S1"/>
    <m/>
    <n v="36"/>
    <s v="Cam.A"/>
    <m/>
    <m/>
    <s v="SIM"/>
    <n v="1"/>
    <d v="2026-06-24T00:00:00"/>
    <x v="2"/>
    <m/>
    <m/>
    <m/>
  </r>
  <r>
    <x v="1"/>
    <s v="GO"/>
    <s v="0101"/>
    <n v="10"/>
    <x v="1"/>
    <s v="CRV2I04021"/>
    <s v="CRV2874 PRO4"/>
    <m/>
    <m/>
    <s v="S1"/>
    <s v="R5C"/>
    <s v="SC"/>
    <n v="11"/>
    <m/>
    <s v="S1"/>
    <m/>
    <n v="11"/>
    <s v="Cam.A"/>
    <m/>
    <m/>
    <s v="SIM"/>
    <n v="1"/>
    <d v="2026-06-24T00:00:00"/>
    <x v="2"/>
    <m/>
    <m/>
    <m/>
  </r>
  <r>
    <x v="1"/>
    <s v="GO"/>
    <s v="0101"/>
    <n v="10"/>
    <x v="1"/>
    <s v="CRV2I04022"/>
    <s v="CRV2874 PRO4"/>
    <m/>
    <m/>
    <s v="S1"/>
    <s v="C5L"/>
    <s v="SC"/>
    <n v="23"/>
    <m/>
    <s v="S1"/>
    <m/>
    <n v="23"/>
    <s v="Cam.A"/>
    <m/>
    <m/>
    <s v="SIM"/>
    <n v="1"/>
    <d v="2026-06-24T00:00:00"/>
    <x v="2"/>
    <m/>
    <m/>
    <m/>
  </r>
  <r>
    <x v="1"/>
    <s v="GO"/>
    <s v="0101"/>
    <n v="10"/>
    <x v="1"/>
    <s v="CRV2I04025"/>
    <s v="CRV2874 PRO4"/>
    <m/>
    <m/>
    <s v="S1"/>
    <s v="C5C"/>
    <s v="SC"/>
    <n v="3"/>
    <m/>
    <s v="S1"/>
    <m/>
    <n v="3"/>
    <s v="Cam.A"/>
    <m/>
    <m/>
    <s v="SIM"/>
    <n v="1"/>
    <d v="2026-06-24T00:00:00"/>
    <x v="2"/>
    <m/>
    <m/>
    <m/>
  </r>
  <r>
    <x v="1"/>
    <s v="GO"/>
    <s v="0101"/>
    <n v="10"/>
    <x v="1"/>
    <s v="CRV2I05007"/>
    <s v="CRV2874 PRO4"/>
    <m/>
    <m/>
    <s v="S1"/>
    <s v="R4C"/>
    <s v="SC"/>
    <n v="87"/>
    <m/>
    <s v="S1"/>
    <m/>
    <n v="88"/>
    <s v="Cam.A"/>
    <m/>
    <m/>
    <s v="NÃO"/>
    <n v="1"/>
    <d v="2026-06-24T00:00:00"/>
    <x v="2"/>
    <m/>
    <m/>
    <m/>
  </r>
  <r>
    <x v="1"/>
    <s v="GO"/>
    <s v="0101"/>
    <n v="10"/>
    <x v="1"/>
    <s v="CRV2I05010"/>
    <s v="CRV2874 PRO4"/>
    <m/>
    <m/>
    <s v="S1"/>
    <m/>
    <s v="SC"/>
    <n v="305"/>
    <m/>
    <s v="S1"/>
    <m/>
    <n v="305"/>
    <s v="Cam.A"/>
    <m/>
    <m/>
    <s v="SIM"/>
    <n v="1"/>
    <d v="2026-06-24T00:00:00"/>
    <x v="2"/>
    <m/>
    <m/>
    <m/>
  </r>
  <r>
    <x v="1"/>
    <s v="GO"/>
    <s v="0101"/>
    <n v="10"/>
    <x v="1"/>
    <s v="CRV2I05012"/>
    <s v="CRV2874 PRO4"/>
    <m/>
    <m/>
    <s v="S1"/>
    <s v="C5L"/>
    <s v="SC"/>
    <n v="204"/>
    <m/>
    <s v="S1"/>
    <m/>
    <n v="204"/>
    <s v="Cam.A"/>
    <m/>
    <m/>
    <s v="SIM"/>
    <n v="1"/>
    <d v="2026-06-24T00:00:00"/>
    <x v="2"/>
    <m/>
    <m/>
    <m/>
  </r>
  <r>
    <x v="1"/>
    <s v="GO"/>
    <s v="0101"/>
    <n v="10"/>
    <x v="1"/>
    <s v="CRV2I05014"/>
    <s v="CRV2874 PRO4"/>
    <m/>
    <m/>
    <s v="S1"/>
    <s v="C3L"/>
    <s v="SC"/>
    <n v="12"/>
    <m/>
    <s v="S1"/>
    <m/>
    <n v="12"/>
    <s v="Cam.A"/>
    <m/>
    <m/>
    <s v="SIM"/>
    <n v="1"/>
    <d v="2026-06-24T00:00:00"/>
    <x v="2"/>
    <m/>
    <m/>
    <m/>
  </r>
  <r>
    <x v="1"/>
    <s v="GO"/>
    <s v="0101"/>
    <n v="10"/>
    <x v="1"/>
    <s v="CRV2I05016"/>
    <s v="CRV2874 PRO4"/>
    <m/>
    <m/>
    <s v="S1"/>
    <s v="C4L"/>
    <s v="SC"/>
    <n v="162"/>
    <m/>
    <s v="S1"/>
    <m/>
    <n v="167"/>
    <s v="Cam.A"/>
    <m/>
    <m/>
    <s v="NÃO"/>
    <n v="1"/>
    <d v="2026-06-24T00:00:00"/>
    <x v="2"/>
    <m/>
    <m/>
    <m/>
  </r>
  <r>
    <x v="1"/>
    <s v="GO"/>
    <s v="0101"/>
    <n v="10"/>
    <x v="1"/>
    <s v="CRV2I410TC"/>
    <s v="CRV2874 PRO4"/>
    <m/>
    <m/>
    <s v="S1"/>
    <s v="R5L"/>
    <s v="SC"/>
    <n v="1"/>
    <m/>
    <m/>
    <m/>
    <m/>
    <m/>
    <m/>
    <m/>
    <s v=""/>
    <n v="1"/>
    <d v="2026-06-24T00:00:00"/>
    <x v="2"/>
    <m/>
    <m/>
    <m/>
  </r>
  <r>
    <x v="1"/>
    <s v="GO"/>
    <s v="0101"/>
    <n v="10"/>
    <x v="1"/>
    <s v="34Z35501PB"/>
    <s v="SS183E VIP3"/>
    <m/>
    <m/>
    <s v="S1"/>
    <s v="R4C"/>
    <s v="BG"/>
    <n v="3"/>
    <m/>
    <s v="S1"/>
    <n v="787"/>
    <n v="3"/>
    <s v="Cam.A"/>
    <m/>
    <m/>
    <s v="SIM"/>
    <n v="1"/>
    <d v="2026-06-24T00:00:00"/>
    <x v="2"/>
    <m/>
    <m/>
    <m/>
  </r>
  <r>
    <x v="1"/>
    <s v="GO"/>
    <s v="0101"/>
    <n v="10"/>
    <x v="1"/>
    <s v="44X35501ON"/>
    <s v="SS183E VIP3"/>
    <m/>
    <m/>
    <s v="S1"/>
    <s v="C4C"/>
    <s v="BG"/>
    <n v="14"/>
    <m/>
    <s v="S1"/>
    <n v="728.5"/>
    <n v="14"/>
    <s v="Cam.A"/>
    <m/>
    <m/>
    <s v="SIM"/>
    <n v="1"/>
    <d v="2026-06-24T00:00:00"/>
    <x v="2"/>
    <m/>
    <m/>
    <m/>
  </r>
  <r>
    <x v="1"/>
    <s v="GO"/>
    <s v="0101"/>
    <n v="10"/>
    <x v="1"/>
    <s v="44X35505ON"/>
    <s v="SS183E VIP3"/>
    <m/>
    <m/>
    <s v="S1"/>
    <s v="C4C"/>
    <s v="BG"/>
    <n v="14"/>
    <m/>
    <s v="S1"/>
    <n v="722"/>
    <n v="14"/>
    <s v="Cam.A"/>
    <m/>
    <m/>
    <s v="SIM"/>
    <n v="1"/>
    <d v="2026-06-24T00:00:00"/>
    <x v="2"/>
    <m/>
    <m/>
    <m/>
  </r>
  <r>
    <x v="1"/>
    <s v="GO"/>
    <s v="0101"/>
    <n v="10"/>
    <x v="1"/>
    <s v="44X35506ON"/>
    <s v="SS183E VIP3"/>
    <m/>
    <m/>
    <s v="S1"/>
    <s v="C4C"/>
    <s v="BG"/>
    <n v="9"/>
    <m/>
    <s v="S1"/>
    <n v="709"/>
    <n v="9"/>
    <s v="Cam.A"/>
    <m/>
    <m/>
    <s v="SIM"/>
    <n v="1"/>
    <d v="2026-06-24T00:00:00"/>
    <x v="2"/>
    <m/>
    <m/>
    <m/>
  </r>
  <r>
    <x v="1"/>
    <s v="GO"/>
    <s v="0101"/>
    <n v="10"/>
    <x v="1"/>
    <s v="44X35518ON"/>
    <s v="SS183E VIP3"/>
    <m/>
    <m/>
    <s v="S1"/>
    <s v="R4M"/>
    <s v="BG"/>
    <n v="1"/>
    <m/>
    <s v="S1"/>
    <m/>
    <n v="1"/>
    <s v="Cam.A"/>
    <m/>
    <m/>
    <s v="SIM"/>
    <n v="1"/>
    <d v="2026-06-24T00:00:00"/>
    <x v="2"/>
    <m/>
    <m/>
    <m/>
  </r>
  <r>
    <x v="1"/>
    <s v="GO"/>
    <s v="0101"/>
    <n v="10"/>
    <x v="1"/>
    <s v="46W35006ON"/>
    <s v="SS183E VIP3"/>
    <m/>
    <m/>
    <s v="S1"/>
    <s v="C3M"/>
    <s v="BG"/>
    <n v="9"/>
    <m/>
    <m/>
    <m/>
    <m/>
    <m/>
    <m/>
    <m/>
    <s v=""/>
    <n v="1"/>
    <d v="2026-06-24T00:00:00"/>
    <x v="2"/>
    <m/>
    <m/>
    <m/>
  </r>
  <r>
    <x v="1"/>
    <s v="GO"/>
    <s v="0101"/>
    <n v="10"/>
    <x v="1"/>
    <s v="46W35008ON"/>
    <s v="SS183E VIP3"/>
    <m/>
    <m/>
    <s v="S1"/>
    <s v="R4M"/>
    <s v="BG"/>
    <n v="10"/>
    <m/>
    <s v="S1"/>
    <n v="840"/>
    <n v="19"/>
    <s v="Cam.A"/>
    <m/>
    <m/>
    <s v="NÃO"/>
    <n v="1"/>
    <d v="2026-06-24T00:00:00"/>
    <x v="2"/>
    <m/>
    <m/>
    <m/>
  </r>
  <r>
    <x v="1"/>
    <s v="GO"/>
    <s v="0101"/>
    <n v="10"/>
    <x v="1"/>
    <s v="46W35015ON"/>
    <s v="SS183E VIP3"/>
    <m/>
    <m/>
    <s v="S1"/>
    <s v="R4C"/>
    <s v="SC"/>
    <n v="881"/>
    <m/>
    <s v="S1"/>
    <m/>
    <n v="881"/>
    <s v="Cam.A"/>
    <m/>
    <m/>
    <s v="SIM"/>
    <n v="1"/>
    <d v="2026-06-24T00:00:00"/>
    <x v="2"/>
    <m/>
    <m/>
    <m/>
  </r>
  <r>
    <x v="1"/>
    <s v="GO"/>
    <s v="0101"/>
    <n v="10"/>
    <x v="1"/>
    <s v="46W35016ON"/>
    <s v="SS183E VIP3"/>
    <m/>
    <m/>
    <s v="S1"/>
    <s v="R4M"/>
    <s v="SC"/>
    <n v="466"/>
    <m/>
    <s v="S1"/>
    <m/>
    <n v="466"/>
    <s v="Cam.A"/>
    <m/>
    <m/>
    <s v="SIM"/>
    <n v="1"/>
    <d v="2026-06-24T00:00:00"/>
    <x v="2"/>
    <m/>
    <m/>
    <m/>
  </r>
  <r>
    <x v="1"/>
    <s v="GO"/>
    <s v="0101"/>
    <n v="10"/>
    <x v="1"/>
    <s v="46W35022ON"/>
    <s v="SS183E VIP3"/>
    <m/>
    <m/>
    <s v="S1"/>
    <s v="R5C"/>
    <s v="SC"/>
    <n v="322"/>
    <m/>
    <s v="S1"/>
    <m/>
    <n v="322"/>
    <s v="Cam.A"/>
    <m/>
    <m/>
    <s v="SIM"/>
    <n v="1"/>
    <d v="2026-06-24T00:00:00"/>
    <x v="2"/>
    <m/>
    <m/>
    <m/>
  </r>
  <r>
    <x v="1"/>
    <s v="GO"/>
    <s v="0101"/>
    <n v="10"/>
    <x v="1"/>
    <s v="14260067SN"/>
    <s v="SX7331 TG"/>
    <m/>
    <m/>
    <s v="S1"/>
    <s v="C4C"/>
    <s v="SC"/>
    <n v="95"/>
    <m/>
    <s v="S1"/>
    <n v="719"/>
    <n v="100"/>
    <s v="Cam.A"/>
    <m/>
    <m/>
    <s v="NÃO"/>
    <n v="1"/>
    <d v="2026-06-24T00:00:00"/>
    <x v="2"/>
    <m/>
    <m/>
    <m/>
  </r>
  <r>
    <x v="1"/>
    <s v="GO"/>
    <s v="0101"/>
    <n v="10"/>
    <x v="1"/>
    <s v="14260083SN"/>
    <s v="SX7331 TG"/>
    <m/>
    <m/>
    <s v="S1"/>
    <s v="C3C"/>
    <s v="SC"/>
    <n v="73"/>
    <m/>
    <s v="S1"/>
    <n v="725.5"/>
    <n v="73"/>
    <s v="Cam.A"/>
    <m/>
    <m/>
    <s v="SIM"/>
    <n v="1"/>
    <d v="2026-06-24T00:00:00"/>
    <x v="2"/>
    <m/>
    <m/>
    <m/>
  </r>
  <r>
    <x v="1"/>
    <s v="GO"/>
    <s v="0101"/>
    <n v="10"/>
    <x v="1"/>
    <s v="14260090SN"/>
    <s v="SX7331 TG"/>
    <m/>
    <m/>
    <s v="S1"/>
    <s v="C4C"/>
    <s v="SC"/>
    <n v="125"/>
    <m/>
    <s v="S1"/>
    <m/>
    <n v="125"/>
    <s v="Cam.A"/>
    <m/>
    <m/>
    <s v="SIM"/>
    <n v="1"/>
    <d v="2026-06-24T00:00:00"/>
    <x v="2"/>
    <m/>
    <m/>
    <m/>
  </r>
  <r>
    <x v="1"/>
    <s v="GO"/>
    <s v="0101"/>
    <n v="10"/>
    <x v="1"/>
    <s v="24260037SN"/>
    <s v="SX7331 TG"/>
    <m/>
    <m/>
    <s v="S1"/>
    <s v="C4M"/>
    <s v="SC"/>
    <n v="417"/>
    <m/>
    <s v="S1"/>
    <n v="14.53"/>
    <n v="417"/>
    <s v="Cam.A"/>
    <m/>
    <m/>
    <s v="SIM"/>
    <n v="1"/>
    <d v="2026-06-24T00:00:00"/>
    <x v="2"/>
    <m/>
    <m/>
    <m/>
  </r>
  <r>
    <x v="1"/>
    <s v="GO"/>
    <s v="0101"/>
    <n v="10"/>
    <x v="1"/>
    <s v="24260038SN"/>
    <s v="SX7331 TG"/>
    <m/>
    <m/>
    <s v="S1"/>
    <s v="C4C"/>
    <s v="SC"/>
    <n v="130"/>
    <m/>
    <s v="S1"/>
    <m/>
    <n v="130"/>
    <s v="Cam.A"/>
    <m/>
    <m/>
    <s v="SIM"/>
    <n v="1"/>
    <d v="2026-06-24T00:00:00"/>
    <x v="2"/>
    <m/>
    <m/>
    <m/>
  </r>
  <r>
    <x v="1"/>
    <s v="GO"/>
    <s v="0101"/>
    <n v="10"/>
    <x v="1"/>
    <s v="24260046SN"/>
    <s v="SX7331 TG"/>
    <m/>
    <m/>
    <s v="S1"/>
    <s v="C3M"/>
    <s v="SC"/>
    <n v="97"/>
    <m/>
    <s v="S1"/>
    <n v="16.29"/>
    <n v="95"/>
    <s v="Cam.A"/>
    <m/>
    <m/>
    <s v="NÃO"/>
    <n v="1"/>
    <d v="2026-06-24T00:00:00"/>
    <x v="2"/>
    <m/>
    <m/>
    <m/>
  </r>
  <r>
    <x v="1"/>
    <s v="GO"/>
    <s v="0101"/>
    <n v="10"/>
    <x v="1"/>
    <s v="44160002SN"/>
    <s v="SX7331 TG"/>
    <m/>
    <m/>
    <s v="S1"/>
    <s v="R5C"/>
    <s v="SC"/>
    <n v="254"/>
    <m/>
    <s v="S1"/>
    <m/>
    <n v="254"/>
    <s v="Cam.A"/>
    <m/>
    <m/>
    <s v="SIM"/>
    <n v="1"/>
    <d v="2026-06-24T00:00:00"/>
    <x v="2"/>
    <m/>
    <m/>
    <m/>
  </r>
  <r>
    <x v="1"/>
    <s v="GO"/>
    <s v="0101"/>
    <n v="10"/>
    <x v="1"/>
    <s v="44160004SN"/>
    <s v="SX7331 TG"/>
    <m/>
    <m/>
    <s v="S1"/>
    <s v="C3M"/>
    <s v="SC"/>
    <n v="456"/>
    <m/>
    <s v="S1"/>
    <m/>
    <n v="456"/>
    <s v="Cam.A"/>
    <m/>
    <m/>
    <s v="SIM"/>
    <n v="1"/>
    <d v="2026-06-24T00:00:00"/>
    <x v="2"/>
    <m/>
    <m/>
    <m/>
  </r>
  <r>
    <x v="1"/>
    <s v="GO"/>
    <s v="0101"/>
    <n v="10"/>
    <x v="1"/>
    <s v="34X35006OG"/>
    <s v="SS183E VIP3                             "/>
    <m/>
    <m/>
    <s v="S1"/>
    <m/>
    <s v="SC"/>
    <n v="144"/>
    <m/>
    <s v="S1"/>
    <m/>
    <n v="134"/>
    <s v="Cam.A"/>
    <m/>
    <m/>
    <s v="NÃO"/>
    <n v="1"/>
    <d v="2026-06-24T00:00:00"/>
    <x v="2"/>
    <m/>
    <m/>
    <m/>
  </r>
  <r>
    <x v="1"/>
    <s v="GO"/>
    <s v="0101"/>
    <n v="10"/>
    <x v="1"/>
    <s v="34X35024OG"/>
    <s v="SS183E VIP3                             "/>
    <m/>
    <m/>
    <s v="S1"/>
    <m/>
    <s v="SC"/>
    <n v="164"/>
    <m/>
    <s v="S1"/>
    <m/>
    <n v="164"/>
    <s v="Cam.A"/>
    <m/>
    <m/>
    <s v="SIM"/>
    <n v="1"/>
    <d v="2026-06-24T00:00:00"/>
    <x v="2"/>
    <m/>
    <m/>
    <m/>
  </r>
  <r>
    <x v="1"/>
    <s v="GO"/>
    <s v="0101"/>
    <n v="10"/>
    <x v="1"/>
    <s v="46W35013ON"/>
    <s v="SS183E VIP3                             "/>
    <m/>
    <m/>
    <s v="S1"/>
    <m/>
    <s v="SC"/>
    <n v="285"/>
    <m/>
    <s v="S1"/>
    <m/>
    <n v="285"/>
    <s v="Cam.A"/>
    <m/>
    <m/>
    <s v="SIM"/>
    <n v="1"/>
    <d v="2026-06-24T00:00:00"/>
    <x v="2"/>
    <m/>
    <m/>
    <m/>
  </r>
  <r>
    <x v="1"/>
    <s v="GO"/>
    <s v="0101"/>
    <n v="10"/>
    <x v="1"/>
    <s v="46W35021ON"/>
    <s v="SS183E VIP3                             "/>
    <m/>
    <m/>
    <s v="S1"/>
    <m/>
    <s v="SC"/>
    <n v="21"/>
    <m/>
    <s v="S1"/>
    <m/>
    <n v="21"/>
    <s v="Cam.A"/>
    <m/>
    <m/>
    <s v="SIM"/>
    <n v="1"/>
    <d v="2026-06-24T00:00:00"/>
    <x v="2"/>
    <m/>
    <m/>
    <m/>
  </r>
  <r>
    <x v="1"/>
    <s v="GO"/>
    <s v="0101"/>
    <n v="10"/>
    <x v="0"/>
    <s v="11026739P1001"/>
    <s v="NEO700 I2X"/>
    <s v="C2"/>
    <s v="P1"/>
    <s v="C2"/>
    <s v="P1"/>
    <s v="BG"/>
    <n v="27"/>
    <n v="923"/>
    <s v="C2"/>
    <n v="923"/>
    <n v="27"/>
    <s v="Cam.C"/>
    <s v="QD.37"/>
    <s v="F1"/>
    <s v="SIM"/>
    <n v="1"/>
    <d v="2026-07-29T00:00:00"/>
    <x v="3"/>
    <s v="SAMUEL"/>
    <s v="SERGIO "/>
    <s v="CLAUDIO "/>
  </r>
  <r>
    <x v="1"/>
    <s v="GO"/>
    <s v="0101"/>
    <n v="10"/>
    <x v="0"/>
    <s v="11026739P1003"/>
    <s v="NEO700 I2X"/>
    <s v="C2"/>
    <s v="P1"/>
    <s v="C2"/>
    <s v="P1"/>
    <s v="BG"/>
    <n v="30"/>
    <n v="868"/>
    <s v="C2"/>
    <n v="868"/>
    <n v="30"/>
    <s v="Cam.C"/>
    <s v="QD.37"/>
    <s v="F2"/>
    <s v="SIM"/>
    <n v="1"/>
    <d v="2026-07-29T00:00:00"/>
    <x v="3"/>
    <s v="SAMUEL"/>
    <s v="SERGIO "/>
    <s v="CLAUDIO "/>
  </r>
  <r>
    <x v="1"/>
    <s v="GO"/>
    <s v="0101"/>
    <n v="10"/>
    <x v="0"/>
    <s v="11026739P1004"/>
    <s v="NEO700 I2X"/>
    <s v="C2"/>
    <s v="P1"/>
    <s v="C2"/>
    <s v="P1"/>
    <s v="BG"/>
    <n v="30"/>
    <n v="782"/>
    <s v="C2"/>
    <n v="782"/>
    <n v="30"/>
    <s v="Cam.C"/>
    <s v="QD.37"/>
    <s v="F3"/>
    <s v="SIM"/>
    <n v="1"/>
    <d v="2026-07-29T00:00:00"/>
    <x v="3"/>
    <s v="SAMUEL"/>
    <s v="SERGIO "/>
    <s v="CLAUDIO "/>
  </r>
  <r>
    <x v="1"/>
    <s v="GO"/>
    <s v="0101"/>
    <n v="10"/>
    <x v="0"/>
    <s v="11026739P2005"/>
    <s v="NEO700 I2X"/>
    <s v="C2"/>
    <s v="P2"/>
    <s v="C2"/>
    <s v="P2"/>
    <s v="BG"/>
    <n v="27"/>
    <n v="964"/>
    <s v="C2"/>
    <n v="964"/>
    <n v="27"/>
    <s v="Cam.C"/>
    <s v="QD.34"/>
    <s v="F1"/>
    <s v="SIM"/>
    <n v="1"/>
    <d v="2026-07-29T00:00:00"/>
    <x v="3"/>
    <s v="SAMUEL"/>
    <s v="SERGIO "/>
    <s v="CLAUDIO "/>
  </r>
  <r>
    <x v="1"/>
    <s v="GO"/>
    <s v="0101"/>
    <n v="10"/>
    <x v="0"/>
    <s v="11026739P2002"/>
    <s v="NEO700 I2X"/>
    <s v="C2"/>
    <s v="P2"/>
    <s v="C2"/>
    <s v="P2"/>
    <s v="BG"/>
    <n v="9"/>
    <n v="1127"/>
    <s v="C2"/>
    <n v="1127"/>
    <n v="9"/>
    <s v="Cam.C"/>
    <s v="QD.38"/>
    <s v="F4"/>
    <s v="SIM"/>
    <n v="1"/>
    <d v="2026-07-29T00:00:00"/>
    <x v="3"/>
    <s v="SAMUEL"/>
    <s v="SERGIO "/>
    <s v="CLAUDIO "/>
  </r>
  <r>
    <x v="1"/>
    <s v="GO"/>
    <s v="0101"/>
    <n v="10"/>
    <x v="0"/>
    <s v="11026739P1006"/>
    <s v="NEO700 I2X"/>
    <s v="C2"/>
    <s v="P1"/>
    <s v="C2"/>
    <s v="P1"/>
    <s v="BG"/>
    <n v="30"/>
    <n v="795"/>
    <s v="C2"/>
    <n v="795"/>
    <n v="30"/>
    <s v="Cam.C"/>
    <s v="QD.35"/>
    <s v="F1"/>
    <s v="SIM"/>
    <n v="1"/>
    <d v="2026-07-29T00:00:00"/>
    <x v="3"/>
    <s v="SAMUEL"/>
    <s v="SERGIO "/>
    <s v="CLAUDIO "/>
  </r>
  <r>
    <x v="1"/>
    <s v="GO"/>
    <s v="0101"/>
    <n v="10"/>
    <x v="0"/>
    <s v="11026739P1007"/>
    <s v="NEO700 I2X"/>
    <s v="C2"/>
    <s v="P1"/>
    <s v="C2"/>
    <s v="P1"/>
    <s v="BG"/>
    <n v="30"/>
    <n v="790"/>
    <s v="C2"/>
    <n v="790"/>
    <n v="30"/>
    <s v="Cam.C"/>
    <s v="QD.35"/>
    <s v="F2"/>
    <s v="SIM"/>
    <n v="1"/>
    <d v="2026-07-29T00:00:00"/>
    <x v="3"/>
    <s v="SAMUEL"/>
    <s v="SERGIO "/>
    <s v="CLAUDIO "/>
  </r>
  <r>
    <x v="1"/>
    <s v="GO"/>
    <s v="0101"/>
    <n v="10"/>
    <x v="0"/>
    <s v="11026739P2008"/>
    <s v="NEO700 I2X"/>
    <s v="C2"/>
    <s v="P2"/>
    <s v="C2"/>
    <s v="P2"/>
    <s v="BG"/>
    <n v="27"/>
    <n v="946"/>
    <s v="C2"/>
    <n v="946"/>
    <n v="27"/>
    <s v="Cam.C"/>
    <s v="QD.34"/>
    <s v="F2"/>
    <s v="SIM"/>
    <n v="1"/>
    <d v="2026-07-29T00:00:00"/>
    <x v="3"/>
    <s v="SAMUEL"/>
    <s v="SERGIO "/>
    <s v="CLAUDIO "/>
  </r>
  <r>
    <x v="1"/>
    <s v="GO"/>
    <s v="0101"/>
    <n v="10"/>
    <x v="0"/>
    <s v="11026739P1009"/>
    <s v="NEO700 I2X"/>
    <s v="C2"/>
    <s v="P1"/>
    <s v="C2"/>
    <s v="P1"/>
    <s v="BG"/>
    <n v="30"/>
    <n v="791"/>
    <s v="C2"/>
    <n v="791"/>
    <n v="30"/>
    <s v="Cam.C"/>
    <s v="QD.35"/>
    <s v="F3"/>
    <s v="SIM"/>
    <n v="1"/>
    <d v="2026-07-29T00:00:00"/>
    <x v="3"/>
    <s v="SAMUEL"/>
    <s v="SERGIO "/>
    <s v="CLAUDIO "/>
  </r>
  <r>
    <x v="1"/>
    <s v="GO"/>
    <s v="0101"/>
    <n v="10"/>
    <x v="0"/>
    <s v="11026739P1010"/>
    <s v="NEO700 I2X"/>
    <s v="C2"/>
    <s v="P1"/>
    <s v="C2"/>
    <s v="P1"/>
    <s v="BG"/>
    <n v="30"/>
    <n v="790"/>
    <s v="C2"/>
    <n v="790"/>
    <n v="30"/>
    <s v="Cam.C"/>
    <s v="QD.35"/>
    <s v="F4"/>
    <s v="SIM"/>
    <n v="1"/>
    <d v="2026-07-29T00:00:00"/>
    <x v="3"/>
    <s v="SAMUEL"/>
    <s v="SERGIO "/>
    <s v="CLAUDIO "/>
  </r>
  <r>
    <x v="1"/>
    <s v="GO"/>
    <s v="0101"/>
    <n v="10"/>
    <x v="0"/>
    <s v="11026739P2011"/>
    <s v="NEO700 I2X"/>
    <s v="C2"/>
    <s v="P2"/>
    <s v="C2"/>
    <s v="P2"/>
    <s v="BG"/>
    <n v="27"/>
    <n v="955"/>
    <s v="C2"/>
    <n v="955"/>
    <n v="27"/>
    <s v="Cam.C"/>
    <s v="QD.34"/>
    <s v="F3"/>
    <s v="SIM"/>
    <n v="1"/>
    <d v="2026-07-29T00:00:00"/>
    <x v="3"/>
    <s v="SAMUEL"/>
    <s v="SERGIO "/>
    <s v="CLAUDIO "/>
  </r>
  <r>
    <x v="1"/>
    <s v="GO"/>
    <s v="0101"/>
    <n v="10"/>
    <x v="0"/>
    <s v="11026739P1012"/>
    <s v="NEO700 I2X"/>
    <s v="C2"/>
    <s v="P1"/>
    <s v="C2"/>
    <s v="P1"/>
    <s v="BG"/>
    <n v="30"/>
    <n v="775"/>
    <s v="C2"/>
    <n v="775"/>
    <n v="30"/>
    <s v="Cam.C"/>
    <s v="QD.33"/>
    <s v="F1"/>
    <s v="SIM"/>
    <n v="1"/>
    <d v="2026-07-29T00:00:00"/>
    <x v="3"/>
    <s v="SAMUEL"/>
    <s v="SERGIO "/>
    <s v="CLAUDIO "/>
  </r>
  <r>
    <x v="1"/>
    <s v="GO"/>
    <s v="0101"/>
    <n v="10"/>
    <x v="0"/>
    <s v="11026739P2013"/>
    <s v="NEO700 I2X"/>
    <s v="C2"/>
    <s v="P2"/>
    <s v="C2"/>
    <s v="P2"/>
    <s v="BG"/>
    <n v="27"/>
    <n v="964"/>
    <s v="C2"/>
    <n v="964"/>
    <n v="27"/>
    <s v="Cam.C"/>
    <s v="QD.34"/>
    <s v="F4"/>
    <s v="SIM"/>
    <n v="1"/>
    <d v="2026-07-29T00:00:00"/>
    <x v="3"/>
    <s v="SAMUEL"/>
    <s v="SERGIO "/>
    <s v="CLAUDIO "/>
  </r>
  <r>
    <x v="1"/>
    <s v="GO"/>
    <s v="0101"/>
    <n v="10"/>
    <x v="0"/>
    <s v="11026739P1014"/>
    <s v="NEO700 I2X"/>
    <s v="C2"/>
    <s v="P1"/>
    <s v="C2"/>
    <s v="P1"/>
    <s v="BG"/>
    <n v="30"/>
    <n v="800"/>
    <s v="C2"/>
    <n v="800"/>
    <n v="30"/>
    <s v="Cam.C"/>
    <s v="QD.37"/>
    <s v="F4"/>
    <s v="SIM"/>
    <n v="1"/>
    <d v="2026-07-29T00:00:00"/>
    <x v="3"/>
    <s v="SAMUEL"/>
    <s v="SERGIO "/>
    <s v="CLAUDIO "/>
  </r>
  <r>
    <x v="1"/>
    <s v="GO"/>
    <s v="0101"/>
    <n v="10"/>
    <x v="0"/>
    <s v="11026739P1015"/>
    <s v="NEO700 I2X"/>
    <s v="C2"/>
    <s v="P1"/>
    <s v="C2"/>
    <s v="P1"/>
    <s v="BG"/>
    <n v="30"/>
    <n v="787"/>
    <s v="C2"/>
    <n v="787"/>
    <n v="30"/>
    <s v="Cam.C"/>
    <s v="QD.33"/>
    <s v="F2"/>
    <s v="SIM"/>
    <n v="1"/>
    <d v="2026-07-29T00:00:00"/>
    <x v="3"/>
    <s v="SAMUEL"/>
    <s v="SERGIO "/>
    <s v="CLAUDIO "/>
  </r>
  <r>
    <x v="1"/>
    <s v="GO"/>
    <s v="0101"/>
    <n v="10"/>
    <x v="0"/>
    <s v="11026739P1018"/>
    <s v="NEO700 I2X"/>
    <s v="C2"/>
    <s v="P1"/>
    <s v="C2"/>
    <s v="P1"/>
    <s v="BG"/>
    <n v="30"/>
    <n v="804"/>
    <s v="C2"/>
    <n v="804"/>
    <n v="30"/>
    <s v="Cam.C"/>
    <s v="QD.31"/>
    <s v="F1"/>
    <s v="SIM"/>
    <n v="1"/>
    <d v="2026-07-29T00:00:00"/>
    <x v="3"/>
    <s v="SAMUEL"/>
    <s v="SERGIO "/>
    <s v="CLAUDIO "/>
  </r>
  <r>
    <x v="1"/>
    <s v="GO"/>
    <s v="0101"/>
    <n v="10"/>
    <x v="0"/>
    <s v="11026739P2019"/>
    <s v="NEO700 I2X"/>
    <s v="C2"/>
    <s v="P2"/>
    <s v="C2"/>
    <s v="P2"/>
    <s v="BG"/>
    <n v="27"/>
    <n v="973"/>
    <s v="C2"/>
    <n v="973"/>
    <n v="27"/>
    <s v="Cam.C"/>
    <s v="QD.32"/>
    <s v="F2"/>
    <s v="SIM"/>
    <n v="1"/>
    <d v="2026-07-29T00:00:00"/>
    <x v="3"/>
    <s v="SAMUEL"/>
    <s v="SERGIO "/>
    <s v="CLAUDIO "/>
  </r>
  <r>
    <x v="1"/>
    <s v="GO"/>
    <s v="0101"/>
    <n v="10"/>
    <x v="0"/>
    <s v="11026739P2016"/>
    <s v="NEO700 I2X"/>
    <s v="C2"/>
    <s v="P2"/>
    <s v="C2"/>
    <s v="P2"/>
    <s v="BG"/>
    <n v="27"/>
    <n v="949"/>
    <s v="C2"/>
    <n v="949"/>
    <n v="27"/>
    <s v="Cam.C"/>
    <s v="QD.32"/>
    <s v="F1"/>
    <s v="SIM"/>
    <n v="1"/>
    <d v="2026-07-29T00:00:00"/>
    <x v="3"/>
    <s v="SAMUEL"/>
    <s v="SERGIO "/>
    <s v="CLAUDIO "/>
  </r>
  <r>
    <x v="1"/>
    <s v="GO"/>
    <s v="0101"/>
    <n v="10"/>
    <x v="0"/>
    <s v="11026739P1017"/>
    <s v="NEO700 I2X"/>
    <s v="C2"/>
    <s v="P1"/>
    <s v="C2"/>
    <s v="P1"/>
    <s v="BG"/>
    <n v="0"/>
    <n v="798"/>
    <s v="C2"/>
    <s v="-"/>
    <n v="0"/>
    <s v="-"/>
    <s v="-"/>
    <s v="-"/>
    <s v="SIM"/>
    <n v="0"/>
    <d v="2026-07-29T00:00:00"/>
    <x v="3"/>
    <s v="SAMUEL"/>
    <s v="SERGIO "/>
    <s v="CLAUDIO "/>
  </r>
  <r>
    <x v="1"/>
    <s v="GO"/>
    <s v="0101"/>
    <n v="10"/>
    <x v="0"/>
    <s v="11026739P2020"/>
    <s v="NEO700 I2X"/>
    <s v="C2"/>
    <s v="P2"/>
    <s v="C2"/>
    <s v="P2"/>
    <s v="BG"/>
    <n v="27"/>
    <n v="998"/>
    <s v="C2"/>
    <n v="998"/>
    <n v="27"/>
    <s v="Cam.C"/>
    <s v="QD.28"/>
    <s v="F4"/>
    <s v="SIM"/>
    <n v="1"/>
    <d v="2026-07-29T00:00:00"/>
    <x v="3"/>
    <s v="SAMUEL"/>
    <s v="SERGIO "/>
    <s v="CLAUDIO "/>
  </r>
  <r>
    <x v="1"/>
    <s v="GO"/>
    <s v="0101"/>
    <n v="10"/>
    <x v="0"/>
    <s v="11026739P1021"/>
    <s v="NEO700 I2X"/>
    <s v="C2"/>
    <s v="P1"/>
    <s v="C2"/>
    <s v="P1"/>
    <s v="BG"/>
    <n v="0"/>
    <n v="825"/>
    <s v="C2"/>
    <s v="-"/>
    <n v="0"/>
    <s v="-"/>
    <s v="-"/>
    <s v="-"/>
    <s v="SIM"/>
    <n v="0"/>
    <d v="2026-07-29T00:00:00"/>
    <x v="3"/>
    <s v="SAMUEL"/>
    <s v="SERGIO "/>
    <s v="CLAUDIO "/>
  </r>
  <r>
    <x v="1"/>
    <s v="GO"/>
    <s v="0101"/>
    <n v="10"/>
    <x v="0"/>
    <s v="11026739P2022"/>
    <s v="NEO700 I2X"/>
    <s v="C2"/>
    <s v="P2"/>
    <s v="C2"/>
    <s v="P2"/>
    <s v="BG"/>
    <n v="27"/>
    <n v="969"/>
    <s v="C2"/>
    <n v="969"/>
    <n v="27"/>
    <s v="Cam.C"/>
    <s v="QD.27"/>
    <s v="F4"/>
    <s v="SIM"/>
    <n v="1"/>
    <d v="2026-07-29T00:00:00"/>
    <x v="3"/>
    <s v="SAMUEL"/>
    <s v="SERGIO "/>
    <s v="CLAUDIO "/>
  </r>
  <r>
    <x v="1"/>
    <s v="GO"/>
    <s v="0101"/>
    <n v="10"/>
    <x v="0"/>
    <s v="11026739P1023"/>
    <s v="NEO700 I2X"/>
    <s v="C2"/>
    <s v="P1"/>
    <s v="C2"/>
    <s v="P1"/>
    <s v="BG"/>
    <n v="30"/>
    <n v="813"/>
    <s v="C2"/>
    <n v="813"/>
    <n v="30"/>
    <s v="Cam.C"/>
    <s v="QD.31"/>
    <s v="F2"/>
    <s v="SIM"/>
    <n v="1"/>
    <d v="2026-07-29T00:00:00"/>
    <x v="3"/>
    <s v="SAMUEL"/>
    <s v="SERGIO "/>
    <s v="CLAUDIO "/>
  </r>
  <r>
    <x v="1"/>
    <s v="GO"/>
    <s v="0101"/>
    <n v="10"/>
    <x v="0"/>
    <s v="11026739P2024"/>
    <s v="NEO700 I2X"/>
    <s v="C2"/>
    <s v="P2"/>
    <s v="C2"/>
    <s v="P2"/>
    <s v="BG"/>
    <n v="27"/>
    <n v="964"/>
    <s v="C2"/>
    <n v="964"/>
    <n v="27"/>
    <s v="Cam.C"/>
    <s v="QD.30"/>
    <s v="F3"/>
    <s v="SIM"/>
    <n v="1"/>
    <d v="2026-07-29T00:00:00"/>
    <x v="3"/>
    <s v="SAMUEL"/>
    <s v="SERGIO "/>
    <s v="CLAUDIO "/>
  </r>
  <r>
    <x v="1"/>
    <s v="GO"/>
    <s v="0101"/>
    <n v="10"/>
    <x v="0"/>
    <s v="11026739P1025"/>
    <s v="NEO700 I2X"/>
    <s v="C2"/>
    <s v="P1"/>
    <s v="C2"/>
    <s v="P1"/>
    <s v="BG"/>
    <n v="30"/>
    <n v="806"/>
    <s v="C2"/>
    <n v="806"/>
    <n v="30"/>
    <s v="Cam.C"/>
    <s v="QD.31"/>
    <s v="F3"/>
    <s v="SIM"/>
    <n v="1"/>
    <d v="2026-07-29T00:00:00"/>
    <x v="3"/>
    <s v="SAMUEL"/>
    <s v="SERGIO "/>
    <s v="CLAUDIO "/>
  </r>
  <r>
    <x v="1"/>
    <s v="GO"/>
    <s v="0101"/>
    <n v="10"/>
    <x v="0"/>
    <s v="11026739P2026"/>
    <s v="NEO700 I2X"/>
    <s v="C2"/>
    <s v="P2"/>
    <s v="C2"/>
    <s v="P2"/>
    <s v="BG"/>
    <n v="27"/>
    <n v="956"/>
    <s v="C2"/>
    <n v="956"/>
    <n v="27"/>
    <s v="Cam.C"/>
    <s v="QD.30"/>
    <s v="F1"/>
    <s v="SIM"/>
    <n v="1"/>
    <d v="2026-07-29T00:00:00"/>
    <x v="3"/>
    <s v="SAMUEL"/>
    <s v="SERGIO "/>
    <s v="CLAUDIO "/>
  </r>
  <r>
    <x v="1"/>
    <s v="GO"/>
    <s v="0101"/>
    <n v="10"/>
    <x v="0"/>
    <s v="11026739P2027"/>
    <s v="NEO700 I2X"/>
    <s v="C2"/>
    <s v="P2"/>
    <s v="C2"/>
    <s v="P2"/>
    <s v="BG"/>
    <n v="27"/>
    <n v="963"/>
    <s v="C2"/>
    <n v="963"/>
    <n v="27"/>
    <s v="Cam.C"/>
    <s v="QD.30"/>
    <s v="F2"/>
    <s v="SIM"/>
    <n v="1"/>
    <d v="2026-07-29T00:00:00"/>
    <x v="3"/>
    <s v="SAMUEL"/>
    <s v="SERGIO "/>
    <s v="CLAUDIO "/>
  </r>
  <r>
    <x v="1"/>
    <s v="GO"/>
    <s v="0101"/>
    <n v="10"/>
    <x v="0"/>
    <s v="11026739P1028"/>
    <s v="NEO700 I2X"/>
    <s v="C2"/>
    <s v="P1"/>
    <s v="C2"/>
    <s v="P1"/>
    <s v="BG"/>
    <n v="30"/>
    <n v="805"/>
    <s v="C2"/>
    <n v="805"/>
    <n v="30"/>
    <s v="Cam.C"/>
    <s v="QD.31"/>
    <s v="F4"/>
    <s v="SIM"/>
    <n v="1"/>
    <d v="2026-07-29T00:00:00"/>
    <x v="3"/>
    <s v="SAMUEL"/>
    <s v="SERGIO "/>
    <s v="CLAUDIO "/>
  </r>
  <r>
    <x v="1"/>
    <s v="GO"/>
    <s v="0101"/>
    <n v="10"/>
    <x v="0"/>
    <s v="11026739P2029"/>
    <s v="NEO700 I2X"/>
    <s v="C2"/>
    <s v="P2"/>
    <s v="C2"/>
    <s v="P2"/>
    <s v="BG"/>
    <n v="27"/>
    <n v="958"/>
    <s v="C2"/>
    <n v="958"/>
    <n v="27"/>
    <s v="Cam.C"/>
    <s v="QD.30"/>
    <s v="F4"/>
    <s v="SIM"/>
    <n v="1"/>
    <d v="2026-07-29T00:00:00"/>
    <x v="3"/>
    <s v="SAMUEL"/>
    <s v="SERGIO "/>
    <s v="CLAUDIO "/>
  </r>
  <r>
    <x v="1"/>
    <s v="GO"/>
    <s v="0101"/>
    <n v="10"/>
    <x v="0"/>
    <s v="11026739P1030"/>
    <s v="NEO700 I2X"/>
    <s v="C2"/>
    <s v="P1"/>
    <s v="C2"/>
    <s v="P1"/>
    <s v="BG"/>
    <n v="30"/>
    <n v="803"/>
    <s v="C2"/>
    <n v="803"/>
    <n v="30"/>
    <s v="Cam.C"/>
    <s v="QD.33"/>
    <s v="F4"/>
    <s v="SIM"/>
    <n v="1"/>
    <d v="2026-07-29T00:00:00"/>
    <x v="3"/>
    <s v="SAMUEL"/>
    <s v="SERGIO "/>
    <s v="CLAUDIO "/>
  </r>
  <r>
    <x v="1"/>
    <s v="GO"/>
    <s v="0101"/>
    <n v="10"/>
    <x v="0"/>
    <s v="11026739P2031"/>
    <s v="NEO700 I2X"/>
    <s v="C2"/>
    <s v="P2"/>
    <s v="C2"/>
    <s v="P2"/>
    <s v="BG"/>
    <n v="27"/>
    <n v="940"/>
    <s v="C2"/>
    <n v="940"/>
    <n v="27"/>
    <s v="Cam.C"/>
    <s v="QD.27"/>
    <s v="F1"/>
    <s v="SIM"/>
    <n v="1"/>
    <d v="2026-07-29T00:00:00"/>
    <x v="3"/>
    <s v="SAMUEL"/>
    <s v="SERGIO "/>
    <s v="CLAUDIO "/>
  </r>
  <r>
    <x v="1"/>
    <s v="GO"/>
    <s v="0101"/>
    <n v="10"/>
    <x v="0"/>
    <s v="11026739P2032"/>
    <s v="NEO700 I2X"/>
    <s v="C2"/>
    <s v="P2"/>
    <s v="C2"/>
    <s v="P2"/>
    <s v="BG"/>
    <n v="27"/>
    <n v="956"/>
    <s v="C2"/>
    <n v="956"/>
    <n v="27"/>
    <s v="Cam.C"/>
    <s v="QD.27"/>
    <s v="F2"/>
    <s v="SIM"/>
    <n v="1"/>
    <d v="2026-07-29T00:00:00"/>
    <x v="3"/>
    <s v="SAMUEL"/>
    <s v="SERGIO "/>
    <s v="CLAUDIO "/>
  </r>
  <r>
    <x v="1"/>
    <s v="GO"/>
    <s v="0101"/>
    <n v="10"/>
    <x v="0"/>
    <s v="11026739P1033"/>
    <s v="NEO700 I2X"/>
    <s v="C2"/>
    <s v="P1"/>
    <s v="C2"/>
    <s v="P1"/>
    <s v="BG"/>
    <n v="30"/>
    <n v="829"/>
    <s v="C2"/>
    <n v="829"/>
    <n v="30"/>
    <s v="Cam.C"/>
    <s v="QD.15"/>
    <s v="F3"/>
    <s v="SIM"/>
    <n v="1"/>
    <d v="2026-07-29T00:00:00"/>
    <x v="3"/>
    <s v="SAMUEL"/>
    <s v="SERGIO "/>
    <s v="CLAUDIO "/>
  </r>
  <r>
    <x v="1"/>
    <s v="GO"/>
    <s v="0101"/>
    <n v="10"/>
    <x v="0"/>
    <s v="11026739P2034"/>
    <s v="NEO700 I2X"/>
    <s v="C2"/>
    <s v="P2"/>
    <s v="C2"/>
    <s v="P2"/>
    <s v="BG"/>
    <n v="27"/>
    <n v="937"/>
    <s v="C2"/>
    <n v="937"/>
    <n v="27"/>
    <s v="Cam.C"/>
    <s v="QD.27"/>
    <s v="F3"/>
    <s v="SIM"/>
    <n v="1"/>
    <d v="2026-07-29T00:00:00"/>
    <x v="3"/>
    <s v="SAMUEL"/>
    <s v="SERGIO "/>
    <s v="CLAUDIO "/>
  </r>
  <r>
    <x v="1"/>
    <s v="GO"/>
    <s v="0101"/>
    <n v="10"/>
    <x v="0"/>
    <s v="11026739P1035"/>
    <s v="NEO700 I2X"/>
    <s v="C2"/>
    <s v="P1"/>
    <s v="C2"/>
    <s v="P1"/>
    <s v="BG"/>
    <n v="30"/>
    <n v="782"/>
    <s v="C2"/>
    <n v="782"/>
    <n v="30"/>
    <s v="Cam.C"/>
    <s v="QD.33"/>
    <s v="F3"/>
    <s v="SIM"/>
    <n v="1"/>
    <d v="2026-07-29T00:00:00"/>
    <x v="3"/>
    <s v="SAMUEL"/>
    <s v="SERGIO "/>
    <s v="CLAUDIO "/>
  </r>
  <r>
    <x v="1"/>
    <s v="GO"/>
    <s v="0101"/>
    <n v="10"/>
    <x v="0"/>
    <s v="11026739P1036"/>
    <s v="NEO700 I2X"/>
    <s v="C2"/>
    <s v="P1"/>
    <s v="C2"/>
    <s v="P1"/>
    <s v="BG"/>
    <n v="30"/>
    <n v="782"/>
    <s v="C2"/>
    <n v="782"/>
    <n v="30"/>
    <s v="Cam.C"/>
    <s v="QD.15"/>
    <s v="F2"/>
    <s v="SIM"/>
    <n v="1"/>
    <d v="2026-07-29T00:00:00"/>
    <x v="3"/>
    <s v="SAMUEL"/>
    <s v="SERGIO "/>
    <s v="CLAUDIO "/>
  </r>
  <r>
    <x v="1"/>
    <s v="GO"/>
    <s v="0101"/>
    <n v="10"/>
    <x v="0"/>
    <s v="11026739P2037"/>
    <s v="NEO700 I2X"/>
    <s v="C2"/>
    <s v="P2"/>
    <s v="C2"/>
    <s v="P2"/>
    <s v="BG"/>
    <n v="27"/>
    <n v="931"/>
    <s v="C2"/>
    <n v="931"/>
    <n v="27"/>
    <s v="Cam.C"/>
    <s v="QD.32"/>
    <s v="F3"/>
    <s v="SIM"/>
    <n v="1"/>
    <d v="2026-07-29T00:00:00"/>
    <x v="3"/>
    <s v="SAMUEL"/>
    <s v="SERGIO "/>
    <s v="CLAUDIO "/>
  </r>
  <r>
    <x v="1"/>
    <s v="GO"/>
    <s v="0101"/>
    <n v="10"/>
    <x v="0"/>
    <s v="11026739P1038"/>
    <s v="NEO700 I2X"/>
    <s v="C2"/>
    <s v="P1"/>
    <s v="C2"/>
    <s v="P1"/>
    <s v="BG"/>
    <n v="21"/>
    <n v="793"/>
    <s v="C2"/>
    <n v="793"/>
    <n v="21"/>
    <s v="Cam.C"/>
    <s v="QD.26"/>
    <s v="F1"/>
    <s v="SIM"/>
    <n v="1"/>
    <d v="2026-07-29T00:00:00"/>
    <x v="3"/>
    <s v="SAMUEL"/>
    <s v="SERGIO "/>
    <s v="CLAUDIO "/>
  </r>
  <r>
    <x v="1"/>
    <s v="GO"/>
    <s v="0101"/>
    <n v="10"/>
    <x v="0"/>
    <s v="11026739P2039"/>
    <s v="NEO700 I2X"/>
    <s v="C2"/>
    <s v="P2"/>
    <s v="C2"/>
    <s v="P2"/>
    <s v="BG"/>
    <n v="27"/>
    <n v="948"/>
    <s v="C2"/>
    <n v="948"/>
    <n v="27"/>
    <s v="Cam.C"/>
    <s v="QD.25"/>
    <s v="F1"/>
    <s v="SIM"/>
    <n v="1"/>
    <d v="2026-07-29T00:00:00"/>
    <x v="3"/>
    <s v="SAMUEL"/>
    <s v="SERGIO "/>
    <s v="CLAUDIO "/>
  </r>
  <r>
    <x v="1"/>
    <s v="GO"/>
    <s v="0101"/>
    <n v="10"/>
    <x v="0"/>
    <s v="11026739P2040"/>
    <s v="NEO700 I2X"/>
    <s v="C2"/>
    <s v="P2"/>
    <s v="C2"/>
    <s v="P2"/>
    <s v="BG"/>
    <n v="27"/>
    <n v="950"/>
    <s v="C2"/>
    <n v="950"/>
    <n v="27"/>
    <s v="Cam.C"/>
    <s v="QD.25"/>
    <s v="F2"/>
    <s v="SIM"/>
    <n v="1"/>
    <d v="2026-07-29T00:00:00"/>
    <x v="3"/>
    <s v="SAMUEL"/>
    <s v="SERGIO "/>
    <s v="CLAUDIO "/>
  </r>
  <r>
    <x v="1"/>
    <s v="GO"/>
    <s v="0101"/>
    <n v="10"/>
    <x v="0"/>
    <s v="11026739P1041"/>
    <s v="NEO700 I2X"/>
    <s v="C2"/>
    <s v="P1"/>
    <s v="C2"/>
    <s v="P1"/>
    <s v="BG"/>
    <n v="30"/>
    <n v="814"/>
    <s v="C2"/>
    <n v="814"/>
    <n v="30"/>
    <s v="Cam.C"/>
    <s v="QD.04"/>
    <s v="F2"/>
    <s v="SIM"/>
    <n v="1"/>
    <d v="2026-07-29T00:00:00"/>
    <x v="3"/>
    <s v="SAMUEL"/>
    <s v="SERGIO "/>
    <s v="CLAUDIO "/>
  </r>
  <r>
    <x v="1"/>
    <s v="GO"/>
    <s v="0101"/>
    <n v="10"/>
    <x v="0"/>
    <s v="11026739P2042"/>
    <s v="NEO700 I2X"/>
    <s v="C2"/>
    <s v="P2"/>
    <s v="C2"/>
    <s v="P2"/>
    <s v="BG"/>
    <n v="27"/>
    <n v="981"/>
    <s v="C2"/>
    <n v="981"/>
    <n v="27"/>
    <s v="Cam.C"/>
    <s v="QD.25"/>
    <s v="F3"/>
    <s v="SIM"/>
    <n v="1"/>
    <d v="2026-07-29T00:00:00"/>
    <x v="3"/>
    <s v="SAMUEL"/>
    <s v="SERGIO "/>
    <s v="CLAUDIO "/>
  </r>
  <r>
    <x v="1"/>
    <s v="GO"/>
    <s v="0101"/>
    <n v="10"/>
    <x v="0"/>
    <s v="11026739P1043"/>
    <s v="NEO700 I2X"/>
    <s v="C2"/>
    <s v="P1"/>
    <s v="C2"/>
    <s v="P1"/>
    <s v="BG"/>
    <n v="30"/>
    <n v="820"/>
    <s v="C2"/>
    <n v="820"/>
    <n v="30"/>
    <s v="Cam.C"/>
    <s v="QD.04"/>
    <s v="F1"/>
    <s v="SIM"/>
    <n v="1"/>
    <d v="2026-07-29T00:00:00"/>
    <x v="3"/>
    <s v="SAMUEL"/>
    <s v="SERGIO "/>
    <s v="CLAUDIO "/>
  </r>
  <r>
    <x v="1"/>
    <s v="GO"/>
    <s v="0101"/>
    <n v="10"/>
    <x v="0"/>
    <s v="11026739P2044"/>
    <s v="NEO700 I2X"/>
    <s v="C2"/>
    <s v="P2"/>
    <s v="C2"/>
    <s v="P2"/>
    <s v="BG"/>
    <n v="17"/>
    <n v="977"/>
    <s v="C2"/>
    <n v="977"/>
    <n v="17"/>
    <s v="Cam.C"/>
    <s v="QD.25"/>
    <s v="F4"/>
    <s v="SIM"/>
    <n v="1"/>
    <d v="2026-07-29T00:00:00"/>
    <x v="3"/>
    <s v="SAMUEL"/>
    <s v="SERGIO "/>
    <s v="CLAUDIO "/>
  </r>
  <r>
    <x v="1"/>
    <s v="GO"/>
    <s v="0101"/>
    <n v="10"/>
    <x v="0"/>
    <s v="11026740P2045"/>
    <s v="NEO771 I2X"/>
    <s v="C2"/>
    <s v="P2"/>
    <s v="C2"/>
    <s v="P2"/>
    <s v="BG"/>
    <n v="30"/>
    <n v="834"/>
    <s v="C2"/>
    <n v="834"/>
    <n v="30"/>
    <s v="Cam.A"/>
    <s v="QD.42"/>
    <s v="F2"/>
    <s v="SIM"/>
    <n v="1"/>
    <d v="2026-07-29T00:00:00"/>
    <x v="3"/>
    <s v="SAMUEL"/>
    <s v="SERGIO "/>
    <s v="CLAUDIO "/>
  </r>
  <r>
    <x v="1"/>
    <s v="GO"/>
    <s v="0101"/>
    <n v="10"/>
    <x v="0"/>
    <s v="11026740P1046"/>
    <s v="NEO771 I2X"/>
    <s v="C2"/>
    <s v="P1"/>
    <s v="C2"/>
    <s v="P1"/>
    <s v="BG"/>
    <n v="30"/>
    <n v="684"/>
    <s v="C2"/>
    <n v="684"/>
    <n v="30"/>
    <s v="Cam.A"/>
    <s v="QD.02"/>
    <s v=" F1 "/>
    <s v="SIM"/>
    <n v="1"/>
    <d v="2026-07-29T00:00:00"/>
    <x v="3"/>
    <s v="SAMUEL"/>
    <s v="SERGIO "/>
    <s v="CLAUDIO "/>
  </r>
  <r>
    <x v="1"/>
    <s v="GO"/>
    <s v="0101"/>
    <n v="10"/>
    <x v="0"/>
    <s v="11026740P2047"/>
    <s v="NEO771 I2X"/>
    <s v="C2"/>
    <s v="P2"/>
    <s v="C2"/>
    <s v="P2"/>
    <s v="BG"/>
    <n v="30"/>
    <n v="856"/>
    <s v="C2"/>
    <n v="856"/>
    <n v="30"/>
    <s v="Cam.A"/>
    <s v="QD.01"/>
    <s v="F1"/>
    <s v="SIM"/>
    <n v="1"/>
    <d v="2026-07-29T00:00:00"/>
    <x v="3"/>
    <s v="SAMUEL"/>
    <s v="SERGIO "/>
    <s v="CLAUDIO "/>
  </r>
  <r>
    <x v="1"/>
    <s v="GO"/>
    <s v="0101"/>
    <n v="10"/>
    <x v="0"/>
    <s v="11026740P1048"/>
    <s v="NEO771 I2X"/>
    <s v="C2"/>
    <s v="P1"/>
    <s v="C2"/>
    <s v="P1"/>
    <s v="BG"/>
    <n v="30"/>
    <n v="693"/>
    <s v="C2"/>
    <n v="693"/>
    <n v="30"/>
    <s v="Cam.A"/>
    <s v=" QD.07 "/>
    <s v="F2"/>
    <s v="SIM"/>
    <n v="1"/>
    <d v="2026-07-29T00:00:00"/>
    <x v="3"/>
    <s v="SAMUEL"/>
    <s v="SERGIO "/>
    <s v="CLAUDIO "/>
  </r>
  <r>
    <x v="1"/>
    <s v="GO"/>
    <s v="0101"/>
    <n v="10"/>
    <x v="0"/>
    <s v="11026740P2049"/>
    <s v="NEO771 I2X"/>
    <s v="C2"/>
    <s v="P2"/>
    <s v="C2"/>
    <s v="P2"/>
    <s v="BG"/>
    <n v="30"/>
    <n v="872"/>
    <s v="C2"/>
    <n v="872"/>
    <n v="30"/>
    <s v="Cam.A"/>
    <s v="QD.01"/>
    <s v="F2"/>
    <s v="SIM"/>
    <n v="1"/>
    <d v="2026-07-29T00:00:00"/>
    <x v="3"/>
    <s v="SAMUEL"/>
    <s v="SERGIO "/>
    <s v="CLAUDIO "/>
  </r>
  <r>
    <x v="1"/>
    <s v="GO"/>
    <s v="0101"/>
    <n v="10"/>
    <x v="0"/>
    <s v="11026740P1050"/>
    <s v="NEO771 I2X"/>
    <s v="C2"/>
    <s v="P1"/>
    <s v="C2"/>
    <s v="P1"/>
    <s v="BG"/>
    <n v="30"/>
    <n v="697"/>
    <s v="C2"/>
    <n v="697"/>
    <n v="30"/>
    <s v="Cam.C"/>
    <s v="QD.06"/>
    <s v="F4"/>
    <s v="SIM"/>
    <n v="1"/>
    <d v="2026-07-29T00:00:00"/>
    <x v="3"/>
    <s v="SAMUEL"/>
    <s v="SERGIO "/>
    <s v="CLAUDIO "/>
  </r>
  <r>
    <x v="1"/>
    <s v="GO"/>
    <s v="0101"/>
    <n v="10"/>
    <x v="0"/>
    <s v="11026740P2051"/>
    <s v="NEO771 I2X"/>
    <s v="C2"/>
    <s v="P2"/>
    <s v="C2"/>
    <s v="P2"/>
    <s v="BG"/>
    <n v="30"/>
    <n v="876"/>
    <s v="C2"/>
    <n v="876"/>
    <n v="30"/>
    <s v="Cam.A"/>
    <s v="QD.02"/>
    <s v="F2"/>
    <s v="SIM"/>
    <n v="1"/>
    <d v="2026-07-29T00:00:00"/>
    <x v="3"/>
    <s v="SAMUEL"/>
    <s v="SERGIO "/>
    <s v="CLAUDIO "/>
  </r>
  <r>
    <x v="1"/>
    <s v="GO"/>
    <s v="0101"/>
    <n v="10"/>
    <x v="0"/>
    <s v="11026740P1052"/>
    <s v="NEO771 I2X"/>
    <s v="C2"/>
    <s v="P1"/>
    <s v="C2"/>
    <s v="P1"/>
    <s v="BG"/>
    <n v="30"/>
    <n v="696"/>
    <s v="C2"/>
    <n v="696"/>
    <n v="30"/>
    <s v="Cam.A"/>
    <s v=" QD.01 "/>
    <s v="F4"/>
    <s v="SIM"/>
    <n v="1"/>
    <d v="2026-07-29T00:00:00"/>
    <x v="3"/>
    <s v="SAMUEL"/>
    <s v="SERGIO "/>
    <s v="CLAUDIO "/>
  </r>
  <r>
    <x v="1"/>
    <s v="GO"/>
    <s v="0101"/>
    <n v="10"/>
    <x v="0"/>
    <s v="11026740P2053"/>
    <s v="NEO771 I2X"/>
    <s v="C2"/>
    <s v="P2"/>
    <s v="C2"/>
    <s v="P2"/>
    <s v="BG"/>
    <n v="30"/>
    <n v="852"/>
    <s v="C2"/>
    <n v="852"/>
    <n v="30"/>
    <s v="Cam.A"/>
    <s v="QD.02"/>
    <s v="F3"/>
    <s v="SIM"/>
    <n v="1"/>
    <d v="2026-07-29T00:00:00"/>
    <x v="3"/>
    <s v="SAMUEL"/>
    <s v="SERGIO "/>
    <s v="CLAUDIO "/>
  </r>
  <r>
    <x v="1"/>
    <s v="GO"/>
    <s v="0101"/>
    <n v="10"/>
    <x v="0"/>
    <s v="11026740P1054"/>
    <s v="NEO771 I2X"/>
    <s v="C2"/>
    <s v="P1"/>
    <s v="C2"/>
    <s v="P1"/>
    <s v="BG"/>
    <n v="30"/>
    <n v="698"/>
    <s v="C2"/>
    <n v="698"/>
    <n v="30"/>
    <s v="Cam.A"/>
    <s v="QD.01"/>
    <s v="F3"/>
    <s v="SIM"/>
    <n v="1"/>
    <d v="2026-07-29T00:00:00"/>
    <x v="3"/>
    <s v="SAMUEL"/>
    <s v="SERGIO "/>
    <s v="CLAUDIO "/>
  </r>
  <r>
    <x v="1"/>
    <s v="GO"/>
    <s v="0101"/>
    <n v="10"/>
    <x v="0"/>
    <s v="11026740P2055"/>
    <s v="NEO771 I2X"/>
    <s v="C2"/>
    <s v="P2"/>
    <s v="C2"/>
    <s v="P2"/>
    <s v="BG"/>
    <n v="30"/>
    <n v="854"/>
    <s v="C2"/>
    <n v="854"/>
    <n v="30"/>
    <s v="Cam.B"/>
    <s v="QD.01"/>
    <s v="F4"/>
    <s v="SIM"/>
    <n v="1"/>
    <d v="2026-07-29T00:00:00"/>
    <x v="3"/>
    <s v="SAMUEL"/>
    <s v="SERGIO "/>
    <s v="CLAUDIO "/>
  </r>
  <r>
    <x v="1"/>
    <s v="GO"/>
    <s v="0101"/>
    <n v="10"/>
    <x v="0"/>
    <s v="11026740P1056"/>
    <s v="NEO771 I2X"/>
    <s v="C2"/>
    <s v="P1"/>
    <s v="C2"/>
    <s v="P1"/>
    <s v="BG"/>
    <n v="30"/>
    <n v="699"/>
    <s v="C2"/>
    <n v="699"/>
    <n v="30"/>
    <s v="Cam.A"/>
    <s v=" QD.07 "/>
    <s v="F3"/>
    <s v="SIM"/>
    <n v="1"/>
    <d v="2026-07-29T00:00:00"/>
    <x v="3"/>
    <s v="SAMUEL"/>
    <s v="SERGIO "/>
    <s v="CLAUDIO "/>
  </r>
  <r>
    <x v="1"/>
    <s v="GO"/>
    <s v="0101"/>
    <n v="10"/>
    <x v="0"/>
    <s v="11026740P2057"/>
    <s v="NEO771 I2X"/>
    <s v="C2"/>
    <s v="P2"/>
    <s v="C2"/>
    <s v="P2"/>
    <s v="BG"/>
    <n v="30"/>
    <n v="883"/>
    <s v="C2"/>
    <n v="883"/>
    <n v="30"/>
    <s v="Cam.B"/>
    <s v="QD.01"/>
    <s v="F3"/>
    <s v="SIM"/>
    <n v="1"/>
    <d v="2026-07-29T00:00:00"/>
    <x v="3"/>
    <s v="SAMUEL"/>
    <s v="SERGIO "/>
    <s v="CLAUDIO "/>
  </r>
  <r>
    <x v="1"/>
    <s v="GO"/>
    <s v="0101"/>
    <n v="10"/>
    <x v="0"/>
    <s v="11026715P2060"/>
    <s v="NEO761 I2X"/>
    <s v="S2"/>
    <s v="P2"/>
    <s v="S2"/>
    <s v="P2"/>
    <s v="BG"/>
    <n v="24"/>
    <n v="1033"/>
    <s v="S2"/>
    <n v="1033"/>
    <n v="24"/>
    <s v="Cam.C"/>
    <s v="QD.24"/>
    <s v="F1"/>
    <s v="SIM"/>
    <n v="1"/>
    <d v="2026-07-29T00:00:00"/>
    <x v="3"/>
    <s v="SAMUEL"/>
    <s v="SERGIO "/>
    <s v="CLAUDIO "/>
  </r>
  <r>
    <x v="1"/>
    <s v="GO"/>
    <s v="0101"/>
    <n v="10"/>
    <x v="0"/>
    <s v="11026715P1061"/>
    <s v="NEO761 I2X"/>
    <s v="S2"/>
    <s v="P1"/>
    <s v="S2"/>
    <s v="P1"/>
    <s v="BG"/>
    <n v="6"/>
    <n v="814"/>
    <s v="S2"/>
    <n v="814"/>
    <n v="6"/>
    <s v="Cam.A"/>
    <s v="QD.36"/>
    <s v="F1"/>
    <s v="SIM"/>
    <n v="1"/>
    <d v="2026-07-29T00:00:00"/>
    <x v="3"/>
    <s v="SAMUEL"/>
    <s v="SERGIO "/>
    <s v="CLAUDIO "/>
  </r>
  <r>
    <x v="1"/>
    <s v="GO"/>
    <s v="0101"/>
    <n v="10"/>
    <x v="0"/>
    <s v="11026715P2062"/>
    <s v="NEO761 I2X"/>
    <s v="S2"/>
    <s v="P2"/>
    <s v="S2"/>
    <s v="P2"/>
    <s v="BG"/>
    <n v="24"/>
    <n v="1014"/>
    <s v="S2"/>
    <n v="1014"/>
    <n v="24"/>
    <s v="Cam.C"/>
    <s v="QD.24"/>
    <s v="F3"/>
    <s v="SIM"/>
    <n v="1"/>
    <d v="2026-07-29T00:00:00"/>
    <x v="3"/>
    <s v="SAMUEL"/>
    <s v="SERGIO "/>
    <s v="CLAUDIO "/>
  </r>
  <r>
    <x v="1"/>
    <s v="GO"/>
    <s v="0101"/>
    <n v="10"/>
    <x v="0"/>
    <s v="11026715P1063"/>
    <s v="NEO761 I2X"/>
    <s v="S2"/>
    <s v="P1"/>
    <s v="S2"/>
    <s v="P1"/>
    <s v="BG"/>
    <n v="30"/>
    <n v="824"/>
    <s v="S2"/>
    <n v="824"/>
    <n v="30"/>
    <s v="Cam.C"/>
    <s v="QD.13"/>
    <s v="F3"/>
    <s v="SIM"/>
    <n v="1"/>
    <d v="2026-07-29T00:00:00"/>
    <x v="3"/>
    <s v="SAMUEL"/>
    <s v="SERGIO "/>
    <s v="CLAUDIO "/>
  </r>
  <r>
    <x v="1"/>
    <s v="GO"/>
    <s v="0101"/>
    <n v="10"/>
    <x v="0"/>
    <s v="11026715P2064"/>
    <s v="NEO761 I2X"/>
    <s v="S2"/>
    <s v="P2"/>
    <s v="S2"/>
    <s v="P2"/>
    <s v="BG"/>
    <n v="24"/>
    <n v="1015"/>
    <s v="S2"/>
    <n v="1015"/>
    <n v="24"/>
    <s v="Cam.C"/>
    <s v="QD.24"/>
    <s v="F2"/>
    <s v="SIM"/>
    <n v="1"/>
    <d v="2026-07-29T00:00:00"/>
    <x v="3"/>
    <s v="SAMUEL"/>
    <s v="SERGIO "/>
    <s v="CLAUDIO "/>
  </r>
  <r>
    <x v="1"/>
    <s v="GO"/>
    <s v="0101"/>
    <n v="10"/>
    <x v="0"/>
    <s v="11026715P2065"/>
    <s v="NEO761 I2X"/>
    <s v="S2"/>
    <s v="P2"/>
    <s v="S2"/>
    <s v="P2"/>
    <s v="BG"/>
    <n v="27"/>
    <n v="1000"/>
    <s v="S2"/>
    <n v="1000"/>
    <n v="27"/>
    <s v="Cam.C"/>
    <s v="QD.24"/>
    <s v="F4"/>
    <s v="SIM"/>
    <n v="1"/>
    <d v="2026-07-29T00:00:00"/>
    <x v="3"/>
    <s v="SAMUEL"/>
    <s v="SERGIO "/>
    <s v="CLAUDIO "/>
  </r>
  <r>
    <x v="1"/>
    <s v="GO"/>
    <s v="0101"/>
    <n v="10"/>
    <x v="0"/>
    <s v="11026715P2066"/>
    <s v="NEO761 I2X"/>
    <s v="S2"/>
    <s v="P2"/>
    <s v="S2"/>
    <s v="P2"/>
    <s v="BG"/>
    <n v="27"/>
    <n v="992"/>
    <s v="S2"/>
    <n v="992"/>
    <n v="27"/>
    <s v="Cam.C"/>
    <s v="QD.22"/>
    <s v="F1"/>
    <s v="SIM"/>
    <n v="1"/>
    <d v="2026-07-29T00:00:00"/>
    <x v="3"/>
    <s v="SAMUEL"/>
    <s v="SERGIO "/>
    <s v="CLAUDIO "/>
  </r>
  <r>
    <x v="1"/>
    <s v="GO"/>
    <s v="0101"/>
    <n v="10"/>
    <x v="0"/>
    <s v="11026715P1067"/>
    <s v="NEO761 I2X"/>
    <s v="S2"/>
    <s v="P1"/>
    <s v="S2"/>
    <s v="P1"/>
    <s v="BG"/>
    <n v="30"/>
    <n v="810"/>
    <s v="S2"/>
    <n v="810"/>
    <n v="30"/>
    <s v="Cam.C"/>
    <s v="QD.13"/>
    <s v="F2"/>
    <s v="SIM"/>
    <n v="1"/>
    <d v="2026-07-29T00:00:00"/>
    <x v="3"/>
    <s v="SAMUEL"/>
    <s v="SERGIO "/>
    <s v="CLAUDIO "/>
  </r>
  <r>
    <x v="1"/>
    <s v="GO"/>
    <s v="0101"/>
    <n v="10"/>
    <x v="0"/>
    <s v="11026715P2068"/>
    <s v="NEO761 I2X"/>
    <s v="S2"/>
    <s v="P2"/>
    <s v="S2"/>
    <s v="P2"/>
    <s v="BG"/>
    <n v="24"/>
    <n v="1018"/>
    <s v="S2"/>
    <n v="1018"/>
    <n v="24"/>
    <s v="Cam.C"/>
    <s v="QD.22"/>
    <s v="F3"/>
    <s v="SIM"/>
    <n v="1"/>
    <d v="2026-07-29T00:00:00"/>
    <x v="3"/>
    <s v="SAMUEL"/>
    <s v="SERGIO "/>
    <s v="CLAUDIO "/>
  </r>
  <r>
    <x v="1"/>
    <s v="GO"/>
    <s v="0101"/>
    <n v="10"/>
    <x v="0"/>
    <s v="11026715P2070"/>
    <s v="NEO761 I2X"/>
    <s v="S2"/>
    <s v="P2"/>
    <s v="S2"/>
    <s v="P2"/>
    <s v="BG"/>
    <n v="24"/>
    <n v="1016"/>
    <s v="S2"/>
    <n v="1016"/>
    <n v="24"/>
    <s v="Cam.C"/>
    <s v="QD.22"/>
    <s v="F2"/>
    <s v="SIM"/>
    <n v="1"/>
    <d v="2026-07-29T00:00:00"/>
    <x v="3"/>
    <s v="SAMUEL"/>
    <s v="SERGIO "/>
    <s v="CLAUDIO "/>
  </r>
  <r>
    <x v="1"/>
    <s v="GO"/>
    <s v="0101"/>
    <n v="10"/>
    <x v="0"/>
    <s v="11026715P2071"/>
    <s v="NEO761 I2X"/>
    <s v="S2"/>
    <s v="P2"/>
    <s v="S2"/>
    <s v="P2"/>
    <s v="BG"/>
    <n v="27"/>
    <n v="1002"/>
    <s v="S2"/>
    <n v="1002"/>
    <n v="27"/>
    <s v="Cam.C"/>
    <s v="QD.22"/>
    <s v="F4"/>
    <s v="SIM"/>
    <n v="1"/>
    <d v="2026-07-29T00:00:00"/>
    <x v="3"/>
    <s v="SAMUEL"/>
    <s v="SERGIO "/>
    <s v="CLAUDIO "/>
  </r>
  <r>
    <x v="1"/>
    <s v="GO"/>
    <s v="0101"/>
    <n v="10"/>
    <x v="0"/>
    <s v="11026715P1069"/>
    <s v="NEO761 I2X"/>
    <s v="S2"/>
    <s v="P1"/>
    <s v="S2"/>
    <s v="P1"/>
    <s v="BG"/>
    <n v="30"/>
    <n v="819"/>
    <s v="S2"/>
    <n v="819"/>
    <n v="30"/>
    <s v="Cam.C"/>
    <s v="QD.13"/>
    <s v="F1"/>
    <s v="SIM"/>
    <n v="1"/>
    <d v="2026-07-29T00:00:00"/>
    <x v="3"/>
    <s v="SAMUEL"/>
    <s v="SERGIO "/>
    <s v="CLAUDIO "/>
  </r>
  <r>
    <x v="1"/>
    <s v="GO"/>
    <s v="0101"/>
    <n v="10"/>
    <x v="0"/>
    <s v="11026715P2072"/>
    <s v="NEO761 I2X"/>
    <s v="S2"/>
    <s v="P2"/>
    <s v="S2"/>
    <s v="P2"/>
    <s v="BG"/>
    <n v="24"/>
    <n v="1028"/>
    <s v="S2"/>
    <n v="1028"/>
    <n v="24"/>
    <s v="Cam.C"/>
    <s v="QD.15"/>
    <s v="F3"/>
    <s v="SIM"/>
    <n v="1"/>
    <d v="2026-07-29T00:00:00"/>
    <x v="3"/>
    <s v="SAMUEL"/>
    <s v="SERGIO "/>
    <s v="CLAUDIO "/>
  </r>
  <r>
    <x v="1"/>
    <s v="GO"/>
    <s v="0101"/>
    <n v="10"/>
    <x v="0"/>
    <s v="11026715P1073"/>
    <s v="NEO761 I2X"/>
    <s v="S2"/>
    <s v="P1"/>
    <s v="S2"/>
    <s v="P1"/>
    <s v="BG"/>
    <n v="30"/>
    <n v="823"/>
    <s v="S2"/>
    <n v="823"/>
    <n v="30"/>
    <s v="Cam.C"/>
    <s v="QD.15"/>
    <s v="F1"/>
    <s v="SIM"/>
    <n v="1"/>
    <d v="2026-07-29T00:00:00"/>
    <x v="3"/>
    <s v="SAMUEL"/>
    <s v="SERGIO "/>
    <s v="CLAUDIO "/>
  </r>
  <r>
    <x v="1"/>
    <s v="GO"/>
    <s v="0101"/>
    <n v="10"/>
    <x v="0"/>
    <s v="11026715P2074"/>
    <s v="NEO761 I2X"/>
    <s v="S2"/>
    <s v="P2"/>
    <s v="S2"/>
    <s v="P2"/>
    <s v="BG"/>
    <n v="27"/>
    <n v="998"/>
    <s v="S2"/>
    <n v="998"/>
    <n v="27"/>
    <s v="Cam.C"/>
    <s v="QD.15"/>
    <s v="F5"/>
    <s v="SIM"/>
    <n v="1"/>
    <d v="2026-07-29T00:00:00"/>
    <x v="3"/>
    <s v="SAMUEL"/>
    <s v="SERGIO "/>
    <s v="CLAUDIO "/>
  </r>
  <r>
    <x v="1"/>
    <s v="GO"/>
    <s v="0101"/>
    <n v="10"/>
    <x v="0"/>
    <s v="11026715P2075"/>
    <s v="NEO761 I2X"/>
    <s v="S2"/>
    <s v="P2"/>
    <s v="S2"/>
    <s v="P2"/>
    <s v="BG"/>
    <n v="27"/>
    <n v="993"/>
    <s v="S2"/>
    <n v="993"/>
    <n v="27"/>
    <s v="Cam.C"/>
    <s v="QD.15"/>
    <s v="F4"/>
    <s v="SIM"/>
    <n v="1"/>
    <d v="2026-07-29T00:00:00"/>
    <x v="3"/>
    <s v="SAMUEL"/>
    <s v="SERGIO "/>
    <s v="CLAUDIO "/>
  </r>
  <r>
    <x v="1"/>
    <s v="GO"/>
    <s v="0101"/>
    <n v="10"/>
    <x v="0"/>
    <s v="11026715P1076"/>
    <s v="NEO761 I2X"/>
    <s v="S2"/>
    <s v="P1"/>
    <s v="S2"/>
    <s v="P1"/>
    <s v="BG"/>
    <n v="30"/>
    <n v="804"/>
    <s v="S2"/>
    <n v="804"/>
    <n v="30"/>
    <s v="Cam.C"/>
    <s v="QD.15"/>
    <s v="F2"/>
    <s v="SIM"/>
    <n v="1"/>
    <d v="2026-07-29T00:00:00"/>
    <x v="3"/>
    <s v="SAMUEL"/>
    <s v="SERGIO "/>
    <s v="CLAUDIO "/>
  </r>
  <r>
    <x v="1"/>
    <s v="GO"/>
    <s v="0101"/>
    <n v="10"/>
    <x v="0"/>
    <s v="11026715P2077"/>
    <s v="NEO761 I2X"/>
    <s v="S2"/>
    <s v="P2"/>
    <s v="S2"/>
    <s v="P2"/>
    <s v="BG"/>
    <n v="27"/>
    <n v="999"/>
    <s v="S2"/>
    <n v="999"/>
    <n v="27"/>
    <s v="Cam.C"/>
    <s v="QD.15"/>
    <s v="F6"/>
    <s v="SIM"/>
    <n v="1"/>
    <d v="2026-07-29T00:00:00"/>
    <x v="3"/>
    <s v="SAMUEL"/>
    <s v="SERGIO "/>
    <s v="CLAUDIO "/>
  </r>
  <r>
    <x v="1"/>
    <s v="GO"/>
    <s v="0101"/>
    <n v="10"/>
    <x v="0"/>
    <s v="11026715P2078"/>
    <s v="NEO761 I2X"/>
    <s v="S2"/>
    <s v="P2"/>
    <s v="S2"/>
    <s v="P2"/>
    <s v="BG"/>
    <n v="24"/>
    <n v="1023"/>
    <s v="S2"/>
    <n v="1023"/>
    <n v="24"/>
    <s v="Cam.C"/>
    <s v="QD.08"/>
    <s v="F1"/>
    <s v="SIM"/>
    <n v="1"/>
    <d v="2026-07-29T00:00:00"/>
    <x v="3"/>
    <s v="SAMUEL"/>
    <s v="SERGIO "/>
    <s v="CLAUDIO "/>
  </r>
  <r>
    <x v="1"/>
    <s v="GO"/>
    <s v="0101"/>
    <n v="10"/>
    <x v="0"/>
    <s v="11026715P1079"/>
    <s v="NEO761 I2X"/>
    <s v="S2"/>
    <s v="P1"/>
    <s v="S2"/>
    <s v="P1"/>
    <s v="BG"/>
    <n v="30"/>
    <n v="814"/>
    <s v="S2"/>
    <n v="814"/>
    <n v="30"/>
    <s v="Cam.C"/>
    <s v="QD.09"/>
    <s v="F2"/>
    <s v="SIM"/>
    <n v="1"/>
    <d v="2026-07-29T00:00:00"/>
    <x v="3"/>
    <s v="SAMUEL"/>
    <s v="SERGIO "/>
    <s v="CLAUDIO "/>
  </r>
  <r>
    <x v="1"/>
    <s v="GO"/>
    <s v="0101"/>
    <n v="10"/>
    <x v="0"/>
    <s v="11026715P2080"/>
    <s v="NEO761 I2X"/>
    <s v="S2"/>
    <s v="P2"/>
    <s v="S2"/>
    <s v="P2"/>
    <s v="BG"/>
    <n v="24"/>
    <n v="1021"/>
    <s v="S2"/>
    <n v="1021"/>
    <n v="24"/>
    <s v="Cam.C"/>
    <s v="QD.09"/>
    <s v="F1"/>
    <s v="SIM"/>
    <n v="1"/>
    <d v="2026-07-29T00:00:00"/>
    <x v="3"/>
    <s v="SAMUEL"/>
    <s v="SERGIO "/>
    <s v="CLAUDIO "/>
  </r>
  <r>
    <x v="1"/>
    <s v="GO"/>
    <s v="0101"/>
    <n v="10"/>
    <x v="0"/>
    <s v="11026715P2081"/>
    <s v="NEO761 I2X"/>
    <s v="S2"/>
    <s v="P2"/>
    <s v="S2"/>
    <s v="P2"/>
    <s v="BG"/>
    <n v="27"/>
    <n v="977"/>
    <s v="S2"/>
    <n v="977"/>
    <n v="27"/>
    <s v="Cam.C"/>
    <s v="QD.01"/>
    <s v="F1"/>
    <s v="SIM"/>
    <n v="1"/>
    <d v="2026-07-29T00:00:00"/>
    <x v="3"/>
    <s v="SAMUEL"/>
    <s v="SERGIO "/>
    <s v="CLAUDIO "/>
  </r>
  <r>
    <x v="1"/>
    <s v="GO"/>
    <s v="0101"/>
    <n v="10"/>
    <x v="0"/>
    <s v="11026715P2082"/>
    <s v="NEO761 I2X"/>
    <s v="S2"/>
    <s v="P2"/>
    <s v="S2"/>
    <s v="P2"/>
    <s v="BG"/>
    <n v="27"/>
    <n v="981"/>
    <s v="S2"/>
    <n v="981"/>
    <n v="27"/>
    <s v="Cam.C"/>
    <s v="QD.01"/>
    <s v="F2"/>
    <s v="SIM"/>
    <n v="1"/>
    <d v="2026-07-29T00:00:00"/>
    <x v="3"/>
    <s v="SAMUEL"/>
    <s v="SERGIO "/>
    <s v="CLAUDIO "/>
  </r>
  <r>
    <x v="1"/>
    <s v="GO"/>
    <s v="0101"/>
    <n v="10"/>
    <x v="0"/>
    <s v="11026715P2084"/>
    <s v="NEO761 I2X"/>
    <s v="S2"/>
    <s v="P2"/>
    <s v="S2"/>
    <s v="P2"/>
    <s v="BG"/>
    <n v="27"/>
    <n v="996"/>
    <s v="S2"/>
    <n v="996"/>
    <n v="27"/>
    <s v="Cam.C"/>
    <s v="QD.08"/>
    <s v="F2"/>
    <s v="SIM"/>
    <n v="1"/>
    <d v="2026-07-29T00:00:00"/>
    <x v="3"/>
    <s v="SAMUEL"/>
    <s v="SERGIO "/>
    <s v="CLAUDIO "/>
  </r>
  <r>
    <x v="1"/>
    <s v="GO"/>
    <s v="0101"/>
    <n v="10"/>
    <x v="0"/>
    <s v="11026715P2085"/>
    <s v="NEO761 I2X"/>
    <s v="S2"/>
    <s v="P2"/>
    <s v="S2"/>
    <s v="P2"/>
    <s v="BG"/>
    <n v="27"/>
    <n v="995"/>
    <s v="S2"/>
    <n v="995"/>
    <n v="27"/>
    <s v="Cam.C"/>
    <s v="QD.09"/>
    <s v="F2"/>
    <s v="SIM"/>
    <n v="1"/>
    <d v="2026-07-29T00:00:00"/>
    <x v="3"/>
    <s v="SAMUEL"/>
    <s v="SERGIO "/>
    <s v="CLAUDIO "/>
  </r>
  <r>
    <x v="1"/>
    <s v="GO"/>
    <s v="0101"/>
    <n v="10"/>
    <x v="0"/>
    <s v="11026715P1083"/>
    <s v="NEO761 I2X"/>
    <s v="S2"/>
    <s v="P1"/>
    <s v="S2"/>
    <s v="P1"/>
    <s v="BG"/>
    <n v="30"/>
    <n v="793"/>
    <s v="S2"/>
    <n v="793"/>
    <n v="30"/>
    <s v="Cam.C"/>
    <s v="QD.09"/>
    <s v="F1"/>
    <s v="SIM"/>
    <n v="1"/>
    <d v="2026-07-29T00:00:00"/>
    <x v="3"/>
    <s v="SAMUEL"/>
    <s v="SERGIO "/>
    <s v="CLAUDIO "/>
  </r>
  <r>
    <x v="1"/>
    <s v="GO"/>
    <s v="0101"/>
    <n v="10"/>
    <x v="0"/>
    <s v="11026715P2086"/>
    <s v="NEO761 I2X"/>
    <s v="C1"/>
    <s v="P2"/>
    <s v="C1"/>
    <s v="P2"/>
    <s v="BG"/>
    <n v="24"/>
    <n v="1037"/>
    <s v="C1"/>
    <n v="1037"/>
    <n v="24"/>
    <s v="Cam.C"/>
    <s v="QD.09"/>
    <s v="F3"/>
    <s v="SIM"/>
    <n v="1"/>
    <d v="2026-07-29T00:00:00"/>
    <x v="3"/>
    <s v="SAMUEL"/>
    <s v="SERGIO "/>
    <s v="CLAUDIO "/>
  </r>
  <r>
    <x v="1"/>
    <s v="GO"/>
    <s v="0101"/>
    <n v="10"/>
    <x v="0"/>
    <s v="11026715P1087"/>
    <s v="NEO761 I2X"/>
    <s v="C1"/>
    <s v="P1"/>
    <s v="C1"/>
    <s v="P1"/>
    <s v="BG"/>
    <n v="30"/>
    <n v="825"/>
    <s v="C1"/>
    <n v="825"/>
    <n v="30"/>
    <s v="Cam.C"/>
    <s v="QD.06"/>
    <s v="F1"/>
    <s v="SIM"/>
    <n v="1"/>
    <d v="2026-07-29T00:00:00"/>
    <x v="3"/>
    <s v="SAMUEL"/>
    <s v="SERGIO "/>
    <s v="CLAUDIO "/>
  </r>
  <r>
    <x v="1"/>
    <s v="GO"/>
    <s v="0101"/>
    <n v="10"/>
    <x v="0"/>
    <s v="11026715P2088"/>
    <s v="NEO761 I2X"/>
    <s v="C1"/>
    <s v="P2"/>
    <s v="C1"/>
    <s v="P2"/>
    <s v="BG"/>
    <n v="24"/>
    <n v="1024"/>
    <s v="C1"/>
    <n v="1024"/>
    <n v="24"/>
    <s v="Cam.C"/>
    <s v="QD.08"/>
    <s v="F3"/>
    <s v="SIM"/>
    <n v="1"/>
    <d v="2026-07-29T00:00:00"/>
    <x v="3"/>
    <s v="SAMUEL"/>
    <s v="SERGIO "/>
    <s v="CLAUDIO "/>
  </r>
  <r>
    <x v="1"/>
    <s v="GO"/>
    <s v="0101"/>
    <n v="10"/>
    <x v="0"/>
    <s v="11026715P2089"/>
    <s v="NEO761 I2X"/>
    <s v="C1"/>
    <s v="P2"/>
    <s v="C1"/>
    <s v="P2"/>
    <s v="BG"/>
    <n v="24"/>
    <n v="1009"/>
    <s v="C1"/>
    <n v="1009"/>
    <n v="24"/>
    <s v="Cam.C"/>
    <s v="QD.01"/>
    <s v="F3"/>
    <s v="SIM"/>
    <n v="1"/>
    <d v="2026-07-29T00:00:00"/>
    <x v="3"/>
    <s v="SAMUEL"/>
    <s v="SERGIO "/>
    <s v="CLAUDIO "/>
  </r>
  <r>
    <x v="1"/>
    <s v="GO"/>
    <s v="0101"/>
    <n v="10"/>
    <x v="0"/>
    <s v="11026715P1090"/>
    <s v="NEO761 I2X"/>
    <s v="C1"/>
    <s v="P1"/>
    <s v="C1"/>
    <s v="P1"/>
    <s v="BG"/>
    <n v="12"/>
    <n v="804"/>
    <s v="C1"/>
    <n v="804"/>
    <n v="12"/>
    <s v="Cam.C"/>
    <s v="QD.06"/>
    <s v="F2"/>
    <s v="SIM"/>
    <n v="1"/>
    <d v="2026-07-29T00:00:00"/>
    <x v="3"/>
    <s v="SAMUEL"/>
    <s v="SERGIO "/>
    <s v="CLAUDIO "/>
  </r>
  <r>
    <x v="1"/>
    <s v="GO"/>
    <s v="0101"/>
    <n v="10"/>
    <x v="0"/>
    <s v="11026715P2091"/>
    <s v="NEO761 I2X"/>
    <s v="C1"/>
    <s v="P2"/>
    <s v="C1"/>
    <s v="P2"/>
    <s v="BG"/>
    <n v="12"/>
    <n v="1006"/>
    <s v="C1"/>
    <n v="1006"/>
    <n v="12"/>
    <s v="Cam.C"/>
    <s v="QD.06"/>
    <s v="F3"/>
    <s v="SIM"/>
    <n v="1"/>
    <d v="2026-07-29T00:00:00"/>
    <x v="3"/>
    <s v="SAMUEL"/>
    <s v="SERGIO "/>
    <s v="CLAUDIO "/>
  </r>
  <r>
    <x v="1"/>
    <s v="GO"/>
    <s v="0101"/>
    <n v="10"/>
    <x v="0"/>
    <s v="11026740P2092"/>
    <s v="NEO771 I2X"/>
    <s v="C2"/>
    <s v="P2"/>
    <s v="C2"/>
    <s v="P2"/>
    <s v="BG"/>
    <n v="30"/>
    <n v="881"/>
    <s v="C2"/>
    <n v="881"/>
    <n v="30"/>
    <s v="Cam.A"/>
    <s v="QD.15"/>
    <s v="F3"/>
    <s v="SIM"/>
    <n v="1"/>
    <d v="2026-07-29T00:00:00"/>
    <x v="3"/>
    <s v="SAMUEL"/>
    <s v="SERGIO "/>
    <s v="CLAUDIO "/>
  </r>
  <r>
    <x v="1"/>
    <s v="GO"/>
    <s v="0101"/>
    <n v="10"/>
    <x v="0"/>
    <s v="11026740P1093"/>
    <s v="NEO771 I2X"/>
    <s v="C2"/>
    <s v="P1"/>
    <s v="C2"/>
    <s v="P1"/>
    <s v="BG"/>
    <n v="30"/>
    <n v="708"/>
    <s v="C2"/>
    <n v="708"/>
    <n v="30"/>
    <s v="Cam.A"/>
    <s v=" QD.08 "/>
    <s v="F3"/>
    <s v="SIM"/>
    <n v="1"/>
    <d v="2026-07-29T00:00:00"/>
    <x v="3"/>
    <s v="SAMUEL"/>
    <s v="SERGIO "/>
    <s v="CLAUDIO "/>
  </r>
  <r>
    <x v="1"/>
    <s v="GO"/>
    <s v="0101"/>
    <n v="10"/>
    <x v="0"/>
    <s v="11026740P1094"/>
    <s v="NEO771 I2X"/>
    <s v="C2"/>
    <s v="P1"/>
    <s v="C2"/>
    <s v="P1"/>
    <s v="BG"/>
    <n v="30"/>
    <n v="715"/>
    <s v="C2"/>
    <n v="715"/>
    <n v="30"/>
    <s v="Cam.A"/>
    <s v="QD.08"/>
    <s v="F3"/>
    <s v="SIM"/>
    <n v="1"/>
    <d v="2026-07-29T00:00:00"/>
    <x v="3"/>
    <s v="SAMUEL"/>
    <s v="SERGIO "/>
    <s v="CLAUDIO "/>
  </r>
  <r>
    <x v="1"/>
    <s v="GO"/>
    <s v="0101"/>
    <n v="10"/>
    <x v="0"/>
    <s v="11026740P1058"/>
    <s v="NEO771 I2X"/>
    <s v="C2"/>
    <s v="P1"/>
    <s v="C2"/>
    <s v="P1"/>
    <s v="BG"/>
    <n v="30"/>
    <n v="696"/>
    <s v="C2"/>
    <n v="696"/>
    <n v="30"/>
    <s v="Cam.A"/>
    <s v="QD.29"/>
    <s v="F3"/>
    <s v="SIM"/>
    <n v="1"/>
    <d v="2026-07-29T00:00:00"/>
    <x v="3"/>
    <s v="SAMUEL"/>
    <s v="SERGIO "/>
    <s v="CLAUDIO "/>
  </r>
  <r>
    <x v="1"/>
    <s v="GO"/>
    <s v="0101"/>
    <n v="10"/>
    <x v="0"/>
    <s v="11026740P2059"/>
    <s v="NEO771 I2X"/>
    <s v="C2"/>
    <s v="P2"/>
    <s v="C2"/>
    <s v="P2"/>
    <s v="BG"/>
    <n v="30"/>
    <n v="868"/>
    <s v="C2"/>
    <n v="868"/>
    <n v="30"/>
    <s v="Cam.A"/>
    <s v="QD.05"/>
    <s v="F1"/>
    <s v="SIM"/>
    <n v="1"/>
    <d v="2026-07-29T00:00:00"/>
    <x v="3"/>
    <s v="SAMUEL"/>
    <s v="SERGIO "/>
    <s v="CLAUDIO "/>
  </r>
  <r>
    <x v="1"/>
    <s v="GO"/>
    <s v="0101"/>
    <n v="10"/>
    <x v="0"/>
    <s v="11026740P2095"/>
    <s v="NEO771 I2X"/>
    <s v="C2"/>
    <s v="P2"/>
    <s v="C2"/>
    <s v="P2"/>
    <s v="BG"/>
    <n v="30"/>
    <n v="862"/>
    <s v="C2"/>
    <n v="862"/>
    <n v="30"/>
    <s v="Cam.A"/>
    <s v="QD.05"/>
    <s v="F2"/>
    <s v="SIM"/>
    <n v="1"/>
    <d v="2026-07-29T00:00:00"/>
    <x v="3"/>
    <s v="SAMUEL"/>
    <s v="SERGIO "/>
    <s v="CLAUDIO "/>
  </r>
  <r>
    <x v="1"/>
    <s v="GO"/>
    <s v="0101"/>
    <n v="10"/>
    <x v="0"/>
    <s v="11026740P1096"/>
    <s v="NEO771 I2X"/>
    <s v="C2"/>
    <s v="P1"/>
    <s v="C2"/>
    <s v="P1"/>
    <s v="BG"/>
    <n v="30"/>
    <n v="699"/>
    <s v="C2"/>
    <n v="699"/>
    <n v="30"/>
    <s v="Cam.A"/>
    <s v="QD.06"/>
    <s v="F2"/>
    <s v="SIM"/>
    <n v="1"/>
    <d v="2026-07-29T00:00:00"/>
    <x v="3"/>
    <s v="SAMUEL"/>
    <s v="SERGIO "/>
    <s v="CLAUDIO "/>
  </r>
  <r>
    <x v="1"/>
    <s v="GO"/>
    <s v="0101"/>
    <n v="10"/>
    <x v="0"/>
    <s v="11026740P2097"/>
    <s v="NEO771 I2X"/>
    <s v="C2"/>
    <s v="P2"/>
    <s v="C2"/>
    <s v="P2"/>
    <s v="BG"/>
    <n v="30"/>
    <n v="896"/>
    <s v="C2"/>
    <n v="896"/>
    <n v="30"/>
    <s v="Cam.A"/>
    <s v=" QD.04 "/>
    <s v="F4"/>
    <s v="SIM"/>
    <n v="1"/>
    <d v="2026-07-29T00:00:00"/>
    <x v="3"/>
    <s v="SAMUEL"/>
    <s v="SERGIO "/>
    <s v="CLAUDIO "/>
  </r>
  <r>
    <x v="1"/>
    <s v="GO"/>
    <s v="0101"/>
    <n v="10"/>
    <x v="0"/>
    <s v="11026740P1098"/>
    <s v="NEO771 I2X"/>
    <s v="C2"/>
    <s v="P1"/>
    <s v="C2"/>
    <s v="P1"/>
    <s v="BG"/>
    <n v="30"/>
    <n v="712"/>
    <s v="C2"/>
    <n v="712"/>
    <n v="30"/>
    <s v="Cam.A"/>
    <s v=" QD.06 "/>
    <s v="F2"/>
    <s v="SIM"/>
    <n v="1"/>
    <d v="2026-07-29T00:00:00"/>
    <x v="3"/>
    <s v="SAMUEL"/>
    <s v="SERGIO "/>
    <s v="CLAUDIO "/>
  </r>
  <r>
    <x v="1"/>
    <s v="GO"/>
    <s v="0101"/>
    <n v="10"/>
    <x v="0"/>
    <s v="11026740P2099"/>
    <s v="NEO771 I2X"/>
    <s v="C2"/>
    <s v="P2"/>
    <s v="C2"/>
    <s v="P2"/>
    <s v="BG"/>
    <n v="30"/>
    <n v="904"/>
    <s v="C2"/>
    <n v="904"/>
    <n v="30"/>
    <s v="Cam.A"/>
    <s v="QD.42"/>
    <s v="F3"/>
    <s v="SIM"/>
    <n v="1"/>
    <d v="2026-07-29T00:00:00"/>
    <x v="3"/>
    <s v="SAMUEL"/>
    <s v="SERGIO "/>
    <s v="CLAUDIO "/>
  </r>
  <r>
    <x v="1"/>
    <s v="GO"/>
    <s v="0101"/>
    <n v="10"/>
    <x v="0"/>
    <s v="11026740P1100"/>
    <s v="NEO771 I2X"/>
    <s v="C2"/>
    <s v="P1"/>
    <s v="C2"/>
    <s v="P1"/>
    <s v="BG"/>
    <n v="30"/>
    <n v="712"/>
    <s v="C2"/>
    <n v="712"/>
    <n v="30"/>
    <s v="Cam.B"/>
    <s v="QD.03"/>
    <s v="F3"/>
    <s v="SIM"/>
    <n v="1"/>
    <d v="2026-07-29T00:00:00"/>
    <x v="3"/>
    <s v="SAMUEL"/>
    <s v="SERGIO "/>
    <s v="CLAUDIO "/>
  </r>
  <r>
    <x v="1"/>
    <s v="GO"/>
    <s v="0101"/>
    <n v="10"/>
    <x v="0"/>
    <s v="11026740P1101"/>
    <s v="NEO771 I2X"/>
    <s v="C2"/>
    <s v="P1"/>
    <s v="C2"/>
    <s v="P1"/>
    <s v="BG"/>
    <n v="30"/>
    <n v="714"/>
    <s v="C2"/>
    <n v="714"/>
    <n v="30"/>
    <s v="Cam.A"/>
    <s v="QD.07"/>
    <s v=" F1 "/>
    <s v="SIM"/>
    <n v="1"/>
    <d v="2026-07-29T00:00:00"/>
    <x v="3"/>
    <s v="SAMUEL"/>
    <s v="SERGIO "/>
    <s v="CLAUDIO "/>
  </r>
  <r>
    <x v="1"/>
    <s v="GO"/>
    <s v="0101"/>
    <n v="10"/>
    <x v="0"/>
    <s v="11026740P2102"/>
    <s v="NEO771 I2X"/>
    <s v="C2"/>
    <s v="P2"/>
    <s v="C2"/>
    <s v="P2"/>
    <s v="BG"/>
    <n v="30"/>
    <n v="882"/>
    <s v="C2"/>
    <n v="882"/>
    <n v="30"/>
    <s v="Cam.A"/>
    <s v="QD.05"/>
    <s v="F4"/>
    <s v="SIM"/>
    <n v="1"/>
    <d v="2026-07-29T00:00:00"/>
    <x v="3"/>
    <s v="SAMUEL"/>
    <s v="SERGIO "/>
    <s v="CLAUDIO "/>
  </r>
  <r>
    <x v="1"/>
    <s v="GO"/>
    <s v="0101"/>
    <n v="10"/>
    <x v="0"/>
    <s v="11026740P1103"/>
    <s v="NEO771 I2X"/>
    <s v="C2"/>
    <s v="P1"/>
    <s v="C2"/>
    <s v="P1"/>
    <s v="BG"/>
    <n v="30"/>
    <n v="718"/>
    <s v="C2"/>
    <n v="718"/>
    <n v="30"/>
    <s v="Cam.A"/>
    <s v=" QD.08 "/>
    <s v="F3"/>
    <s v="SIM"/>
    <n v="1"/>
    <d v="2026-07-29T00:00:00"/>
    <x v="3"/>
    <s v="SAMUEL"/>
    <s v="SERGIO "/>
    <s v="CLAUDIO "/>
  </r>
  <r>
    <x v="1"/>
    <s v="GO"/>
    <s v="0101"/>
    <n v="10"/>
    <x v="0"/>
    <s v="11026740P2104"/>
    <s v="NEO771 I2X"/>
    <s v="C2"/>
    <s v="P2"/>
    <s v="C2"/>
    <s v="P2"/>
    <s v="BG"/>
    <n v="30"/>
    <n v="882"/>
    <s v="C2"/>
    <n v="882"/>
    <n v="30"/>
    <s v="Cam.A"/>
    <s v="QD.27"/>
    <s v="F3"/>
    <s v="SIM"/>
    <n v="1"/>
    <d v="2026-07-29T00:00:00"/>
    <x v="3"/>
    <s v="SAMUEL"/>
    <s v="SERGIO "/>
    <s v="CLAUDIO "/>
  </r>
  <r>
    <x v="1"/>
    <s v="GO"/>
    <s v="0101"/>
    <n v="10"/>
    <x v="0"/>
    <s v="11026740P1105"/>
    <s v="NEO771 I2X"/>
    <s v="C2"/>
    <s v="P1"/>
    <s v="C2"/>
    <s v="P1"/>
    <s v="BG"/>
    <n v="30"/>
    <n v="721"/>
    <s v="C2"/>
    <n v="721"/>
    <n v="30"/>
    <s v="Cam.A"/>
    <s v=" QD.08 "/>
    <s v="F2"/>
    <s v="SIM"/>
    <n v="1"/>
    <d v="2026-07-29T00:00:00"/>
    <x v="3"/>
    <s v="SAMUEL"/>
    <s v="SERGIO "/>
    <s v="CLAUDIO "/>
  </r>
  <r>
    <x v="1"/>
    <s v="GO"/>
    <s v="0101"/>
    <n v="10"/>
    <x v="0"/>
    <s v="11026740P2106"/>
    <s v="NEO771 I2X"/>
    <s v="C2"/>
    <s v="P2"/>
    <s v="C2"/>
    <s v="P2"/>
    <s v="BG"/>
    <n v="30"/>
    <n v="904"/>
    <s v="C2"/>
    <n v="904"/>
    <n v="30"/>
    <s v="Cam.A"/>
    <s v="QD.28"/>
    <s v="F3"/>
    <s v="SIM"/>
    <n v="1"/>
    <d v="2026-07-29T00:00:00"/>
    <x v="3"/>
    <s v="SAMUEL"/>
    <s v="SERGIO "/>
    <s v="CLAUDIO "/>
  </r>
  <r>
    <x v="1"/>
    <s v="GO"/>
    <s v="0101"/>
    <n v="10"/>
    <x v="0"/>
    <s v="11026740P1107"/>
    <s v="NEO771 I2X"/>
    <s v="C2"/>
    <s v="P1"/>
    <s v="C2"/>
    <s v="P1"/>
    <s v="BG"/>
    <n v="30"/>
    <n v="718"/>
    <s v="C2"/>
    <n v="718"/>
    <n v="30"/>
    <s v="Cam.A"/>
    <s v="QD.08"/>
    <s v="  F1  "/>
    <s v="SIM"/>
    <n v="1"/>
    <d v="2026-07-29T00:00:00"/>
    <x v="3"/>
    <s v="SAMUEL"/>
    <s v="SERGIO "/>
    <s v="CLAUDIO "/>
  </r>
  <r>
    <x v="1"/>
    <s v="GO"/>
    <s v="0101"/>
    <n v="10"/>
    <x v="0"/>
    <s v="11026740P2108"/>
    <s v="NEO771 I2X"/>
    <s v="C2"/>
    <s v="P2"/>
    <s v="C2"/>
    <s v="P2"/>
    <s v="BG"/>
    <n v="30"/>
    <n v="897"/>
    <s v="C2"/>
    <n v="897"/>
    <n v="30"/>
    <s v="Cam.A"/>
    <s v="QD.28"/>
    <s v="F2"/>
    <s v="SIM"/>
    <n v="1"/>
    <d v="2026-07-29T00:00:00"/>
    <x v="3"/>
    <s v="SAMUEL"/>
    <s v="SERGIO "/>
    <s v="CLAUDIO "/>
  </r>
  <r>
    <x v="1"/>
    <s v="GO"/>
    <s v="0101"/>
    <n v="10"/>
    <x v="0"/>
    <s v="11026740P1109"/>
    <s v="NEO771 I2X"/>
    <s v="C2"/>
    <s v="P1"/>
    <s v="C2"/>
    <s v="P1"/>
    <s v="BG"/>
    <n v="30"/>
    <n v="721"/>
    <s v="C2"/>
    <n v="721"/>
    <n v="30"/>
    <s v="Cam.A"/>
    <s v="QD.09"/>
    <s v="F1"/>
    <s v="SIM"/>
    <n v="1"/>
    <d v="2026-07-29T00:00:00"/>
    <x v="3"/>
    <s v="SAMUEL"/>
    <s v="SERGIO "/>
    <s v="CLAUDIO "/>
  </r>
  <r>
    <x v="1"/>
    <s v="GO"/>
    <s v="0101"/>
    <n v="10"/>
    <x v="0"/>
    <s v="11026740P2110"/>
    <s v="NEO771 I2X"/>
    <s v="C2"/>
    <s v="P2"/>
    <s v="C2"/>
    <s v="P2"/>
    <s v="BG"/>
    <n v="30"/>
    <n v="876"/>
    <s v="C2"/>
    <n v="876"/>
    <n v="30"/>
    <s v="Cam.A"/>
    <s v="QD.10"/>
    <s v=" F1 "/>
    <s v="SIM"/>
    <n v="1"/>
    <d v="2026-07-29T00:00:00"/>
    <x v="3"/>
    <s v="SAMUEL"/>
    <s v="SERGIO "/>
    <s v="CLAUDIO "/>
  </r>
  <r>
    <x v="1"/>
    <s v="GO"/>
    <s v="0101"/>
    <n v="10"/>
    <x v="0"/>
    <s v="11026740P1111"/>
    <s v="NEO771 I2X"/>
    <s v="C2"/>
    <s v="P1"/>
    <s v="C2"/>
    <s v="P1"/>
    <s v="BG"/>
    <n v="30"/>
    <n v="728"/>
    <s v="C2"/>
    <n v="728"/>
    <n v="30"/>
    <s v="Cam.A"/>
    <s v="QD.09"/>
    <s v="F2"/>
    <s v="SIM"/>
    <n v="1"/>
    <d v="2026-07-29T00:00:00"/>
    <x v="3"/>
    <s v="SAMUEL"/>
    <s v="SERGIO "/>
    <s v="CLAUDIO "/>
  </r>
  <r>
    <x v="1"/>
    <s v="GO"/>
    <s v="0101"/>
    <n v="10"/>
    <x v="0"/>
    <s v="11026740P2112"/>
    <s v="NEO771 I2X"/>
    <s v="C2"/>
    <s v="P2"/>
    <s v="C2"/>
    <s v="P2"/>
    <s v="BG"/>
    <n v="30"/>
    <n v="866"/>
    <s v="C2"/>
    <n v="866"/>
    <n v="30"/>
    <s v="Cam.A"/>
    <s v=" QD.10 "/>
    <s v="F2"/>
    <s v="SIM"/>
    <n v="1"/>
    <d v="2026-07-29T00:00:00"/>
    <x v="3"/>
    <s v="SAMUEL"/>
    <s v="SERGIO "/>
    <s v="CLAUDIO "/>
  </r>
  <r>
    <x v="1"/>
    <s v="GO"/>
    <s v="0101"/>
    <n v="10"/>
    <x v="0"/>
    <s v="11026740P1113"/>
    <s v="NEO771 I2X"/>
    <s v="C2"/>
    <s v="P1"/>
    <s v="C2"/>
    <s v="P1"/>
    <s v="BG"/>
    <n v="30"/>
    <n v="710"/>
    <s v="C2"/>
    <n v="710"/>
    <n v="30"/>
    <s v="Cam.A"/>
    <s v=" QD.09 "/>
    <s v="F3"/>
    <s v="SIM"/>
    <n v="1"/>
    <d v="2026-07-29T00:00:00"/>
    <x v="3"/>
    <s v="SAMUEL"/>
    <s v="SERGIO "/>
    <s v="CLAUDIO "/>
  </r>
  <r>
    <x v="1"/>
    <s v="GO"/>
    <s v="0101"/>
    <n v="10"/>
    <x v="0"/>
    <s v="11026740P1114"/>
    <s v="NEO771 I2X"/>
    <s v="C2"/>
    <s v="P1"/>
    <s v="C2"/>
    <s v="P1"/>
    <s v="BG"/>
    <n v="30"/>
    <n v="715"/>
    <s v="C2"/>
    <n v="715"/>
    <n v="30"/>
    <s v="Cam.A"/>
    <s v=" QD.09 "/>
    <s v="F4"/>
    <s v="SIM"/>
    <n v="1"/>
    <d v="2026-07-29T00:00:00"/>
    <x v="3"/>
    <s v="SAMUEL"/>
    <s v="SERGIO "/>
    <s v="CLAUDIO "/>
  </r>
  <r>
    <x v="1"/>
    <s v="GO"/>
    <s v="0101"/>
    <n v="10"/>
    <x v="0"/>
    <s v="11026740P2115"/>
    <s v="NEO771 I2X"/>
    <s v="C2"/>
    <s v="P2"/>
    <s v="C2"/>
    <s v="P2"/>
    <s v="BG"/>
    <n v="30"/>
    <n v="876"/>
    <s v="C2"/>
    <n v="876"/>
    <n v="30"/>
    <s v="Cam.A"/>
    <s v=" QD.10 "/>
    <s v="F3"/>
    <s v="SIM"/>
    <n v="1"/>
    <d v="2026-07-29T00:00:00"/>
    <x v="3"/>
    <s v="SAMUEL"/>
    <s v="SERGIO "/>
    <s v="CLAUDIO "/>
  </r>
  <r>
    <x v="1"/>
    <s v="GO"/>
    <s v="0101"/>
    <n v="10"/>
    <x v="0"/>
    <s v="11026740P1116"/>
    <s v="NEO771 I2X"/>
    <s v="C2"/>
    <s v="P1"/>
    <s v="C2"/>
    <s v="P1"/>
    <s v="BG"/>
    <n v="30"/>
    <n v="709"/>
    <s v="C2"/>
    <n v="709"/>
    <n v="30"/>
    <s v="Cam.A"/>
    <s v="QD.11"/>
    <s v="  F1  "/>
    <s v="SIM"/>
    <n v="1"/>
    <d v="2026-07-29T00:00:00"/>
    <x v="3"/>
    <s v="SAMUEL"/>
    <s v="SERGIO "/>
    <s v="CLAUDIO "/>
  </r>
  <r>
    <x v="1"/>
    <s v="GO"/>
    <s v="0101"/>
    <n v="10"/>
    <x v="0"/>
    <s v="11026740P2117"/>
    <s v="NEO771 I2X"/>
    <s v="C2"/>
    <s v="P2"/>
    <s v="C2"/>
    <s v="P2"/>
    <s v="BG"/>
    <n v="30"/>
    <n v="884"/>
    <s v="C2"/>
    <n v="884"/>
    <n v="30"/>
    <s v="Cam.A"/>
    <s v="QD.12"/>
    <s v="F3"/>
    <s v="SIM"/>
    <n v="1"/>
    <d v="2026-07-29T00:00:00"/>
    <x v="3"/>
    <s v="SAMUEL"/>
    <s v="SERGIO "/>
    <s v="CLAUDIO "/>
  </r>
  <r>
    <x v="1"/>
    <s v="GO"/>
    <s v="0101"/>
    <n v="10"/>
    <x v="0"/>
    <s v="11026740P1118"/>
    <s v="NEO771 I2X"/>
    <s v="C2"/>
    <s v="P1"/>
    <s v="C2"/>
    <s v="P1"/>
    <s v="BG"/>
    <n v="30"/>
    <n v="705"/>
    <s v="C2"/>
    <n v="705"/>
    <n v="30"/>
    <s v="Cam.A"/>
    <s v="QD.11"/>
    <s v="F2"/>
    <s v="SIM"/>
    <n v="1"/>
    <d v="2026-07-29T00:00:00"/>
    <x v="3"/>
    <s v="SAMUEL"/>
    <s v="SERGIO "/>
    <s v="CLAUDIO "/>
  </r>
  <r>
    <x v="1"/>
    <s v="GO"/>
    <s v="0101"/>
    <n v="10"/>
    <x v="0"/>
    <s v="11026740P1119"/>
    <s v="NEO771 I2X"/>
    <s v="C2"/>
    <s v="P1"/>
    <s v="C2"/>
    <s v="P1"/>
    <s v="BG"/>
    <n v="30"/>
    <n v="702"/>
    <s v="C2"/>
    <n v="702"/>
    <n v="30"/>
    <s v="Cam.A"/>
    <s v="QD.11"/>
    <s v="F3"/>
    <s v="SIM"/>
    <n v="1"/>
    <d v="2026-07-29T00:00:00"/>
    <x v="3"/>
    <s v="SAMUEL"/>
    <s v="SERGIO "/>
    <s v="CLAUDIO "/>
  </r>
  <r>
    <x v="1"/>
    <s v="GO"/>
    <s v="0101"/>
    <n v="10"/>
    <x v="0"/>
    <s v="11026740P2120"/>
    <s v="NEO771 I2X"/>
    <s v="C2"/>
    <s v="P2"/>
    <s v="C2"/>
    <s v="P2"/>
    <s v="BG"/>
    <n v="30"/>
    <n v="832"/>
    <s v="C2"/>
    <n v="832"/>
    <n v="30"/>
    <s v="Cam.A"/>
    <s v="QD.12"/>
    <s v="F1"/>
    <s v="SIM"/>
    <n v="1"/>
    <d v="2026-07-29T00:00:00"/>
    <x v="3"/>
    <s v="SAMUEL"/>
    <s v="SERGIO "/>
    <s v="CLAUDIO "/>
  </r>
  <r>
    <x v="1"/>
    <s v="GO"/>
    <s v="0101"/>
    <n v="10"/>
    <x v="0"/>
    <s v="11026740P1121"/>
    <s v="NEO771 I2X"/>
    <s v="C2"/>
    <s v="P1"/>
    <s v="C2"/>
    <s v="P1"/>
    <s v="BG"/>
    <n v="30"/>
    <n v="694"/>
    <s v="C2"/>
    <n v="694"/>
    <n v="30"/>
    <s v="Cam.A"/>
    <s v=" QD.11 "/>
    <s v="F4"/>
    <s v="SIM"/>
    <n v="1"/>
    <d v="2026-07-29T00:00:00"/>
    <x v="3"/>
    <s v="SAMUEL"/>
    <s v="SERGIO "/>
    <s v="CLAUDIO "/>
  </r>
  <r>
    <x v="1"/>
    <s v="GO"/>
    <s v="0101"/>
    <n v="10"/>
    <x v="0"/>
    <s v="11026740P1123"/>
    <s v="NEO771 I2X"/>
    <s v="C2"/>
    <s v="P1"/>
    <s v="C2"/>
    <s v="P1"/>
    <s v="BG"/>
    <n v="30"/>
    <n v="705"/>
    <s v="C2"/>
    <n v="705"/>
    <n v="30"/>
    <s v="Cam.A"/>
    <s v="QD.12"/>
    <s v="F2"/>
    <s v="SIM"/>
    <n v="1"/>
    <d v="2026-07-29T00:00:00"/>
    <x v="3"/>
    <s v="SAMUEL"/>
    <s v="SERGIO "/>
    <s v="CLAUDIO "/>
  </r>
  <r>
    <x v="1"/>
    <s v="GO"/>
    <s v="0101"/>
    <n v="10"/>
    <x v="0"/>
    <s v="11026740P1124"/>
    <s v="NEO771 I2X"/>
    <s v="C2"/>
    <s v="P1"/>
    <s v="C2"/>
    <s v="P1"/>
    <s v="BG"/>
    <n v="30"/>
    <n v="708"/>
    <s v="C2"/>
    <n v="708"/>
    <n v="30"/>
    <s v="Cam.A"/>
    <s v="QD.12"/>
    <s v="F1"/>
    <s v="SIM"/>
    <n v="1"/>
    <d v="2026-07-29T00:00:00"/>
    <x v="3"/>
    <s v="SAMUEL"/>
    <s v="SERGIO "/>
    <s v="CLAUDIO "/>
  </r>
  <r>
    <x v="1"/>
    <s v="GO"/>
    <s v="0101"/>
    <n v="10"/>
    <x v="0"/>
    <s v="11026740P2125"/>
    <s v="NEO771 I2X"/>
    <s v="C2"/>
    <s v="P2"/>
    <s v="C2"/>
    <s v="P2"/>
    <s v="BG"/>
    <n v="30"/>
    <n v="877"/>
    <s v="C2"/>
    <n v="877"/>
    <n v="30"/>
    <s v="Cam.A"/>
    <s v="QD.12"/>
    <s v="F3"/>
    <s v="SIM"/>
    <n v="1"/>
    <d v="2026-07-29T00:00:00"/>
    <x v="3"/>
    <s v="SAMUEL"/>
    <s v="SERGIO "/>
    <s v="CLAUDIO "/>
  </r>
  <r>
    <x v="1"/>
    <s v="GO"/>
    <s v="0101"/>
    <n v="10"/>
    <x v="0"/>
    <s v="11026740P1126"/>
    <s v="NEO771 I2X"/>
    <s v="C2"/>
    <s v="P1"/>
    <s v="C2"/>
    <s v="P1"/>
    <s v="BG"/>
    <n v="30"/>
    <n v="713"/>
    <s v="C2"/>
    <n v="713"/>
    <n v="30"/>
    <s v="Cam.A"/>
    <s v="QD.12"/>
    <s v="F3"/>
    <s v="SIM"/>
    <n v="1"/>
    <d v="2026-07-29T00:00:00"/>
    <x v="3"/>
    <s v="SAMUEL"/>
    <s v="SERGIO "/>
    <s v="CLAUDIO "/>
  </r>
  <r>
    <x v="1"/>
    <s v="GO"/>
    <s v="0101"/>
    <n v="10"/>
    <x v="0"/>
    <s v="11026740P2127"/>
    <s v="NEO771 I2X"/>
    <s v="C2"/>
    <s v="P2"/>
    <s v="C2"/>
    <s v="P2"/>
    <s v="BG"/>
    <n v="30"/>
    <n v="892"/>
    <s v="C2"/>
    <n v="892"/>
    <n v="30"/>
    <s v="Cam.A"/>
    <s v="QD.15"/>
    <s v="F1"/>
    <s v="SIM"/>
    <n v="1"/>
    <d v="2026-07-29T00:00:00"/>
    <x v="3"/>
    <s v="SAMUEL"/>
    <s v="SERGIO "/>
    <s v="CLAUDIO "/>
  </r>
  <r>
    <x v="1"/>
    <s v="GO"/>
    <s v="0101"/>
    <n v="10"/>
    <x v="0"/>
    <s v="11026740P1128"/>
    <s v="NEO771 I2X"/>
    <s v="C2"/>
    <s v="P1"/>
    <s v="C2"/>
    <s v="P1"/>
    <s v="BG"/>
    <n v="30"/>
    <n v="718"/>
    <s v="C2"/>
    <n v="718"/>
    <n v="30"/>
    <s v="Cam.A"/>
    <s v="QD.14"/>
    <s v="F1"/>
    <s v="SIM"/>
    <n v="1"/>
    <d v="2026-07-29T00:00:00"/>
    <x v="3"/>
    <s v="SAMUEL"/>
    <s v="SERGIO "/>
    <s v="CLAUDIO "/>
  </r>
  <r>
    <x v="1"/>
    <s v="GO"/>
    <s v="0101"/>
    <n v="10"/>
    <x v="0"/>
    <s v="11026740P2129"/>
    <s v="NEO771 I2X"/>
    <s v="C2"/>
    <s v="P2"/>
    <s v="C2"/>
    <s v="P2"/>
    <s v="BG"/>
    <n v="30"/>
    <n v="883"/>
    <s v="C2"/>
    <n v="883"/>
    <n v="30"/>
    <s v="Cam.A"/>
    <s v="QD.15"/>
    <m/>
    <s v="SIM"/>
    <n v="1"/>
    <d v="2026-07-29T00:00:00"/>
    <x v="3"/>
    <s v="SAMUEL"/>
    <s v="SERGIO "/>
    <s v="CLAUDIO "/>
  </r>
  <r>
    <x v="1"/>
    <s v="GO"/>
    <s v="0101"/>
    <n v="10"/>
    <x v="0"/>
    <s v="11026740P1130"/>
    <s v="NEO771 I2X"/>
    <s v="C2"/>
    <s v="P1"/>
    <s v="C2"/>
    <s v="P1"/>
    <s v="BG"/>
    <n v="30"/>
    <n v="710"/>
    <s v="C2"/>
    <n v="710"/>
    <n v="30"/>
    <s v="Cam.A"/>
    <s v="QD.14"/>
    <s v="F2"/>
    <s v="SIM"/>
    <n v="1"/>
    <d v="2026-07-29T00:00:00"/>
    <x v="3"/>
    <s v="SAMUEL"/>
    <s v="SERGIO "/>
    <s v="CLAUDIO "/>
  </r>
  <r>
    <x v="1"/>
    <s v="GO"/>
    <s v="0101"/>
    <n v="10"/>
    <x v="0"/>
    <s v="11026740P1131"/>
    <s v="NEO771 I2X"/>
    <s v="C2"/>
    <s v="P1"/>
    <s v="C2"/>
    <s v="P1"/>
    <s v="BG"/>
    <n v="30"/>
    <n v="712"/>
    <s v="C2"/>
    <n v="712"/>
    <n v="30"/>
    <s v="Cam.A"/>
    <s v="QD.14"/>
    <s v="F3"/>
    <s v="SIM"/>
    <n v="1"/>
    <d v="2026-07-29T00:00:00"/>
    <x v="3"/>
    <s v="SAMUEL"/>
    <s v="SERGIO "/>
    <s v="CLAUDIO "/>
  </r>
  <r>
    <x v="1"/>
    <s v="GO"/>
    <s v="0101"/>
    <n v="10"/>
    <x v="0"/>
    <s v="11026740P2132"/>
    <s v="NEO771 I2X"/>
    <s v="C2"/>
    <s v="P2"/>
    <s v="C2"/>
    <s v="P2"/>
    <s v="BG"/>
    <n v="30"/>
    <n v="883"/>
    <s v="C2"/>
    <n v="883"/>
    <n v="30"/>
    <s v="Cam.B"/>
    <s v="QD.01"/>
    <s v="F2"/>
    <s v="SIM"/>
    <n v="1"/>
    <d v="2026-07-29T00:00:00"/>
    <x v="3"/>
    <s v="SAMUEL"/>
    <s v="SERGIO "/>
    <s v="CLAUDIO "/>
  </r>
  <r>
    <x v="1"/>
    <s v="GO"/>
    <s v="0101"/>
    <n v="10"/>
    <x v="0"/>
    <s v="11026740P2122"/>
    <s v="NEO771 I2X"/>
    <s v="C2"/>
    <s v="P2"/>
    <s v="C2"/>
    <s v="P2"/>
    <s v="BG"/>
    <n v="30"/>
    <n v="848"/>
    <s v="C2"/>
    <n v="848"/>
    <n v="30"/>
    <s v="Cam.A"/>
    <s v="QD.42"/>
    <s v="F4"/>
    <s v="SIM"/>
    <n v="1"/>
    <d v="2026-07-29T00:00:00"/>
    <x v="3"/>
    <s v="SAMUEL"/>
    <s v="SERGIO "/>
    <s v="CLAUDIO "/>
  </r>
  <r>
    <x v="1"/>
    <s v="GO"/>
    <s v="0101"/>
    <n v="10"/>
    <x v="0"/>
    <s v="11026740P1133"/>
    <s v="NEO771 I2X"/>
    <s v="C2"/>
    <s v="P1"/>
    <s v="C2"/>
    <s v="P1"/>
    <s v="BG"/>
    <n v="30"/>
    <n v="713"/>
    <s v="C2"/>
    <n v="713"/>
    <n v="30"/>
    <s v="Cam.A"/>
    <s v="QD.16"/>
    <s v="F2"/>
    <s v="SIM"/>
    <n v="1"/>
    <d v="2026-07-29T00:00:00"/>
    <x v="3"/>
    <s v="SAMUEL"/>
    <s v="SERGIO "/>
    <s v="CLAUDIO "/>
  </r>
  <r>
    <x v="1"/>
    <s v="GO"/>
    <s v="0101"/>
    <n v="10"/>
    <x v="0"/>
    <s v="11026740P2134"/>
    <s v="NEO771 I2X"/>
    <s v="C2"/>
    <s v="P2"/>
    <s v="C2"/>
    <s v="P2"/>
    <s v="BG"/>
    <n v="30"/>
    <n v="867"/>
    <s v="C2"/>
    <n v="867"/>
    <n v="30"/>
    <s v="Cam.A"/>
    <s v="QD.18"/>
    <s v="F1"/>
    <s v="SIM"/>
    <n v="1"/>
    <d v="2026-07-29T00:00:00"/>
    <x v="3"/>
    <s v="SAMUEL"/>
    <s v="SERGIO "/>
    <s v="CLAUDIO "/>
  </r>
  <r>
    <x v="1"/>
    <s v="GO"/>
    <s v="0101"/>
    <n v="10"/>
    <x v="0"/>
    <s v="11026740P1135"/>
    <s v="NEO771 I2X"/>
    <s v="C2"/>
    <s v="P1"/>
    <s v="C2"/>
    <s v="P1"/>
    <s v="BG"/>
    <n v="30"/>
    <n v="712"/>
    <s v="C2"/>
    <n v="712"/>
    <n v="30"/>
    <s v="Cam.A"/>
    <s v="QD.16"/>
    <s v="F1"/>
    <s v="SIM"/>
    <n v="1"/>
    <d v="2026-07-29T00:00:00"/>
    <x v="3"/>
    <s v="SAMUEL"/>
    <s v="SERGIO "/>
    <s v="CLAUDIO "/>
  </r>
  <r>
    <x v="1"/>
    <s v="GO"/>
    <s v="0101"/>
    <n v="10"/>
    <x v="0"/>
    <s v="11026740P2136"/>
    <s v="NEO771 I2X"/>
    <s v="C2"/>
    <s v="P2"/>
    <s v="C2"/>
    <s v="P2"/>
    <s v="BG"/>
    <n v="30"/>
    <n v="852"/>
    <s v="C2"/>
    <n v="852"/>
    <n v="30"/>
    <s v="Cam.A"/>
    <s v="QD.18"/>
    <s v="F2"/>
    <s v="SIM"/>
    <n v="1"/>
    <d v="2026-07-29T00:00:00"/>
    <x v="3"/>
    <s v="SAMUEL"/>
    <s v="SERGIO "/>
    <s v="CLAUDIO "/>
  </r>
  <r>
    <x v="1"/>
    <s v="GO"/>
    <s v="0101"/>
    <n v="10"/>
    <x v="0"/>
    <s v="11026740P1137"/>
    <s v="NEO771 I2X"/>
    <s v="C2"/>
    <s v="P1"/>
    <s v="C2"/>
    <s v="P1"/>
    <s v="BG"/>
    <n v="30"/>
    <n v="710"/>
    <s v="C2"/>
    <n v="710"/>
    <n v="30"/>
    <s v="Cam.A"/>
    <s v="QD.16"/>
    <s v="F3"/>
    <s v="SIM"/>
    <n v="1"/>
    <d v="2026-07-29T00:00:00"/>
    <x v="3"/>
    <s v="SAMUEL"/>
    <s v="SERGIO "/>
    <s v="CLAUDIO "/>
  </r>
  <r>
    <x v="1"/>
    <s v="GO"/>
    <s v="0101"/>
    <n v="10"/>
    <x v="0"/>
    <s v="11026740P1138"/>
    <s v="NEO771 I2X"/>
    <s v="C2"/>
    <s v="P1"/>
    <s v="C2"/>
    <s v="P1"/>
    <s v="BG"/>
    <n v="30"/>
    <n v="713"/>
    <s v="C2"/>
    <n v="713"/>
    <n v="30"/>
    <s v="Cam.A"/>
    <s v="QD.17"/>
    <s v="F2"/>
    <s v="SIM"/>
    <n v="1"/>
    <d v="2026-07-29T00:00:00"/>
    <x v="3"/>
    <s v="SAMUEL"/>
    <s v="SERGIO "/>
    <s v="CLAUDIO "/>
  </r>
  <r>
    <x v="1"/>
    <s v="GO"/>
    <s v="0101"/>
    <n v="10"/>
    <x v="0"/>
    <s v="11026740P2139"/>
    <s v="NEO771 I2X"/>
    <s v="C2"/>
    <s v="P2"/>
    <s v="C2"/>
    <s v="P2"/>
    <s v="BG"/>
    <n v="30"/>
    <n v="879"/>
    <s v="C2"/>
    <n v="879"/>
    <n v="30"/>
    <s v="Cam.A"/>
    <s v="QD.20"/>
    <s v="F1"/>
    <s v="SIM"/>
    <n v="1"/>
    <d v="2026-07-29T00:00:00"/>
    <x v="3"/>
    <s v="SAMUEL"/>
    <s v="SERGIO "/>
    <s v="CLAUDIO "/>
  </r>
  <r>
    <x v="1"/>
    <s v="GO"/>
    <s v="0101"/>
    <n v="10"/>
    <x v="0"/>
    <s v="11026740P1140"/>
    <s v="NEO771 I2X"/>
    <s v="C2"/>
    <s v="P1"/>
    <s v="C2"/>
    <s v="P1"/>
    <s v="BG"/>
    <n v="30"/>
    <n v="723"/>
    <s v="C2"/>
    <n v="723"/>
    <n v="30"/>
    <s v="Cam.A"/>
    <s v="QD.17"/>
    <s v="F1"/>
    <s v="SIM"/>
    <n v="1"/>
    <d v="2026-07-29T00:00:00"/>
    <x v="3"/>
    <s v="SAMUEL"/>
    <s v="SERGIO "/>
    <s v="CLAUDIO "/>
  </r>
  <r>
    <x v="1"/>
    <s v="GO"/>
    <s v="0101"/>
    <n v="10"/>
    <x v="0"/>
    <s v="11026740P2141"/>
    <s v="NEO771 I2X"/>
    <s v="C2"/>
    <s v="P2"/>
    <s v="C2"/>
    <s v="P2"/>
    <s v="BG"/>
    <n v="30"/>
    <n v="861"/>
    <s v="C2"/>
    <n v="861"/>
    <n v="30"/>
    <s v="Cam.A"/>
    <s v=" QD.18 "/>
    <s v="F3"/>
    <s v="SIM"/>
    <n v="1"/>
    <d v="2026-07-29T00:00:00"/>
    <x v="3"/>
    <s v="SAMUEL"/>
    <s v="SERGIO "/>
    <s v="CLAUDIO "/>
  </r>
  <r>
    <x v="1"/>
    <s v="GO"/>
    <s v="0101"/>
    <n v="10"/>
    <x v="0"/>
    <s v="11026740P1142"/>
    <s v="NEO771 I2X"/>
    <s v="C2"/>
    <s v="P1"/>
    <s v="C2"/>
    <s v="P1"/>
    <s v="BG"/>
    <n v="30"/>
    <n v="705"/>
    <s v="C2"/>
    <n v="705"/>
    <n v="30"/>
    <s v="Cam.A"/>
    <s v="QD.17"/>
    <s v="F3"/>
    <s v="SIM"/>
    <n v="1"/>
    <d v="2026-07-29T00:00:00"/>
    <x v="3"/>
    <s v="SAMUEL"/>
    <s v="SERGIO "/>
    <s v="CLAUDIO "/>
  </r>
  <r>
    <x v="1"/>
    <s v="GO"/>
    <s v="0101"/>
    <n v="10"/>
    <x v="0"/>
    <s v="11026740P2143"/>
    <s v="NEO771 I2X"/>
    <s v="C2"/>
    <s v="P2"/>
    <s v="C2"/>
    <s v="P2"/>
    <s v="BG"/>
    <n v="30"/>
    <n v="853"/>
    <s v="C2"/>
    <n v="853"/>
    <n v="30"/>
    <s v="Cam.A"/>
    <s v=" QD.20 "/>
    <s v="F2"/>
    <s v="SIM"/>
    <n v="1"/>
    <d v="2026-07-29T00:00:00"/>
    <x v="3"/>
    <s v="SAMUEL"/>
    <s v="SERGIO "/>
    <s v="CLAUDIO "/>
  </r>
  <r>
    <x v="1"/>
    <s v="GO"/>
    <s v="0101"/>
    <n v="10"/>
    <x v="0"/>
    <s v="11026740P1144"/>
    <s v="NEO771 I2X"/>
    <s v="C2"/>
    <s v="P1"/>
    <s v="C2"/>
    <s v="P1"/>
    <s v="BG"/>
    <n v="30"/>
    <n v="697"/>
    <s v="C2"/>
    <n v="697"/>
    <n v="30"/>
    <s v="Cam.A"/>
    <s v="QD.19"/>
    <s v="F1"/>
    <s v="SIM"/>
    <n v="1"/>
    <d v="2026-07-29T00:00:00"/>
    <x v="3"/>
    <s v="SAMUEL"/>
    <s v="SERGIO "/>
    <s v="CLAUDIO "/>
  </r>
  <r>
    <x v="1"/>
    <s v="GO"/>
    <s v="0101"/>
    <n v="10"/>
    <x v="0"/>
    <s v="11026740P1145"/>
    <s v="NEO771 I2X"/>
    <s v="C2"/>
    <s v="P1"/>
    <s v="C2"/>
    <s v="P1"/>
    <s v="BG"/>
    <n v="30"/>
    <n v="708"/>
    <s v="C2"/>
    <n v="708"/>
    <n v="30"/>
    <s v="Cam.A"/>
    <s v="QD.19"/>
    <s v="F2"/>
    <s v="SIM"/>
    <n v="1"/>
    <d v="2026-07-29T00:00:00"/>
    <x v="3"/>
    <s v="SAMUEL"/>
    <s v="SERGIO "/>
    <s v="CLAUDIO "/>
  </r>
  <r>
    <x v="1"/>
    <s v="GO"/>
    <s v="0101"/>
    <n v="10"/>
    <x v="0"/>
    <s v="11026740P1146"/>
    <s v="NEO771 I2X"/>
    <s v="C2"/>
    <s v="P1"/>
    <s v="C2"/>
    <s v="P1"/>
    <s v="BG"/>
    <n v="30"/>
    <n v="683"/>
    <s v="C2"/>
    <n v="683"/>
    <n v="30"/>
    <s v="Cam.B"/>
    <s v="QD.03"/>
    <s v="F2"/>
    <s v="SIM"/>
    <n v="1"/>
    <d v="2026-07-29T00:00:00"/>
    <x v="3"/>
    <s v="SAMUEL"/>
    <s v="SERGIO "/>
    <s v="CLAUDIO "/>
  </r>
  <r>
    <x v="1"/>
    <s v="GO"/>
    <s v="0101"/>
    <n v="10"/>
    <x v="0"/>
    <s v="11026740P1147"/>
    <s v="NEO771 I2X"/>
    <s v="C2"/>
    <s v="P1"/>
    <s v="C2"/>
    <s v="P1"/>
    <s v="BG"/>
    <n v="30"/>
    <n v="690"/>
    <s v="C2"/>
    <n v="690"/>
    <n v="30"/>
    <s v="Cam.A"/>
    <s v="QD.21"/>
    <s v=" F1 "/>
    <s v="SIM"/>
    <n v="1"/>
    <d v="2026-07-29T00:00:00"/>
    <x v="3"/>
    <s v="SAMUEL"/>
    <s v="SERGIO "/>
    <s v="CLAUDIO "/>
  </r>
  <r>
    <x v="1"/>
    <s v="GO"/>
    <s v="0101"/>
    <n v="10"/>
    <x v="0"/>
    <s v="11026740P2148"/>
    <s v="NEO771 I2X"/>
    <s v="C2"/>
    <s v="P2"/>
    <s v="C2"/>
    <s v="P2"/>
    <s v="BG"/>
    <n v="26"/>
    <n v="820"/>
    <s v="C2"/>
    <n v="820"/>
    <n v="26"/>
    <s v="Cam.A"/>
    <s v=" QD.20 "/>
    <s v="F3"/>
    <s v="SIM"/>
    <n v="1"/>
    <d v="2026-07-29T00:00:00"/>
    <x v="3"/>
    <s v="SAMUEL"/>
    <s v="SERGIO "/>
    <s v="CLAUDIO "/>
  </r>
  <r>
    <x v="1"/>
    <s v="GO"/>
    <s v="0101"/>
    <n v="10"/>
    <x v="0"/>
    <s v="11026740P1149"/>
    <s v="NEO771 I2X"/>
    <s v="C2"/>
    <s v="P1"/>
    <s v="C2"/>
    <s v="P1"/>
    <s v="BG"/>
    <n v="30"/>
    <n v="704"/>
    <s v="C2"/>
    <n v="704"/>
    <n v="30"/>
    <s v="Cam.A"/>
    <s v="QD.21"/>
    <s v="F2"/>
    <s v="SIM"/>
    <n v="1"/>
    <d v="2026-07-29T00:00:00"/>
    <x v="3"/>
    <s v="SAMUEL"/>
    <s v="SERGIO "/>
    <s v="CLAUDIO "/>
  </r>
  <r>
    <x v="1"/>
    <s v="GO"/>
    <s v="0101"/>
    <n v="10"/>
    <x v="0"/>
    <s v="11026740P1150"/>
    <s v="NEO771 I2X"/>
    <s v="C2"/>
    <s v="P1"/>
    <s v="C2"/>
    <s v="P1"/>
    <s v="BG"/>
    <n v="22"/>
    <n v="705"/>
    <s v="C2"/>
    <n v="705"/>
    <n v="22"/>
    <s v="Cam.A"/>
    <s v="QD.21"/>
    <s v="F3"/>
    <s v="SIM"/>
    <n v="1"/>
    <d v="2026-07-29T00:00:00"/>
    <x v="3"/>
    <s v="SAMUEL"/>
    <s v="SERGIO "/>
    <s v="CLAUDIO "/>
  </r>
  <r>
    <x v="1"/>
    <s v="GO"/>
    <s v="0101"/>
    <n v="10"/>
    <x v="0"/>
    <s v="11026715P2151"/>
    <s v="NEO761 I2X"/>
    <s v="C1"/>
    <s v="P2"/>
    <s v="C1"/>
    <s v="P2"/>
    <s v="BG"/>
    <n v="24"/>
    <n v="1045"/>
    <s v="C1"/>
    <n v="1045"/>
    <n v="24"/>
    <s v="Cam.A"/>
    <s v="QD.23"/>
    <s v="F1"/>
    <s v="SIM"/>
    <n v="1"/>
    <d v="2026-07-29T00:00:00"/>
    <x v="3"/>
    <s v="SAMUEL"/>
    <s v="SERGIO "/>
    <s v="CLAUDIO "/>
  </r>
  <r>
    <x v="1"/>
    <s v="GO"/>
    <s v="0101"/>
    <n v="10"/>
    <x v="0"/>
    <s v="11026715P2152"/>
    <s v="NEO761 I2X"/>
    <s v="C1"/>
    <s v="P2"/>
    <s v="C1"/>
    <s v="P2"/>
    <s v="BG"/>
    <n v="24"/>
    <n v="1075"/>
    <s v="C1"/>
    <n v="1075"/>
    <n v="24"/>
    <s v="Cam.A"/>
    <s v="QD.23"/>
    <s v="F3"/>
    <s v="SIM"/>
    <n v="1"/>
    <d v="2026-07-29T00:00:00"/>
    <x v="3"/>
    <s v="SAMUEL"/>
    <s v="SERGIO "/>
    <s v="CLAUDIO "/>
  </r>
  <r>
    <x v="1"/>
    <s v="GO"/>
    <s v="0101"/>
    <n v="10"/>
    <x v="0"/>
    <s v="11026715P1153"/>
    <s v="NEO761 I2X"/>
    <s v="C1"/>
    <s v="P1"/>
    <s v="C1"/>
    <s v="P1"/>
    <s v="BG"/>
    <n v="30"/>
    <n v="828"/>
    <s v="C1"/>
    <n v="828"/>
    <n v="30"/>
    <s v="Cam.C"/>
    <s v="QD.18"/>
    <s v="F2"/>
    <s v="SIM"/>
    <n v="1"/>
    <d v="2026-07-29T00:00:00"/>
    <x v="3"/>
    <s v="SAMUEL"/>
    <s v="SERGIO "/>
    <s v="CLAUDIO "/>
  </r>
  <r>
    <x v="1"/>
    <s v="GO"/>
    <s v="0101"/>
    <n v="10"/>
    <x v="0"/>
    <s v="11026715P2154"/>
    <s v="NEO761 I2X"/>
    <s v="S2"/>
    <s v="P2"/>
    <s v="S2"/>
    <s v="P2"/>
    <s v="BG"/>
    <n v="24"/>
    <n v="1061"/>
    <s v="S2"/>
    <n v="1061"/>
    <n v="24"/>
    <s v="Cam.A"/>
    <s v="QD.22"/>
    <s v="F1"/>
    <s v="SIM"/>
    <n v="1"/>
    <d v="2026-07-29T00:00:00"/>
    <x v="3"/>
    <s v="SAMUEL"/>
    <s v="SERGIO "/>
    <s v="CLAUDIO "/>
  </r>
  <r>
    <x v="1"/>
    <s v="GO"/>
    <s v="0101"/>
    <n v="10"/>
    <x v="0"/>
    <s v="11026715P2155"/>
    <s v="NEO761 I2X"/>
    <s v="S2"/>
    <s v="P2"/>
    <s v="S2"/>
    <s v="P2"/>
    <s v="BG"/>
    <n v="27"/>
    <n v="995"/>
    <s v="S2"/>
    <n v="995"/>
    <n v="27"/>
    <s v="Cam.B"/>
    <s v="QD.02"/>
    <s v="F2"/>
    <s v="SIM"/>
    <n v="1"/>
    <d v="2026-07-29T00:00:00"/>
    <x v="3"/>
    <s v="SAMUEL"/>
    <s v="SERGIO "/>
    <s v="CLAUDIO "/>
  </r>
  <r>
    <x v="1"/>
    <s v="GO"/>
    <s v="0101"/>
    <n v="10"/>
    <x v="0"/>
    <s v="11026715P1156"/>
    <s v="NEO761 I2X"/>
    <s v="S2"/>
    <s v="P1"/>
    <s v="S2"/>
    <s v="P1"/>
    <s v="BG"/>
    <n v="30"/>
    <n v="804"/>
    <s v="S2"/>
    <n v="804"/>
    <n v="30"/>
    <s v="Cam.C"/>
    <s v="QD.18"/>
    <s v="F1"/>
    <s v="SIM"/>
    <n v="1"/>
    <d v="2026-07-29T00:00:00"/>
    <x v="3"/>
    <s v="SAMUEL"/>
    <s v="SERGIO "/>
    <s v="CLAUDIO "/>
  </r>
  <r>
    <x v="1"/>
    <s v="GO"/>
    <s v="0101"/>
    <n v="10"/>
    <x v="0"/>
    <s v="11026715P2157"/>
    <s v="NEO761 I2X"/>
    <s v="S2"/>
    <s v="P2"/>
    <s v="S2"/>
    <s v="P2"/>
    <s v="BG"/>
    <n v="24"/>
    <n v="1049"/>
    <s v="S2"/>
    <n v="1049"/>
    <n v="24"/>
    <s v="Cam.B"/>
    <s v="QD.02"/>
    <s v="F1"/>
    <s v="SIM"/>
    <n v="1"/>
    <d v="2026-07-29T00:00:00"/>
    <x v="3"/>
    <s v="SAMUEL"/>
    <s v="SERGIO "/>
    <s v="CLAUDIO "/>
  </r>
  <r>
    <x v="1"/>
    <s v="GO"/>
    <s v="0101"/>
    <n v="10"/>
    <x v="0"/>
    <s v="11026715P2158"/>
    <s v="NEO761 I2X"/>
    <s v="S2"/>
    <s v="P2"/>
    <s v="S2"/>
    <s v="P2"/>
    <s v="BG"/>
    <n v="24"/>
    <n v="1050"/>
    <s v="S2"/>
    <n v="1050"/>
    <n v="24"/>
    <s v="Cam.A"/>
    <s v=" QD.06 "/>
    <s v="F4"/>
    <s v="SIM"/>
    <n v="1"/>
    <d v="2026-07-29T00:00:00"/>
    <x v="3"/>
    <s v="SAMUEL"/>
    <s v="SERGIO "/>
    <s v="CLAUDIO "/>
  </r>
  <r>
    <x v="1"/>
    <s v="GO"/>
    <s v="0101"/>
    <n v="10"/>
    <x v="0"/>
    <s v="11026715P2160"/>
    <s v="NEO761 I2X"/>
    <s v="S2"/>
    <s v="P2"/>
    <s v="S2"/>
    <s v="P2"/>
    <s v="BG"/>
    <n v="24"/>
    <n v="1032"/>
    <s v="S2"/>
    <n v="1032"/>
    <n v="24"/>
    <s v="Cam.A"/>
    <s v="QD.24"/>
    <s v="F2"/>
    <s v="SIM"/>
    <n v="1"/>
    <d v="2026-07-29T00:00:00"/>
    <x v="3"/>
    <s v="SAMUEL"/>
    <s v="SERGIO "/>
    <s v="CLAUDIO "/>
  </r>
  <r>
    <x v="1"/>
    <s v="GO"/>
    <s v="0101"/>
    <n v="10"/>
    <x v="0"/>
    <s v="11026715P1161"/>
    <s v="NEO761 I2X"/>
    <s v="S2"/>
    <s v="P1"/>
    <s v="S2"/>
    <s v="P1"/>
    <s v="BG"/>
    <n v="30"/>
    <n v="823"/>
    <s v="S2"/>
    <n v="823"/>
    <n v="30"/>
    <s v="Cam.A"/>
    <s v=" QD.19 "/>
    <s v="F3"/>
    <s v="SIM"/>
    <n v="1"/>
    <d v="2026-07-29T00:00:00"/>
    <x v="3"/>
    <s v="SAMUEL"/>
    <s v="SERGIO "/>
    <s v="CLAUDIO "/>
  </r>
  <r>
    <x v="1"/>
    <s v="GO"/>
    <s v="0101"/>
    <n v="10"/>
    <x v="0"/>
    <s v="11026715P2162"/>
    <s v="NEO761 I2X"/>
    <s v="S2"/>
    <s v="P2"/>
    <s v="S2"/>
    <s v="P2"/>
    <s v="BG"/>
    <n v="24"/>
    <n v="1048"/>
    <s v="S2"/>
    <n v="1048"/>
    <n v="24"/>
    <s v="Cam.A"/>
    <s v="QD.24"/>
    <s v="F3"/>
    <s v="SIM"/>
    <n v="1"/>
    <d v="2026-07-29T00:00:00"/>
    <x v="3"/>
    <s v="SAMUEL"/>
    <s v="SERGIO "/>
    <s v="CLAUDIO "/>
  </r>
  <r>
    <x v="1"/>
    <s v="GO"/>
    <s v="0101"/>
    <n v="10"/>
    <x v="0"/>
    <s v="11026715P2163"/>
    <s v="NEO761 I2X"/>
    <s v="S2"/>
    <s v="P2"/>
    <s v="S2"/>
    <s v="P2"/>
    <s v="BG"/>
    <n v="24"/>
    <n v="1064"/>
    <s v="S2"/>
    <n v="1064"/>
    <n v="24"/>
    <s v="Cam.A"/>
    <s v="QD.25"/>
    <s v="F1"/>
    <s v="SIM"/>
    <n v="1"/>
    <d v="2026-07-29T00:00:00"/>
    <x v="3"/>
    <s v="SAMUEL"/>
    <s v="SERGIO "/>
    <s v="CLAUDIO "/>
  </r>
  <r>
    <x v="1"/>
    <s v="GO"/>
    <s v="0101"/>
    <n v="10"/>
    <x v="0"/>
    <s v="11026715P2164"/>
    <s v="NEO761 I2X"/>
    <s v="S2"/>
    <s v="P2"/>
    <s v="S2"/>
    <s v="P2"/>
    <s v="BG"/>
    <n v="24"/>
    <n v="1078"/>
    <s v="S2"/>
    <n v="1078"/>
    <n v="24"/>
    <s v="Cam.A"/>
    <s v="QD.25"/>
    <s v="F2"/>
    <s v="SIM"/>
    <n v="1"/>
    <d v="2026-07-29T00:00:00"/>
    <x v="3"/>
    <s v="SAMUEL"/>
    <s v="SERGIO "/>
    <s v="CLAUDIO "/>
  </r>
  <r>
    <x v="1"/>
    <s v="GO"/>
    <s v="0101"/>
    <n v="10"/>
    <x v="0"/>
    <s v="11026715P2165"/>
    <s v="NEO761 I2X"/>
    <s v="S2"/>
    <s v="P2"/>
    <s v="S2"/>
    <s v="P2"/>
    <s v="BG"/>
    <n v="24"/>
    <n v="1073"/>
    <s v="S2"/>
    <n v="1073"/>
    <n v="24"/>
    <s v="Cam.A"/>
    <s v="QD.25"/>
    <s v="F1 "/>
    <s v="SIM"/>
    <n v="1"/>
    <d v="2026-07-29T00:00:00"/>
    <x v="3"/>
    <s v="SAMUEL"/>
    <s v="SERGIO "/>
    <s v="CLAUDIO "/>
  </r>
  <r>
    <x v="1"/>
    <s v="GO"/>
    <s v="0101"/>
    <n v="10"/>
    <x v="0"/>
    <s v="11026715P2166"/>
    <s v="NEO761 I2X"/>
    <s v="S2"/>
    <s v="P2"/>
    <s v="S2"/>
    <s v="P2"/>
    <s v="BG"/>
    <n v="24"/>
    <n v="1065"/>
    <s v="S2"/>
    <n v="1065"/>
    <n v="24"/>
    <s v="Cam.A"/>
    <s v="QD.30"/>
    <s v="F2"/>
    <s v="SIM"/>
    <n v="1"/>
    <d v="2026-07-29T00:00:00"/>
    <x v="3"/>
    <s v="SAMUEL"/>
    <s v="SERGIO "/>
    <s v="CLAUDIO "/>
  </r>
  <r>
    <x v="1"/>
    <s v="GO"/>
    <s v="0101"/>
    <n v="10"/>
    <x v="0"/>
    <s v="11026715P1167"/>
    <s v="NEO761 I2X"/>
    <s v="S2"/>
    <s v="P1"/>
    <s v="S2"/>
    <s v="P1"/>
    <s v="BG"/>
    <n v="20"/>
    <n v="817"/>
    <s v="S2"/>
    <n v="817"/>
    <n v="20"/>
    <s v="Cam.C"/>
    <s v="QD.17"/>
    <s v="F1"/>
    <s v="SIM"/>
    <n v="1"/>
    <d v="2026-07-29T00:00:00"/>
    <x v="3"/>
    <s v="SAMUEL"/>
    <s v="SERGIO "/>
    <s v="CLAUDIO "/>
  </r>
  <r>
    <x v="1"/>
    <s v="GO"/>
    <s v="0101"/>
    <n v="10"/>
    <x v="0"/>
    <s v="11026715P2168"/>
    <s v="NEO761 I2X"/>
    <s v="S2"/>
    <s v="P2"/>
    <s v="S2"/>
    <s v="P2"/>
    <s v="BG"/>
    <n v="23"/>
    <n v="1077"/>
    <s v="S2"/>
    <n v="1077"/>
    <n v="23"/>
    <s v="Cam.A"/>
    <s v="QD.30"/>
    <s v="F1"/>
    <s v="SIM"/>
    <n v="1"/>
    <d v="2026-07-29T00:00:00"/>
    <x v="3"/>
    <s v="SAMUEL"/>
    <s v="SERGIO "/>
    <s v="CLAUDIO "/>
  </r>
  <r>
    <x v="1"/>
    <s v="GO"/>
    <s v="0101"/>
    <n v="10"/>
    <x v="0"/>
    <s v="11026740P1169"/>
    <s v="NEO771 I2X"/>
    <s v="C2"/>
    <s v="P1"/>
    <s v="C2"/>
    <s v="P1"/>
    <s v="BG"/>
    <n v="30"/>
    <n v="735"/>
    <s v="C2"/>
    <n v="735"/>
    <n v="30"/>
    <s v="Cam.A"/>
    <s v="QD.31"/>
    <s v="F2"/>
    <s v="SIM"/>
    <n v="1"/>
    <d v="2026-07-29T00:00:00"/>
    <x v="3"/>
    <s v="SAMUEL"/>
    <s v="SERGIO "/>
    <s v="CLAUDIO "/>
  </r>
  <r>
    <x v="1"/>
    <s v="GO"/>
    <s v="0101"/>
    <n v="10"/>
    <x v="0"/>
    <s v="11026740P2170"/>
    <s v="NEO771 I2X"/>
    <s v="C2"/>
    <s v="P2"/>
    <s v="C2"/>
    <s v="P2"/>
    <s v="BG"/>
    <n v="30"/>
    <n v="878"/>
    <s v="C2"/>
    <n v="878"/>
    <n v="30"/>
    <s v="Cam.B"/>
    <s v="QD.01"/>
    <s v="F1"/>
    <s v="SIM"/>
    <n v="1"/>
    <d v="2026-07-29T00:00:00"/>
    <x v="3"/>
    <s v="SAMUEL"/>
    <s v="SERGIO "/>
    <s v="CLAUDIO "/>
  </r>
  <r>
    <x v="1"/>
    <s v="GO"/>
    <s v="0101"/>
    <n v="10"/>
    <x v="0"/>
    <s v="11026740P1171"/>
    <s v="NEO771 I2X"/>
    <s v="C2"/>
    <s v="P1"/>
    <s v="C2"/>
    <s v="P1"/>
    <s v="BG"/>
    <n v="30"/>
    <n v="732"/>
    <s v="C2"/>
    <n v="732"/>
    <n v="30"/>
    <s v="Cam.A"/>
    <s v="QD.31"/>
    <s v="F1"/>
    <s v="SIM"/>
    <n v="1"/>
    <d v="2026-07-29T00:00:00"/>
    <x v="3"/>
    <s v="SAMUEL"/>
    <s v="SERGIO "/>
    <s v="CLAUDIO "/>
  </r>
  <r>
    <x v="1"/>
    <s v="GO"/>
    <s v="0101"/>
    <n v="10"/>
    <x v="0"/>
    <s v="11026740P2172"/>
    <s v="NEO771 I2X"/>
    <s v="C2"/>
    <s v="P2"/>
    <s v="C2"/>
    <s v="P2"/>
    <s v="BG"/>
    <n v="30"/>
    <n v="859"/>
    <s v="C2"/>
    <n v="859"/>
    <n v="30"/>
    <s v="Cam.A"/>
    <s v="QD.28"/>
    <s v="F1"/>
    <s v="SIM"/>
    <n v="1"/>
    <d v="2026-07-29T00:00:00"/>
    <x v="3"/>
    <s v="SAMUEL"/>
    <s v="SERGIO "/>
    <s v="CLAUDIO "/>
  </r>
  <r>
    <x v="1"/>
    <s v="GO"/>
    <s v="0101"/>
    <n v="10"/>
    <x v="0"/>
    <s v="11026740P1173"/>
    <s v="NEO771 I2X"/>
    <s v="C2"/>
    <s v="P1"/>
    <s v="C2"/>
    <s v="P1"/>
    <s v="BG"/>
    <n v="30"/>
    <n v="716"/>
    <s v="C2"/>
    <n v="716"/>
    <n v="30"/>
    <s v="Cam.A"/>
    <s v="QD.26"/>
    <s v="F1"/>
    <s v="SIM"/>
    <n v="1"/>
    <d v="2026-07-29T00:00:00"/>
    <x v="3"/>
    <s v="SAMUEL"/>
    <s v="SERGIO "/>
    <s v="CLAUDIO "/>
  </r>
  <r>
    <x v="1"/>
    <s v="GO"/>
    <s v="0101"/>
    <n v="10"/>
    <x v="0"/>
    <s v="11026740P2174"/>
    <s v="NEO771 I2X"/>
    <s v="C2"/>
    <s v="P2"/>
    <s v="C2"/>
    <s v="P2"/>
    <s v="BG"/>
    <n v="30"/>
    <n v="879"/>
    <s v="C2"/>
    <n v="879"/>
    <n v="30"/>
    <s v="Cam.B"/>
    <s v="QD.02"/>
    <s v="F3"/>
    <s v="SIM"/>
    <n v="1"/>
    <d v="2026-07-29T00:00:00"/>
    <x v="3"/>
    <s v="SAMUEL"/>
    <s v="SERGIO "/>
    <s v="CLAUDIO "/>
  </r>
  <r>
    <x v="1"/>
    <s v="GO"/>
    <s v="0101"/>
    <n v="10"/>
    <x v="0"/>
    <s v="11026740P1175"/>
    <s v="NEO771 I2X"/>
    <s v="C2"/>
    <s v="P1"/>
    <s v="C2"/>
    <s v="P1"/>
    <s v="BG"/>
    <n v="30"/>
    <n v="741"/>
    <s v="C2"/>
    <n v="741"/>
    <n v="30"/>
    <s v="Cam.A"/>
    <s v="QD.26"/>
    <s v="F3"/>
    <s v="SIM"/>
    <n v="1"/>
    <d v="2026-07-29T00:00:00"/>
    <x v="3"/>
    <s v="SAMUEL"/>
    <s v="SERGIO "/>
    <s v="CLAUDIO "/>
  </r>
  <r>
    <x v="1"/>
    <s v="GO"/>
    <s v="0101"/>
    <n v="10"/>
    <x v="0"/>
    <s v="11026740P1176"/>
    <s v="NEO771 I2X"/>
    <s v="C2"/>
    <s v="P1"/>
    <s v="C2"/>
    <s v="P1"/>
    <s v="BG"/>
    <n v="30"/>
    <n v="732"/>
    <s v="C2"/>
    <n v="732"/>
    <n v="30"/>
    <s v="Cam.A"/>
    <s v="QD.26"/>
    <s v="F3"/>
    <s v="SIM"/>
    <n v="1"/>
    <d v="2026-07-29T00:00:00"/>
    <x v="3"/>
    <s v="SAMUEL"/>
    <s v="SERGIO "/>
    <s v="CLAUDIO "/>
  </r>
  <r>
    <x v="1"/>
    <s v="GO"/>
    <s v="0101"/>
    <n v="10"/>
    <x v="0"/>
    <s v="11026740P2177"/>
    <s v="NEO771 I2X"/>
    <s v="C2"/>
    <s v="P2"/>
    <s v="C2"/>
    <s v="P2"/>
    <s v="BG"/>
    <n v="30"/>
    <n v="872"/>
    <s v="C2"/>
    <n v="872"/>
    <n v="30"/>
    <s v="Cam.A"/>
    <s v="QD.27"/>
    <s v="F1"/>
    <s v="SIM"/>
    <n v="1"/>
    <d v="2026-07-29T00:00:00"/>
    <x v="3"/>
    <s v="SAMUEL"/>
    <s v="SERGIO "/>
    <s v="CLAUDIO "/>
  </r>
  <r>
    <x v="1"/>
    <s v="GO"/>
    <s v="0101"/>
    <n v="10"/>
    <x v="0"/>
    <s v="11026740P1178"/>
    <s v="NEO771 I2X"/>
    <s v="C2"/>
    <s v="P1"/>
    <s v="C2"/>
    <s v="P1"/>
    <s v="BG"/>
    <n v="30"/>
    <n v="742"/>
    <s v="C2"/>
    <n v="742"/>
    <n v="30"/>
    <s v="Cam.B"/>
    <s v="QD.03"/>
    <s v="F1"/>
    <s v="SIM"/>
    <n v="1"/>
    <d v="2026-07-29T00:00:00"/>
    <x v="3"/>
    <s v="SAMUEL"/>
    <s v="SERGIO "/>
    <s v="CLAUDIO "/>
  </r>
  <r>
    <x v="1"/>
    <s v="GO"/>
    <s v="0101"/>
    <n v="10"/>
    <x v="0"/>
    <s v="11026740P2179"/>
    <s v="NEO771 I2X"/>
    <s v="C2"/>
    <s v="P2"/>
    <s v="C2"/>
    <s v="P2"/>
    <s v="BG"/>
    <n v="30"/>
    <n v="876"/>
    <s v="C2"/>
    <n v="876"/>
    <n v="30"/>
    <s v="Cam.A"/>
    <s v="QD.27"/>
    <s v="F1"/>
    <s v="SIM"/>
    <n v="1"/>
    <d v="2026-07-29T00:00:00"/>
    <x v="3"/>
    <s v="SAMUEL"/>
    <s v="SERGIO "/>
    <s v="CLAUDIO "/>
  </r>
  <r>
    <x v="1"/>
    <s v="GO"/>
    <s v="0101"/>
    <n v="10"/>
    <x v="0"/>
    <s v="11026740P2180"/>
    <s v="NEO771 I2X"/>
    <s v="C2"/>
    <s v="P2"/>
    <s v="C2"/>
    <s v="P2"/>
    <s v="BG"/>
    <n v="30"/>
    <n v="872"/>
    <s v="C2"/>
    <n v="872"/>
    <n v="30"/>
    <s v="Cam.B"/>
    <s v="QD.02"/>
    <s v="F4"/>
    <s v="SIM"/>
    <n v="1"/>
    <d v="2026-07-29T00:00:00"/>
    <x v="3"/>
    <s v="SAMUEL"/>
    <s v="SERGIO "/>
    <s v="CLAUDIO "/>
  </r>
  <r>
    <x v="1"/>
    <s v="GO"/>
    <s v="0101"/>
    <n v="10"/>
    <x v="0"/>
    <s v="11026740P1181"/>
    <s v="NEO771 I2X"/>
    <s v="C2"/>
    <s v="P1"/>
    <s v="C2"/>
    <s v="P1"/>
    <s v="BG"/>
    <n v="30"/>
    <n v="734"/>
    <s v="C2"/>
    <n v="734"/>
    <n v="30"/>
    <s v="Cam.A"/>
    <s v="QD.29"/>
    <s v="F2"/>
    <s v="SIM"/>
    <n v="1"/>
    <d v="2026-07-29T00:00:00"/>
    <x v="3"/>
    <s v="SAMUEL"/>
    <s v="SERGIO "/>
    <s v="CLAUDIO "/>
  </r>
  <r>
    <x v="1"/>
    <s v="GO"/>
    <s v="0101"/>
    <n v="10"/>
    <x v="0"/>
    <s v="11026740P2182"/>
    <s v="NEO771 I2X"/>
    <s v="C2"/>
    <s v="P2"/>
    <s v="C2"/>
    <s v="P2"/>
    <s v="BG"/>
    <n v="30"/>
    <n v="871"/>
    <s v="C2"/>
    <n v="871"/>
    <n v="30"/>
    <s v="Cam.B            "/>
    <s v=" QD.17 "/>
    <s v="F2"/>
    <s v="SIM"/>
    <n v="1"/>
    <d v="2026-07-29T00:00:00"/>
    <x v="3"/>
    <s v="SAMUEL"/>
    <s v="SERGIO "/>
    <s v="CLAUDIO "/>
  </r>
  <r>
    <x v="1"/>
    <s v="GO"/>
    <s v="0101"/>
    <n v="10"/>
    <x v="0"/>
    <s v="11026740P1183"/>
    <s v="NEO771 I2X"/>
    <s v="C2"/>
    <s v="P1"/>
    <s v="C2"/>
    <s v="P1"/>
    <s v="BG"/>
    <n v="30"/>
    <n v="738"/>
    <s v="C2"/>
    <n v="738"/>
    <n v="30"/>
    <s v="Cam.A"/>
    <s v="QD.31"/>
    <s v="F3"/>
    <s v="SIM"/>
    <n v="1"/>
    <d v="2026-07-29T00:00:00"/>
    <x v="3"/>
    <s v="SAMUEL"/>
    <s v="SERGIO "/>
    <s v="CLAUDIO "/>
  </r>
  <r>
    <x v="1"/>
    <s v="GO"/>
    <s v="0101"/>
    <n v="10"/>
    <x v="0"/>
    <s v="11026740P2184"/>
    <s v="NEO771 I2X"/>
    <s v="C2"/>
    <s v="P2"/>
    <s v="C2"/>
    <s v="P2"/>
    <s v="BG"/>
    <n v="23"/>
    <n v="870"/>
    <s v="C2"/>
    <n v="870"/>
    <n v="23"/>
    <s v="Cam.B            "/>
    <s v="QD.17"/>
    <s v="F1           "/>
    <s v="SIM"/>
    <n v="1"/>
    <d v="2026-07-29T00:00:00"/>
    <x v="3"/>
    <s v="SAMUEL"/>
    <s v="SERGIO "/>
    <s v="CLAUDIO "/>
  </r>
  <r>
    <x v="1"/>
    <s v="GO"/>
    <s v="0101"/>
    <n v="10"/>
    <x v="0"/>
    <s v="11026740P1185"/>
    <s v="NEO771 I2X"/>
    <s v="C2"/>
    <s v="P1"/>
    <s v="C2"/>
    <s v="P1"/>
    <s v="BG"/>
    <n v="24"/>
    <n v="743"/>
    <s v="C2"/>
    <n v="743"/>
    <n v="24"/>
    <s v="Cam.A"/>
    <s v="QD.29"/>
    <s v="F1"/>
    <s v="SIM"/>
    <n v="1"/>
    <d v="2026-07-29T00:00:00"/>
    <x v="3"/>
    <s v="SAMUEL"/>
    <s v="SERGIO "/>
    <s v="CLAUDIO "/>
  </r>
  <r>
    <x v="1"/>
    <s v="GO"/>
    <s v="0101"/>
    <n v="10"/>
    <x v="0"/>
    <s v="11026714P2186"/>
    <s v="NEO790 IPRO"/>
    <s v="S1"/>
    <s v="P2"/>
    <s v="S1"/>
    <s v="P2"/>
    <s v="BG"/>
    <n v="27"/>
    <n v="954"/>
    <s v="S1"/>
    <n v="954"/>
    <n v="27"/>
    <s v="Cam.B            "/>
    <s v="QD.04"/>
    <s v="F1"/>
    <s v="SIM"/>
    <n v="1"/>
    <d v="2026-07-29T00:00:00"/>
    <x v="3"/>
    <s v="SAMUEL"/>
    <s v="SERGIO "/>
    <s v="CLAUDIO "/>
  </r>
  <r>
    <x v="1"/>
    <s v="GO"/>
    <s v="0101"/>
    <n v="10"/>
    <x v="0"/>
    <s v="11026714P1187"/>
    <s v="NEO790 IPRO"/>
    <s v="S1"/>
    <s v="P1"/>
    <s v="S1"/>
    <s v="P1"/>
    <s v="BG"/>
    <n v="30"/>
    <n v="765"/>
    <s v="S1"/>
    <n v="765"/>
    <n v="30"/>
    <s v="Cam.B            "/>
    <s v="QD.16"/>
    <s v="F1          "/>
    <s v="SIM"/>
    <n v="1"/>
    <d v="2026-07-29T00:00:00"/>
    <x v="3"/>
    <s v="SAMUEL"/>
    <s v="SERGIO "/>
    <s v="CLAUDIO "/>
  </r>
  <r>
    <x v="1"/>
    <s v="GO"/>
    <s v="0101"/>
    <n v="10"/>
    <x v="0"/>
    <s v="11026714P1188"/>
    <s v="NEO790 IPRO"/>
    <s v="S1"/>
    <s v="P1"/>
    <s v="S1"/>
    <s v="P1"/>
    <s v="BG"/>
    <n v="30"/>
    <n v="771"/>
    <s v="S1"/>
    <n v="771"/>
    <n v="30"/>
    <s v="Cam.B            "/>
    <s v=" QD.16 "/>
    <s v="F2"/>
    <s v="SIM"/>
    <n v="1"/>
    <d v="2026-07-29T00:00:00"/>
    <x v="3"/>
    <s v="SAMUEL"/>
    <s v="SERGIO "/>
    <s v="CLAUDIO "/>
  </r>
  <r>
    <x v="1"/>
    <s v="GO"/>
    <s v="0101"/>
    <n v="10"/>
    <x v="0"/>
    <s v="11026714P2189"/>
    <s v="NEO790 IPRO"/>
    <s v="S1"/>
    <s v="P2"/>
    <s v="S1"/>
    <s v="P2"/>
    <s v="BG"/>
    <n v="27"/>
    <n v="972"/>
    <s v="S1"/>
    <n v="972"/>
    <n v="27"/>
    <s v="Cam.B            "/>
    <s v="QD.15"/>
    <s v="F1"/>
    <s v="SIM"/>
    <n v="1"/>
    <d v="2026-07-29T00:00:00"/>
    <x v="3"/>
    <s v="SAMUEL"/>
    <s v="SERGIO "/>
    <s v="CLAUDIO "/>
  </r>
  <r>
    <x v="1"/>
    <s v="GO"/>
    <s v="0101"/>
    <n v="10"/>
    <x v="0"/>
    <s v="11026714P1190"/>
    <s v="NEO790 IPRO"/>
    <s v="S1"/>
    <s v="P1"/>
    <s v="S1"/>
    <s v="P1"/>
    <s v="BG"/>
    <n v="30"/>
    <n v="780"/>
    <s v="S1"/>
    <n v="780"/>
    <n v="30"/>
    <s v="Cam.B            "/>
    <s v=" QD.17 "/>
    <s v="F3"/>
    <s v="SIM"/>
    <n v="1"/>
    <d v="2026-07-29T00:00:00"/>
    <x v="3"/>
    <s v="SAMUEL"/>
    <s v="SERGIO "/>
    <s v="CLAUDIO "/>
  </r>
  <r>
    <x v="1"/>
    <s v="GO"/>
    <s v="0101"/>
    <n v="10"/>
    <x v="0"/>
    <s v="11026714P1191"/>
    <s v="NEO790 IPRO"/>
    <s v="S1"/>
    <s v="P1"/>
    <s v="S1"/>
    <s v="P1"/>
    <s v="BG"/>
    <n v="10"/>
    <n v="767"/>
    <s v="S1"/>
    <n v="767"/>
    <n v="10"/>
    <s v="Cam.B"/>
    <s v="QD.07"/>
    <s v="F2"/>
    <s v="SIM"/>
    <n v="1"/>
    <d v="2026-07-29T00:00:00"/>
    <x v="3"/>
    <s v="SAMUEL"/>
    <s v="SERGIO "/>
    <s v="CLAUDIO "/>
  </r>
  <r>
    <x v="1"/>
    <s v="GO"/>
    <s v="0101"/>
    <n v="10"/>
    <x v="0"/>
    <s v="11026714P2192"/>
    <s v="NEO790 IPRO"/>
    <s v="S1"/>
    <s v="P2"/>
    <s v="S1"/>
    <s v="P2"/>
    <s v="BG"/>
    <n v="6"/>
    <n v="941"/>
    <s v="S1"/>
    <n v="941"/>
    <n v="6"/>
    <s v="Cam.B"/>
    <s v="QD.05"/>
    <s v="F4"/>
    <s v="SIM"/>
    <n v="1"/>
    <d v="2026-07-29T00:00:00"/>
    <x v="3"/>
    <s v="SAMUEL"/>
    <s v="SERGIO "/>
    <s v="CLAUDIO "/>
  </r>
  <r>
    <x v="1"/>
    <s v="GO"/>
    <s v="0101"/>
    <n v="10"/>
    <x v="0"/>
    <s v="11026714P2193"/>
    <s v="NEO790 IPRO"/>
    <s v="S1"/>
    <s v="P2"/>
    <s v="S1"/>
    <s v="P2"/>
    <s v="BG"/>
    <n v="30"/>
    <n v="895"/>
    <s v="S1"/>
    <n v="895"/>
    <n v="30"/>
    <s v="Cam.B"/>
    <s v="QD.13"/>
    <s v="F3"/>
    <s v="SIM"/>
    <n v="1"/>
    <d v="2026-07-29T00:00:00"/>
    <x v="3"/>
    <s v="SAMUEL"/>
    <s v="SERGIO "/>
    <s v="CLAUDIO "/>
  </r>
  <r>
    <x v="1"/>
    <s v="GO"/>
    <s v="0101"/>
    <n v="10"/>
    <x v="0"/>
    <s v="11026714P1194"/>
    <s v="NEO790 IPRO"/>
    <s v="S1"/>
    <s v="P1"/>
    <s v="S1"/>
    <s v="P1"/>
    <s v="BG"/>
    <n v="30"/>
    <n v="695"/>
    <s v="S1"/>
    <n v="695"/>
    <n v="30"/>
    <s v="Cam.B            "/>
    <s v=" QD.16 "/>
    <s v="F3"/>
    <s v="SIM"/>
    <n v="1"/>
    <d v="2026-07-29T00:00:00"/>
    <x v="3"/>
    <s v="SAMUEL"/>
    <s v="SERGIO "/>
    <s v="CLAUDIO "/>
  </r>
  <r>
    <x v="1"/>
    <s v="GO"/>
    <s v="0101"/>
    <n v="10"/>
    <x v="0"/>
    <s v="11026714P2195"/>
    <s v="NEO790 IPRO"/>
    <s v="S1"/>
    <s v="P2"/>
    <s v="S1"/>
    <s v="P2"/>
    <s v="BG"/>
    <n v="30"/>
    <n v="879"/>
    <s v="S1"/>
    <n v="879"/>
    <n v="30"/>
    <s v="Cam.B"/>
    <s v="QD.14"/>
    <s v="F1"/>
    <s v="SIM"/>
    <n v="1"/>
    <d v="2026-07-29T00:00:00"/>
    <x v="3"/>
    <s v="SAMUEL"/>
    <s v="SERGIO "/>
    <s v="CLAUDIO "/>
  </r>
  <r>
    <x v="1"/>
    <s v="GO"/>
    <s v="0101"/>
    <n v="10"/>
    <x v="0"/>
    <s v="11026714P1196"/>
    <s v="NEO790 IPRO"/>
    <s v="S1"/>
    <s v="P1"/>
    <s v="S1"/>
    <s v="P1"/>
    <s v="BG"/>
    <n v="30"/>
    <n v="694"/>
    <s v="S1"/>
    <n v="694"/>
    <n v="30"/>
    <s v="Cam.B            "/>
    <s v="QD.13"/>
    <s v="F2"/>
    <s v="SIM"/>
    <n v="1"/>
    <d v="2026-07-29T00:00:00"/>
    <x v="3"/>
    <s v="SAMUEL"/>
    <s v="SERGIO "/>
    <s v="CLAUDIO "/>
  </r>
  <r>
    <x v="1"/>
    <s v="GO"/>
    <s v="0101"/>
    <n v="10"/>
    <x v="0"/>
    <s v="11026714P2197"/>
    <s v="NEO790 IPRO"/>
    <s v="S1"/>
    <s v="P2"/>
    <s v="S1"/>
    <s v="P2"/>
    <s v="BG"/>
    <n v="30"/>
    <n v="882"/>
    <s v="S1"/>
    <n v="882"/>
    <n v="30"/>
    <s v="Cam.A"/>
    <s v="QD.30"/>
    <s v="F3"/>
    <s v="SIM"/>
    <n v="1"/>
    <d v="2026-07-29T00:00:00"/>
    <x v="3"/>
    <s v="SAMUEL"/>
    <s v="SERGIO "/>
    <s v="CLAUDIO "/>
  </r>
  <r>
    <x v="1"/>
    <s v="GO"/>
    <s v="0101"/>
    <n v="10"/>
    <x v="0"/>
    <s v="11026714P2198"/>
    <s v="NEO790 IPRO"/>
    <s v="S1"/>
    <s v="P2"/>
    <s v="S1"/>
    <s v="P2"/>
    <s v="BG"/>
    <n v="27"/>
    <n v="921"/>
    <s v="S1"/>
    <n v="921"/>
    <n v="27"/>
    <s v="Cam.B            "/>
    <s v="QD.15"/>
    <s v="F2"/>
    <s v="SIM"/>
    <n v="1"/>
    <d v="2026-07-29T00:00:00"/>
    <x v="3"/>
    <s v="SAMUEL"/>
    <s v="SERGIO "/>
    <s v="CLAUDIO "/>
  </r>
  <r>
    <x v="1"/>
    <s v="GO"/>
    <s v="0101"/>
    <n v="10"/>
    <x v="0"/>
    <s v="11026714P2199"/>
    <s v="NEO790 IPRO"/>
    <s v="S1"/>
    <s v="P2"/>
    <s v="S1"/>
    <s v="P2"/>
    <s v="BG"/>
    <n v="30"/>
    <n v="898"/>
    <s v="S1"/>
    <n v="898"/>
    <n v="30"/>
    <s v="Cam.B"/>
    <s v="QD.04"/>
    <s v="F2"/>
    <s v="SIM"/>
    <n v="1"/>
    <d v="2026-07-29T00:00:00"/>
    <x v="3"/>
    <s v="SAMUEL"/>
    <s v="SERGIO "/>
    <s v="CLAUDIO "/>
  </r>
  <r>
    <x v="1"/>
    <s v="GO"/>
    <s v="0101"/>
    <n v="10"/>
    <x v="0"/>
    <s v="11026714P1200"/>
    <s v="NEO790 IPRO"/>
    <s v="S1"/>
    <s v="P1"/>
    <s v="S1"/>
    <s v="P1"/>
    <s v="BG"/>
    <n v="30"/>
    <n v="696"/>
    <s v="S1"/>
    <n v="696"/>
    <n v="30"/>
    <s v="Cam.B"/>
    <s v="QD.13"/>
    <s v="F1"/>
    <s v="SIM"/>
    <n v="1"/>
    <d v="2026-07-29T00:00:00"/>
    <x v="3"/>
    <s v="SAMUEL"/>
    <s v="SERGIO "/>
    <s v="CLAUDIO "/>
  </r>
  <r>
    <x v="1"/>
    <s v="GO"/>
    <s v="0101"/>
    <n v="10"/>
    <x v="0"/>
    <s v="11026714P2201"/>
    <s v="NEO790 IPRO"/>
    <s v="S1"/>
    <s v="P2"/>
    <s v="S1"/>
    <s v="P2"/>
    <s v="BG"/>
    <n v="30"/>
    <n v="904"/>
    <s v="S1"/>
    <n v="904"/>
    <n v="30"/>
    <s v="Cam.B"/>
    <s v="QD.23"/>
    <s v="F3"/>
    <s v="SIM"/>
    <n v="1"/>
    <d v="2026-07-29T00:00:00"/>
    <x v="3"/>
    <s v="SAMUEL"/>
    <s v="SERGIO "/>
    <s v="CLAUDIO "/>
  </r>
  <r>
    <x v="1"/>
    <s v="GO"/>
    <s v="0101"/>
    <n v="10"/>
    <x v="0"/>
    <s v="11026273P1204"/>
    <s v="NEO800 I2X"/>
    <s v="S1"/>
    <s v="P1"/>
    <s v="S1"/>
    <s v="P1"/>
    <s v="BG"/>
    <n v="30"/>
    <n v="697"/>
    <s v="S1"/>
    <n v="697"/>
    <n v="30"/>
    <s v="Cam.B"/>
    <s v="QD.26"/>
    <s v="F1"/>
    <s v="SIM"/>
    <n v="1"/>
    <d v="2026-07-29T00:00:00"/>
    <x v="3"/>
    <s v="SAMUEL"/>
    <s v="SERGIO "/>
    <s v="CLAUDIO "/>
  </r>
  <r>
    <x v="1"/>
    <s v="GO"/>
    <s v="0101"/>
    <n v="10"/>
    <x v="0"/>
    <s v="11026273P2205"/>
    <s v="NEO800 I2X"/>
    <s v="S1"/>
    <s v="P2"/>
    <s v="S1"/>
    <s v="P2"/>
    <s v="BG"/>
    <n v="30"/>
    <n v="854"/>
    <s v="S1"/>
    <n v="854"/>
    <n v="30"/>
    <s v="Cam.B"/>
    <s v="QD.29"/>
    <s v="F1"/>
    <s v="SIM"/>
    <n v="1"/>
    <d v="2026-07-29T00:00:00"/>
    <x v="3"/>
    <s v="SAMUEL"/>
    <s v="SERGIO "/>
    <s v="CLAUDIO "/>
  </r>
  <r>
    <x v="1"/>
    <s v="GO"/>
    <s v="0101"/>
    <n v="10"/>
    <x v="0"/>
    <s v="11026273P1206"/>
    <s v="NEO800 I2X"/>
    <s v="S1"/>
    <s v="P1"/>
    <s v="S1"/>
    <s v="P1"/>
    <s v="BG"/>
    <n v="30"/>
    <n v="680"/>
    <s v="S1"/>
    <n v="680"/>
    <n v="30"/>
    <s v="Cam.B"/>
    <s v="QD.26"/>
    <s v="F2"/>
    <s v="SIM"/>
    <n v="1"/>
    <d v="2026-07-29T00:00:00"/>
    <x v="3"/>
    <s v="SAMUEL"/>
    <s v="SERGIO "/>
    <s v="CLAUDIO "/>
  </r>
  <r>
    <x v="1"/>
    <s v="GO"/>
    <s v="0101"/>
    <n v="10"/>
    <x v="0"/>
    <s v="11026273P2207"/>
    <s v="NEO800 I2X"/>
    <s v="S1"/>
    <s v="P2"/>
    <s v="S1"/>
    <s v="P2"/>
    <s v="BG"/>
    <n v="30"/>
    <n v="838"/>
    <s v="S1"/>
    <n v="838"/>
    <n v="30"/>
    <s v="Cam.B            "/>
    <s v="QD.22"/>
    <s v="F3"/>
    <s v="SIM"/>
    <n v="1"/>
    <d v="2026-07-29T00:00:00"/>
    <x v="3"/>
    <s v="SAMUEL"/>
    <s v="SERGIO "/>
    <s v="CLAUDIO "/>
  </r>
  <r>
    <x v="1"/>
    <s v="GO"/>
    <s v="0101"/>
    <n v="10"/>
    <x v="0"/>
    <s v="11026273P1208"/>
    <s v="NEO800 I2X"/>
    <s v="S1"/>
    <s v="P1"/>
    <s v="S1"/>
    <s v="P1"/>
    <s v="BG"/>
    <n v="30"/>
    <n v="677"/>
    <s v="S1"/>
    <n v="677"/>
    <n v="30"/>
    <s v="Cam.B            "/>
    <s v="QD.27"/>
    <s v="F2"/>
    <s v="SIM"/>
    <n v="1"/>
    <d v="2026-07-29T00:00:00"/>
    <x v="3"/>
    <s v="SAMUEL"/>
    <s v="SERGIO "/>
    <s v="CLAUDIO "/>
  </r>
  <r>
    <x v="1"/>
    <s v="GO"/>
    <s v="0101"/>
    <n v="10"/>
    <x v="0"/>
    <s v="11026273P1209"/>
    <s v="NEO800 I2X"/>
    <s v="S1"/>
    <s v="P1"/>
    <s v="S1"/>
    <s v="P1"/>
    <s v="BG"/>
    <n v="30"/>
    <n v="690"/>
    <s v="S1"/>
    <n v="690"/>
    <n v="30"/>
    <s v="Cam.B"/>
    <s v="QD.26"/>
    <s v="F3"/>
    <s v="SIM"/>
    <n v="1"/>
    <d v="2026-07-29T00:00:00"/>
    <x v="3"/>
    <s v="SAMUEL"/>
    <s v="SERGIO "/>
    <s v="CLAUDIO "/>
  </r>
  <r>
    <x v="1"/>
    <s v="GO"/>
    <s v="0101"/>
    <n v="10"/>
    <x v="0"/>
    <s v="11026273P2210"/>
    <s v="NEO800 I2X"/>
    <s v="S1"/>
    <s v="P2"/>
    <s v="S1"/>
    <s v="P2"/>
    <s v="BG"/>
    <n v="30"/>
    <n v="822"/>
    <s v="S1"/>
    <n v="822"/>
    <n v="30"/>
    <s v="Cam.B"/>
    <s v="QD.29"/>
    <s v="F2"/>
    <s v="SIM"/>
    <n v="1"/>
    <d v="2026-07-29T00:00:00"/>
    <x v="3"/>
    <s v="SAMUEL"/>
    <s v="SERGIO "/>
    <s v="CLAUDIO "/>
  </r>
  <r>
    <x v="1"/>
    <s v="GO"/>
    <s v="0101"/>
    <n v="10"/>
    <x v="0"/>
    <s v="11026273P1211"/>
    <s v="NEO800 I2X"/>
    <s v="S1"/>
    <s v="P1"/>
    <s v="S1"/>
    <s v="P1"/>
    <s v="BG"/>
    <n v="30"/>
    <n v="674"/>
    <s v="S1"/>
    <n v="674"/>
    <n v="30"/>
    <s v="Cam.B"/>
    <s v="QD.27"/>
    <s v="F1"/>
    <s v="SIM"/>
    <n v="1"/>
    <d v="2026-07-29T00:00:00"/>
    <x v="3"/>
    <s v="SAMUEL"/>
    <s v="SERGIO "/>
    <s v="CLAUDIO "/>
  </r>
  <r>
    <x v="1"/>
    <s v="GO"/>
    <s v="0101"/>
    <n v="10"/>
    <x v="0"/>
    <s v="11026273P1212"/>
    <s v="NEO800 I2X"/>
    <s v="S1"/>
    <s v="P1"/>
    <s v="S1"/>
    <s v="P1"/>
    <s v="BG"/>
    <n v="30"/>
    <n v="639"/>
    <s v="S1"/>
    <n v="639"/>
    <n v="30"/>
    <s v="Cam.B"/>
    <s v="QD.27"/>
    <s v="F3"/>
    <s v="SIM"/>
    <n v="1"/>
    <d v="2026-07-29T00:00:00"/>
    <x v="3"/>
    <s v="SAMUEL"/>
    <s v="SERGIO "/>
    <s v="CLAUDIO "/>
  </r>
  <r>
    <x v="1"/>
    <s v="GO"/>
    <s v="0101"/>
    <n v="10"/>
    <x v="0"/>
    <s v="11026273P2213"/>
    <s v="NEO800 I2X"/>
    <s v="S1"/>
    <s v="P2"/>
    <s v="S1"/>
    <s v="P2"/>
    <s v="BG"/>
    <n v="10"/>
    <n v="832"/>
    <s v="S1"/>
    <n v="832"/>
    <n v="10"/>
    <s v="Cam.B"/>
    <s v="QD.07"/>
    <s v="F3"/>
    <s v="SIM"/>
    <n v="1"/>
    <d v="2026-07-29T00:00:00"/>
    <x v="3"/>
    <s v="SAMUEL"/>
    <s v="SERGIO "/>
    <s v="CLAUDIO "/>
  </r>
  <r>
    <x v="1"/>
    <s v="GO"/>
    <s v="0101"/>
    <n v="10"/>
    <x v="0"/>
    <s v="11026760P1214"/>
    <s v="SOYTECH 745 I2X"/>
    <s v="C1"/>
    <s v="P1"/>
    <s v="C1"/>
    <s v="P1"/>
    <s v="BG"/>
    <n v="30"/>
    <n v="695"/>
    <s v="C1"/>
    <n v="695"/>
    <n v="30"/>
    <s v="Cam.B            "/>
    <s v=" QD.38 "/>
    <s v="F1    "/>
    <s v="SIM"/>
    <n v="1"/>
    <d v="2026-07-29T00:00:00"/>
    <x v="3"/>
    <s v="SAMUEL"/>
    <s v="SERGIO "/>
    <s v="CLAUDIO "/>
  </r>
  <r>
    <x v="1"/>
    <s v="GO"/>
    <s v="0101"/>
    <n v="10"/>
    <x v="0"/>
    <s v="11026760P2215"/>
    <s v="SOYTECH 745 I2X"/>
    <s v="C1"/>
    <s v="P2"/>
    <s v="C1"/>
    <s v="P2"/>
    <s v="BG"/>
    <n v="30"/>
    <n v="819"/>
    <s v="C1"/>
    <n v="819"/>
    <n v="30"/>
    <s v="Cam.B"/>
    <s v="QD.23"/>
    <s v="F2"/>
    <s v="SIM"/>
    <n v="1"/>
    <d v="2026-07-29T00:00:00"/>
    <x v="3"/>
    <s v="SAMUEL"/>
    <s v="SERGIO "/>
    <s v="CLAUDIO "/>
  </r>
  <r>
    <x v="1"/>
    <s v="GO"/>
    <s v="0101"/>
    <n v="10"/>
    <x v="0"/>
    <s v="11026760P2216"/>
    <s v="SOYTECH 745 I2X"/>
    <s v="C1"/>
    <s v="P2"/>
    <s v="C1"/>
    <s v="P2"/>
    <s v="BG"/>
    <n v="30"/>
    <n v="802"/>
    <s v="C1"/>
    <n v="802"/>
    <n v="30"/>
    <s v="Cam.B"/>
    <s v="QD.28"/>
    <s v="F2"/>
    <s v="SIM"/>
    <n v="1"/>
    <d v="2026-07-29T00:00:00"/>
    <x v="3"/>
    <s v="SAMUEL"/>
    <s v="SERGIO "/>
    <s v="CLAUDIO "/>
  </r>
  <r>
    <x v="1"/>
    <s v="GO"/>
    <s v="0101"/>
    <n v="10"/>
    <x v="0"/>
    <s v="11026760P1217"/>
    <s v="SOYTECH 745 I2X"/>
    <s v="C1"/>
    <s v="P1"/>
    <s v="C1"/>
    <s v="P1"/>
    <s v="BG"/>
    <n v="30"/>
    <n v="651"/>
    <s v="C1"/>
    <n v="651"/>
    <n v="30"/>
    <s v="Cam.B"/>
    <s v="QD.24"/>
    <s v="F2"/>
    <s v="SIM"/>
    <n v="1"/>
    <d v="2026-07-29T00:00:00"/>
    <x v="3"/>
    <s v="SAMUEL"/>
    <s v="SERGIO "/>
    <s v="CLAUDIO "/>
  </r>
  <r>
    <x v="1"/>
    <s v="GO"/>
    <s v="0101"/>
    <n v="10"/>
    <x v="0"/>
    <s v="11026760P1218"/>
    <s v="SOYTECH 745 I2X"/>
    <s v="C1"/>
    <s v="P1"/>
    <s v="C1"/>
    <s v="P1"/>
    <s v="BG"/>
    <n v="30"/>
    <n v="646"/>
    <s v="C1"/>
    <n v="646"/>
    <n v="30"/>
    <s v="Cam.B"/>
    <s v="QD.24"/>
    <s v="F1"/>
    <s v="SIM"/>
    <n v="1"/>
    <d v="2026-07-29T00:00:00"/>
    <x v="3"/>
    <s v="SAMUEL"/>
    <s v="SERGIO "/>
    <s v="CLAUDIO "/>
  </r>
  <r>
    <x v="1"/>
    <s v="GO"/>
    <s v="0101"/>
    <n v="10"/>
    <x v="0"/>
    <s v="11026760P2219"/>
    <s v="SOYTECH 745 I2X"/>
    <s v="C1"/>
    <s v="P2"/>
    <s v="C1"/>
    <s v="P2"/>
    <s v="BG"/>
    <n v="30"/>
    <n v="815"/>
    <s v="C1"/>
    <n v="815"/>
    <n v="30"/>
    <s v="Cam.B"/>
    <s v="QD.28"/>
    <s v="F1"/>
    <s v="SIM"/>
    <n v="1"/>
    <d v="2026-07-29T00:00:00"/>
    <x v="3"/>
    <s v="SAMUEL"/>
    <s v="SERGIO "/>
    <s v="CLAUDIO "/>
  </r>
  <r>
    <x v="1"/>
    <s v="GO"/>
    <s v="0101"/>
    <n v="10"/>
    <x v="0"/>
    <s v="11026760P2220"/>
    <s v="SOYTECH 745 I2X"/>
    <s v="C1"/>
    <s v="P2"/>
    <s v="C1"/>
    <s v="P2"/>
    <s v="BG"/>
    <n v="30"/>
    <n v="796"/>
    <s v="C1"/>
    <n v="796"/>
    <n v="30"/>
    <s v="Cam.B"/>
    <s v="QD.23"/>
    <s v="F1"/>
    <s v="SIM"/>
    <n v="1"/>
    <d v="2026-07-29T00:00:00"/>
    <x v="3"/>
    <s v="SAMUEL"/>
    <s v="SERGIO "/>
    <s v="CLAUDIO "/>
  </r>
  <r>
    <x v="1"/>
    <s v="GO"/>
    <s v="0101"/>
    <n v="10"/>
    <x v="0"/>
    <s v="11026760P1221"/>
    <s v="SOYTECH 745 I2X"/>
    <s v="C1"/>
    <s v="P1"/>
    <s v="C1"/>
    <s v="P1"/>
    <s v="BG"/>
    <n v="30"/>
    <n v="648"/>
    <s v="C1"/>
    <n v="648"/>
    <n v="30"/>
    <s v="Cam.B"/>
    <s v="QD.24"/>
    <s v="F3"/>
    <s v="SIM"/>
    <n v="1"/>
    <d v="2026-07-29T00:00:00"/>
    <x v="3"/>
    <s v="SAMUEL"/>
    <s v="SERGIO "/>
    <s v="CLAUDIO "/>
  </r>
  <r>
    <x v="1"/>
    <s v="GO"/>
    <s v="0101"/>
    <n v="10"/>
    <x v="0"/>
    <s v="11026760P2222"/>
    <s v="SOYTECH 745 I2X"/>
    <s v="C1"/>
    <s v="P2"/>
    <s v="C1"/>
    <s v="P2"/>
    <s v="BG"/>
    <n v="30"/>
    <n v="794"/>
    <s v="C1"/>
    <n v="794"/>
    <n v="30"/>
    <s v="Cam.B            "/>
    <s v=" QD.39 "/>
    <s v="F2"/>
    <s v="SIM"/>
    <n v="1"/>
    <d v="2026-07-29T00:00:00"/>
    <x v="3"/>
    <s v="SAMUEL"/>
    <s v="SERGIO "/>
    <s v="CLAUDIO "/>
  </r>
  <r>
    <x v="1"/>
    <s v="GO"/>
    <s v="0101"/>
    <n v="10"/>
    <x v="0"/>
    <s v="11026760P1223"/>
    <s v="SOYTECH 745 I2X"/>
    <s v="C1"/>
    <s v="P1"/>
    <s v="C1"/>
    <s v="P1"/>
    <s v="BG"/>
    <n v="30"/>
    <n v="643"/>
    <s v="C1"/>
    <n v="643"/>
    <n v="30"/>
    <s v="Cam.B            "/>
    <s v="  QD.38  "/>
    <s v="F2"/>
    <s v="SIM"/>
    <n v="1"/>
    <d v="2026-07-29T00:00:00"/>
    <x v="3"/>
    <s v="SAMUEL"/>
    <s v="SERGIO "/>
    <s v="CLAUDIO "/>
  </r>
  <r>
    <x v="1"/>
    <s v="GO"/>
    <s v="0101"/>
    <n v="10"/>
    <x v="0"/>
    <s v="11026760P2224"/>
    <s v="SOYTECH 745 I2X"/>
    <s v="C1"/>
    <s v="P2"/>
    <s v="C1"/>
    <s v="P2"/>
    <s v="BG"/>
    <n v="30"/>
    <n v="793"/>
    <s v="C1"/>
    <n v="793"/>
    <n v="30"/>
    <s v="Cam.B"/>
    <s v="QD.28"/>
    <s v="F3"/>
    <s v="SIM"/>
    <n v="1"/>
    <d v="2026-07-29T00:00:00"/>
    <x v="3"/>
    <s v="SAMUEL"/>
    <s v="SERGIO "/>
    <s v="CLAUDIO "/>
  </r>
  <r>
    <x v="1"/>
    <s v="GO"/>
    <s v="0101"/>
    <n v="10"/>
    <x v="0"/>
    <s v="11026760P2225"/>
    <s v="SOYTECH 745 I2X"/>
    <s v="C1"/>
    <s v="P2"/>
    <s v="C1"/>
    <s v="P2"/>
    <s v="BG"/>
    <n v="30"/>
    <n v="791"/>
    <s v="C1"/>
    <n v="791"/>
    <n v="30"/>
    <s v="Cam.B"/>
    <s v="QD.04"/>
    <s v="F4"/>
    <s v="SIM"/>
    <n v="1"/>
    <d v="2026-07-29T00:00:00"/>
    <x v="3"/>
    <s v="SAMUEL"/>
    <s v="SERGIO "/>
    <s v="CLAUDIO "/>
  </r>
  <r>
    <x v="1"/>
    <s v="GO"/>
    <s v="0101"/>
    <n v="10"/>
    <x v="0"/>
    <s v="11026760P1226"/>
    <s v="SOYTECH 745 I2X"/>
    <s v="C1"/>
    <s v="P1"/>
    <s v="C1"/>
    <s v="P1"/>
    <s v="BG"/>
    <n v="30"/>
    <n v="644"/>
    <s v="C1"/>
    <n v="644"/>
    <n v="30"/>
    <s v="Cam.B"/>
    <s v="QD.04"/>
    <s v="F3"/>
    <s v="SIM"/>
    <n v="1"/>
    <d v="2026-07-29T00:00:00"/>
    <x v="3"/>
    <s v="SAMUEL"/>
    <s v="SERGIO "/>
    <s v="CLAUDIO "/>
  </r>
  <r>
    <x v="1"/>
    <s v="GO"/>
    <s v="0101"/>
    <n v="10"/>
    <x v="0"/>
    <s v="11026760P2227"/>
    <s v="SOYTECH 745 I2X"/>
    <s v="C1"/>
    <s v="P2"/>
    <s v="C1"/>
    <s v="P2"/>
    <s v="BG"/>
    <n v="30"/>
    <n v="804"/>
    <s v="C1"/>
    <n v="804"/>
    <n v="30"/>
    <s v="Cam.B"/>
    <s v="QD.23"/>
    <s v="F3"/>
    <s v="SIM"/>
    <n v="1"/>
    <d v="2026-07-29T00:00:00"/>
    <x v="3"/>
    <s v="SAMUEL"/>
    <s v="SERGIO "/>
    <s v="CLAUDIO "/>
  </r>
  <r>
    <x v="1"/>
    <s v="GO"/>
    <s v="0101"/>
    <n v="10"/>
    <x v="0"/>
    <s v="11026760P1228"/>
    <s v="SOYTECH 745 I2X"/>
    <s v="C1"/>
    <s v="P1"/>
    <s v="C1"/>
    <s v="P1"/>
    <s v="BG"/>
    <n v="30"/>
    <n v="638"/>
    <s v="C1"/>
    <n v="638"/>
    <n v="30"/>
    <s v="Cam.B            "/>
    <s v="  QD.38  "/>
    <s v="F4"/>
    <s v="SIM"/>
    <n v="1"/>
    <d v="2026-07-29T00:00:00"/>
    <x v="3"/>
    <s v="SAMUEL"/>
    <s v="SERGIO "/>
    <s v="CLAUDIO "/>
  </r>
  <r>
    <x v="1"/>
    <s v="GO"/>
    <s v="0101"/>
    <n v="10"/>
    <x v="0"/>
    <s v="11026760P2229"/>
    <s v="SOYTECH 745 I2X"/>
    <s v="C1"/>
    <s v="P2"/>
    <s v="C1"/>
    <s v="P2"/>
    <s v="BG"/>
    <n v="30"/>
    <n v="787"/>
    <s v="C1"/>
    <n v="787"/>
    <n v="30"/>
    <s v="Cam.B            "/>
    <s v=" QD.39 "/>
    <s v="F3"/>
    <s v="SIM"/>
    <n v="1"/>
    <d v="2026-07-29T00:00:00"/>
    <x v="3"/>
    <s v="SAMUEL"/>
    <s v="SERGIO "/>
    <s v="CLAUDIO "/>
  </r>
  <r>
    <x v="1"/>
    <s v="GO"/>
    <s v="0101"/>
    <n v="10"/>
    <x v="0"/>
    <s v="11026760P2230"/>
    <s v="SOYTECH 745 I2X"/>
    <s v="C1"/>
    <s v="P2"/>
    <s v="C1"/>
    <s v="P2"/>
    <s v="BG"/>
    <n v="30"/>
    <n v="792"/>
    <s v="C1"/>
    <n v="792"/>
    <n v="30"/>
    <s v="Cam.B            "/>
    <s v="QD.38"/>
    <s v="F1   "/>
    <s v="SIM"/>
    <n v="1"/>
    <d v="2026-07-29T00:00:00"/>
    <x v="3"/>
    <s v="SAMUEL"/>
    <s v="SERGIO "/>
    <s v="CLAUDIO "/>
  </r>
  <r>
    <x v="1"/>
    <s v="GO"/>
    <s v="0101"/>
    <n v="10"/>
    <x v="0"/>
    <s v="11026760P1231"/>
    <s v="SOYTECH 745 I2X"/>
    <s v="C1"/>
    <s v="P1"/>
    <s v="C1"/>
    <s v="P1"/>
    <s v="BG"/>
    <n v="30"/>
    <n v="636"/>
    <s v="C1"/>
    <n v="636"/>
    <n v="30"/>
    <s v="Cam.B            "/>
    <s v="  QD.38  "/>
    <s v="F3"/>
    <s v="SIM"/>
    <n v="1"/>
    <d v="2026-07-29T00:00:00"/>
    <x v="3"/>
    <s v="SAMUEL"/>
    <s v="SERGIO "/>
    <s v="CLAUDIO "/>
  </r>
  <r>
    <x v="1"/>
    <s v="GO"/>
    <s v="0101"/>
    <n v="10"/>
    <x v="0"/>
    <s v="11026760P2232"/>
    <s v="SOYTECH 745 I2X"/>
    <s v="C1"/>
    <s v="P2"/>
    <s v="C1"/>
    <s v="P2"/>
    <s v="BG"/>
    <n v="17"/>
    <n v="808"/>
    <s v="C1"/>
    <n v="808"/>
    <n v="17"/>
    <s v="Cam.B"/>
    <s v="QD.07"/>
    <s v="F4"/>
    <s v="SIM"/>
    <n v="1"/>
    <d v="2026-07-29T00:00:00"/>
    <x v="3"/>
    <s v="SAMUEL"/>
    <s v="SERGIO "/>
    <s v="CLAUDIO "/>
  </r>
  <r>
    <x v="1"/>
    <s v="GO"/>
    <s v="0101"/>
    <n v="10"/>
    <x v="0"/>
    <s v="11026756P1233"/>
    <s v="C2810CE"/>
    <s v="C1"/>
    <s v="P1"/>
    <s v="C1"/>
    <s v="P1"/>
    <s v="BG"/>
    <n v="30"/>
    <n v="730"/>
    <s v="C1"/>
    <n v="730"/>
    <n v="30"/>
    <s v="Cam.B            "/>
    <s v="QD.39"/>
    <s v="F1  "/>
    <s v="SIM"/>
    <n v="1"/>
    <d v="2026-07-29T00:00:00"/>
    <x v="3"/>
    <s v="SAMUEL"/>
    <s v="SERGIO "/>
    <s v="CLAUDIO "/>
  </r>
  <r>
    <x v="1"/>
    <s v="GO"/>
    <s v="0101"/>
    <n v="10"/>
    <x v="0"/>
    <s v="11026756P2234"/>
    <s v="C2810CE"/>
    <s v="C1"/>
    <s v="P2"/>
    <s v="C1"/>
    <s v="P2"/>
    <s v="BG"/>
    <n v="30"/>
    <n v="871"/>
    <s v="C1"/>
    <n v="871"/>
    <n v="30"/>
    <s v="Cam.B            "/>
    <s v="QD.39"/>
    <s v="F3"/>
    <s v="SIM"/>
    <n v="1"/>
    <d v="2026-07-29T00:00:00"/>
    <x v="3"/>
    <s v="SAMUEL"/>
    <s v="SERGIO "/>
    <s v="CLAUDIO "/>
  </r>
  <r>
    <x v="1"/>
    <s v="GO"/>
    <s v="0101"/>
    <n v="10"/>
    <x v="0"/>
    <s v="11026756P1235"/>
    <s v="C2810CE"/>
    <s v="C1"/>
    <s v="P1"/>
    <s v="C1"/>
    <s v="P1"/>
    <s v="BG"/>
    <n v="30"/>
    <n v="734"/>
    <s v="C1"/>
    <n v="734"/>
    <n v="30"/>
    <s v="Cam.B            "/>
    <s v="QD.39"/>
    <s v="F2"/>
    <s v="SIM"/>
    <n v="1"/>
    <d v="2026-07-29T00:00:00"/>
    <x v="3"/>
    <s v="SAMUEL"/>
    <s v="SERGIO "/>
    <s v="CLAUDIO "/>
  </r>
  <r>
    <x v="1"/>
    <s v="GO"/>
    <s v="0101"/>
    <n v="10"/>
    <x v="0"/>
    <s v="11026756P2236"/>
    <s v="C2810CE"/>
    <s v="C1"/>
    <s v="P2"/>
    <s v="C1"/>
    <s v="P2"/>
    <s v="BG"/>
    <n v="12"/>
    <n v="852"/>
    <s v="C1"/>
    <n v="852"/>
    <n v="12"/>
    <s v="Cam.B"/>
    <s v="QD.06"/>
    <s v="F2"/>
    <s v="SIM"/>
    <n v="1"/>
    <d v="2026-07-29T00:00:00"/>
    <x v="3"/>
    <s v="SAMUEL"/>
    <s v="SERGIO "/>
    <s v="CLAUDIO "/>
  </r>
  <r>
    <x v="1"/>
    <s v="GO"/>
    <s v="0101"/>
    <n v="10"/>
    <x v="0"/>
    <s v="11026714P2202"/>
    <s v="NEO790 IPRO"/>
    <s v="S1"/>
    <s v="P2"/>
    <s v="S1"/>
    <s v="P2"/>
    <s v="BG"/>
    <n v="30"/>
    <n v="909"/>
    <s v="S1"/>
    <n v="909"/>
    <n v="30"/>
    <s v="Cam.B"/>
    <s v="QD.12"/>
    <s v="F2"/>
    <s v="SIM"/>
    <n v="1"/>
    <d v="2026-07-29T00:00:00"/>
    <x v="3"/>
    <s v="SAMUEL"/>
    <s v="SERGIO "/>
    <s v="CLAUDIO "/>
  </r>
  <r>
    <x v="1"/>
    <s v="GO"/>
    <s v="0101"/>
    <n v="10"/>
    <x v="0"/>
    <s v="11026714P1203"/>
    <s v="NEO790 IPRO"/>
    <s v="S1"/>
    <s v="P1"/>
    <s v="S1"/>
    <s v="P1"/>
    <s v="BG"/>
    <n v="30"/>
    <n v="711"/>
    <s v="S1"/>
    <n v="711"/>
    <n v="30"/>
    <s v="Cam.B            "/>
    <s v="QD.41"/>
    <s v="F1 "/>
    <s v="SIM"/>
    <n v="1"/>
    <d v="2026-07-29T00:00:00"/>
    <x v="3"/>
    <s v="SAMUEL"/>
    <s v="SERGIO "/>
    <s v="CLAUDIO "/>
  </r>
  <r>
    <x v="1"/>
    <s v="GO"/>
    <s v="0101"/>
    <n v="10"/>
    <x v="0"/>
    <s v="11026714P2237"/>
    <s v="NEO790 IPRO"/>
    <s v="S1"/>
    <s v="P2"/>
    <s v="S1"/>
    <s v="P2"/>
    <s v="BG"/>
    <n v="30"/>
    <n v="900"/>
    <s v="S1"/>
    <n v="900"/>
    <n v="30"/>
    <s v="Cam.B            "/>
    <s v=" QD.42 "/>
    <s v="F2"/>
    <s v="SIM"/>
    <n v="1"/>
    <d v="2026-07-29T00:00:00"/>
    <x v="3"/>
    <s v="SAMUEL"/>
    <s v="SERGIO "/>
    <s v="CLAUDIO "/>
  </r>
  <r>
    <x v="1"/>
    <s v="GO"/>
    <s v="0101"/>
    <n v="10"/>
    <x v="0"/>
    <s v="11026714P1238"/>
    <s v="NEO790 IPRO"/>
    <s v="S1"/>
    <s v="P1"/>
    <s v="S1"/>
    <s v="P1"/>
    <s v="BG"/>
    <n v="30"/>
    <n v="706"/>
    <s v="S1"/>
    <n v="706"/>
    <n v="30"/>
    <s v="Cam.A"/>
    <s v="QD.04"/>
    <s v="F3"/>
    <s v="SIM"/>
    <n v="1"/>
    <d v="2026-07-29T00:00:00"/>
    <x v="3"/>
    <s v="SAMUEL"/>
    <s v="SERGIO "/>
    <s v="CLAUDIO "/>
  </r>
  <r>
    <x v="1"/>
    <s v="GO"/>
    <s v="0101"/>
    <n v="10"/>
    <x v="0"/>
    <s v="11026714P2239"/>
    <s v="NEO790 IPRO"/>
    <s v="S1"/>
    <s v="P2"/>
    <s v="S1"/>
    <s v="P2"/>
    <s v="BG"/>
    <n v="30"/>
    <n v="898"/>
    <s v="S1"/>
    <n v="898"/>
    <n v="30"/>
    <s v="Cam.B            "/>
    <s v="QD.42"/>
    <s v="F1"/>
    <s v="SIM"/>
    <n v="1"/>
    <d v="2026-07-29T00:00:00"/>
    <x v="3"/>
    <s v="SAMUEL"/>
    <s v="SERGIO "/>
    <s v="CLAUDIO "/>
  </r>
  <r>
    <x v="1"/>
    <s v="GO"/>
    <s v="0101"/>
    <n v="10"/>
    <x v="0"/>
    <s v="11026714P1240"/>
    <s v="NEO790 IPRO"/>
    <s v="S1"/>
    <s v="P1"/>
    <s v="S1"/>
    <s v="P1"/>
    <s v="BG"/>
    <n v="30"/>
    <n v="705"/>
    <s v="S1"/>
    <n v="705"/>
    <n v="30"/>
    <s v="Cam.A"/>
    <s v="QD.04"/>
    <s v="F2"/>
    <s v="SIM"/>
    <n v="1"/>
    <d v="2026-07-29T00:00:00"/>
    <x v="3"/>
    <s v="SAMUEL"/>
    <s v="SERGIO "/>
    <s v="CLAUDIO "/>
  </r>
  <r>
    <x v="1"/>
    <s v="GO"/>
    <s v="0101"/>
    <n v="10"/>
    <x v="0"/>
    <s v="11026714P2241"/>
    <s v="NEO790 IPRO"/>
    <s v="S1"/>
    <s v="P2"/>
    <s v="S1"/>
    <s v="P2"/>
    <s v="BG"/>
    <n v="27"/>
    <n v="927"/>
    <s v="S1"/>
    <n v="927"/>
    <n v="27"/>
    <s v="Cam.B"/>
    <s v="QD.14"/>
    <s v="F3"/>
    <s v="SIM"/>
    <n v="1"/>
    <d v="2026-07-29T00:00:00"/>
    <x v="3"/>
    <s v="SAMUEL"/>
    <s v="SERGIO "/>
    <s v="CLAUDIO "/>
  </r>
  <r>
    <x v="1"/>
    <s v="GO"/>
    <s v="0101"/>
    <n v="10"/>
    <x v="0"/>
    <s v="11026714P1242"/>
    <s v="NEO790 IPRO"/>
    <s v="S1"/>
    <s v="P1"/>
    <s v="S1"/>
    <s v="P1"/>
    <s v="BG"/>
    <n v="30"/>
    <n v="705"/>
    <s v="S1"/>
    <n v="705"/>
    <n v="30"/>
    <s v="Cam.A"/>
    <s v="QD.04"/>
    <s v="  F1  "/>
    <s v="SIM"/>
    <n v="1"/>
    <d v="2026-07-29T00:00:00"/>
    <x v="3"/>
    <s v="SAMUEL"/>
    <s v="SERGIO "/>
    <s v="CLAUDIO "/>
  </r>
  <r>
    <x v="1"/>
    <s v="GO"/>
    <s v="0101"/>
    <n v="10"/>
    <x v="0"/>
    <s v="11026714P2243"/>
    <s v="NEO790 IPRO"/>
    <s v="S1"/>
    <s v="P2"/>
    <s v="S1"/>
    <s v="P2"/>
    <s v="BG"/>
    <n v="30"/>
    <n v="904"/>
    <s v="S1"/>
    <n v="904"/>
    <n v="30"/>
    <s v="Cam.B            "/>
    <s v="QD.35"/>
    <s v="F2"/>
    <s v="SIM"/>
    <n v="1"/>
    <d v="2026-07-29T00:00:00"/>
    <x v="3"/>
    <s v="SAMUEL"/>
    <s v="SERGIO "/>
    <s v="CLAUDIO "/>
  </r>
  <r>
    <x v="1"/>
    <s v="GO"/>
    <s v="0101"/>
    <n v="10"/>
    <x v="0"/>
    <s v="11026714P2244"/>
    <s v="NEO790 IPRO"/>
    <s v="S1"/>
    <s v="P2"/>
    <s v="S1"/>
    <s v="P2"/>
    <s v="BG"/>
    <n v="27"/>
    <n v="910"/>
    <s v="S1"/>
    <n v="910"/>
    <n v="27"/>
    <s v="Cam.B            "/>
    <s v="QD.37"/>
    <s v="F1     "/>
    <s v="SIM"/>
    <n v="1"/>
    <d v="2026-07-29T00:00:00"/>
    <x v="3"/>
    <s v="SAMUEL"/>
    <s v="SERGIO "/>
    <s v="CLAUDIO "/>
  </r>
  <r>
    <x v="1"/>
    <s v="GO"/>
    <s v="0101"/>
    <n v="10"/>
    <x v="0"/>
    <s v="11026714P1245"/>
    <s v="NEO790 IPRO"/>
    <s v="S1"/>
    <s v="P1"/>
    <s v="S1"/>
    <s v="P1"/>
    <s v="BG"/>
    <n v="30"/>
    <n v="711"/>
    <s v="S1"/>
    <n v="711"/>
    <n v="30"/>
    <s v="Cam.B            "/>
    <s v=" QD.36 "/>
    <s v="F2"/>
    <s v="SIM"/>
    <n v="1"/>
    <d v="2026-07-29T00:00:00"/>
    <x v="3"/>
    <s v="SAMUEL"/>
    <s v="SERGIO "/>
    <s v="CLAUDIO "/>
  </r>
  <r>
    <x v="1"/>
    <s v="GO"/>
    <s v="0101"/>
    <n v="10"/>
    <x v="0"/>
    <s v="11026714P2246"/>
    <s v="NEO790 IPRO"/>
    <s v="S1"/>
    <s v="P2"/>
    <s v="S1"/>
    <s v="P2"/>
    <s v="BG"/>
    <n v="30"/>
    <n v="902"/>
    <s v="S1"/>
    <n v="902"/>
    <n v="30"/>
    <s v="Cam.B            "/>
    <s v=" QD.37 "/>
    <s v="F3"/>
    <s v="SIM"/>
    <n v="1"/>
    <d v="2026-07-29T00:00:00"/>
    <x v="3"/>
    <s v="SAMUEL"/>
    <s v="SERGIO "/>
    <s v="CLAUDIO "/>
  </r>
  <r>
    <x v="1"/>
    <s v="GO"/>
    <s v="0101"/>
    <n v="10"/>
    <x v="0"/>
    <s v="11026714P2247"/>
    <s v="NEO790 IPRO"/>
    <s v="S1"/>
    <s v="P2"/>
    <s v="S1"/>
    <s v="P2"/>
    <s v="BG"/>
    <n v="30"/>
    <n v="899"/>
    <s v="S1"/>
    <n v="899"/>
    <n v="30"/>
    <s v="Cam.B"/>
    <s v="QD.12"/>
    <s v="F3"/>
    <s v="SIM"/>
    <n v="1"/>
    <d v="2026-07-29T00:00:00"/>
    <x v="3"/>
    <s v="SAMUEL"/>
    <s v="SERGIO "/>
    <s v="CLAUDIO "/>
  </r>
  <r>
    <x v="1"/>
    <s v="GO"/>
    <s v="0101"/>
    <n v="10"/>
    <x v="0"/>
    <s v="11026714P1248"/>
    <s v="NEO790 IPRO"/>
    <s v="S1"/>
    <s v="P1"/>
    <s v="S1"/>
    <s v="P1"/>
    <s v="BG"/>
    <n v="30"/>
    <n v="707"/>
    <s v="S1"/>
    <n v="707"/>
    <n v="30"/>
    <s v="Cam.B            "/>
    <s v="QD.36"/>
    <s v="F1      "/>
    <s v="SIM"/>
    <n v="1"/>
    <d v="2026-07-29T00:00:00"/>
    <x v="3"/>
    <s v="SAMUEL"/>
    <s v="SERGIO "/>
    <s v="CLAUDIO "/>
  </r>
  <r>
    <x v="1"/>
    <s v="GO"/>
    <s v="0101"/>
    <n v="10"/>
    <x v="0"/>
    <s v="11026714P2249"/>
    <s v="NEO790 IPRO"/>
    <s v="S1"/>
    <s v="P2"/>
    <s v="S1"/>
    <s v="P2"/>
    <s v="BG"/>
    <n v="27"/>
    <n v="917"/>
    <s v="S1"/>
    <n v="917"/>
    <n v="27"/>
    <s v="Cam.B            "/>
    <s v="QD.37"/>
    <s v="F2"/>
    <s v="SIM"/>
    <n v="1"/>
    <d v="2026-07-29T00:00:00"/>
    <x v="3"/>
    <s v="SAMUEL"/>
    <s v="SERGIO "/>
    <s v="CLAUDIO "/>
  </r>
  <r>
    <x v="1"/>
    <s v="GO"/>
    <s v="0101"/>
    <n v="10"/>
    <x v="0"/>
    <s v="11026714P2250"/>
    <s v="NEO790 IPRO"/>
    <s v="S1"/>
    <s v="P2"/>
    <s v="S1"/>
    <s v="P2"/>
    <s v="BG"/>
    <n v="30"/>
    <n v="909"/>
    <s v="S1"/>
    <n v="909"/>
    <n v="30"/>
    <s v="Cam.B            "/>
    <s v="QD.15"/>
    <s v="F3"/>
    <s v="SIM"/>
    <n v="1"/>
    <d v="2026-07-29T00:00:00"/>
    <x v="3"/>
    <s v="SAMUEL"/>
    <s v="SERGIO "/>
    <s v="CLAUDIO "/>
  </r>
  <r>
    <x v="1"/>
    <s v="GO"/>
    <s v="0101"/>
    <n v="10"/>
    <x v="0"/>
    <s v="11026714P1251"/>
    <s v="NEO790 IPRO"/>
    <s v="S1"/>
    <s v="P1"/>
    <s v="S1"/>
    <s v="P1"/>
    <s v="BG"/>
    <n v="30"/>
    <n v="701"/>
    <s v="S1"/>
    <n v="701"/>
    <n v="30"/>
    <s v="Cam.B            "/>
    <s v=" QD.41 "/>
    <s v="F4"/>
    <s v="SIM"/>
    <n v="1"/>
    <d v="2026-07-29T00:00:00"/>
    <x v="3"/>
    <s v="SAMUEL"/>
    <s v="SERGIO "/>
    <s v="CLAUDIO "/>
  </r>
  <r>
    <x v="1"/>
    <s v="GO"/>
    <s v="0101"/>
    <n v="10"/>
    <x v="0"/>
    <s v="11026714P2252"/>
    <s v="NEO790 IPRO"/>
    <s v="S1"/>
    <s v="P2"/>
    <s v="S1"/>
    <s v="P2"/>
    <s v="BG"/>
    <n v="30"/>
    <n v="887"/>
    <s v="S1"/>
    <n v="887"/>
    <n v="30"/>
    <s v="Cam.B            "/>
    <s v=" QD.36 "/>
    <s v="F4"/>
    <s v="SIM"/>
    <n v="1"/>
    <d v="2026-07-29T00:00:00"/>
    <x v="3"/>
    <s v="SAMUEL"/>
    <s v="SERGIO "/>
    <s v="CLAUDIO "/>
  </r>
  <r>
    <x v="1"/>
    <s v="GO"/>
    <s v="0101"/>
    <n v="10"/>
    <x v="0"/>
    <s v="11026714P1253"/>
    <s v="NEO790 IPRO"/>
    <s v="S1"/>
    <s v="P1"/>
    <s v="S1"/>
    <s v="P1"/>
    <s v="BG"/>
    <n v="30"/>
    <n v="700"/>
    <s v="S1"/>
    <n v="700"/>
    <n v="30"/>
    <s v="Cam.B            "/>
    <s v=" QD.36 "/>
    <s v="F3"/>
    <s v="SIM"/>
    <n v="1"/>
    <d v="2026-07-29T00:00:00"/>
    <x v="3"/>
    <s v="SAMUEL"/>
    <s v="SERGIO "/>
    <s v="CLAUDIO "/>
  </r>
  <r>
    <x v="1"/>
    <s v="GO"/>
    <s v="0101"/>
    <n v="10"/>
    <x v="0"/>
    <s v="11026714P2254"/>
    <s v="NEO790 IPRO"/>
    <s v="S1"/>
    <s v="P2"/>
    <s v="S1"/>
    <s v="P2"/>
    <s v="BG"/>
    <n v="30"/>
    <n v="904"/>
    <s v="S1"/>
    <n v="904"/>
    <n v="30"/>
    <s v="Cam.B            "/>
    <s v=" QD.42 "/>
    <s v="F4"/>
    <s v="SIM"/>
    <n v="1"/>
    <d v="2026-07-29T00:00:00"/>
    <x v="3"/>
    <s v="SAMUEL"/>
    <s v="SERGIO "/>
    <s v="CLAUDIO "/>
  </r>
  <r>
    <x v="1"/>
    <s v="GO"/>
    <s v="0101"/>
    <n v="10"/>
    <x v="0"/>
    <s v="11026714P2255"/>
    <s v="NEO790 IPRO"/>
    <s v="S1"/>
    <s v="P2"/>
    <s v="S1"/>
    <s v="P2"/>
    <s v="BG"/>
    <n v="27"/>
    <n v="920"/>
    <s v="S1"/>
    <n v="920"/>
    <n v="27"/>
    <s v="Cam.B            "/>
    <s v=" QD.37 "/>
    <s v="F4"/>
    <s v="SIM"/>
    <n v="1"/>
    <d v="2026-07-29T00:00:00"/>
    <x v="3"/>
    <s v="SAMUEL"/>
    <s v="SERGIO "/>
    <s v="CLAUDIO "/>
  </r>
  <r>
    <x v="1"/>
    <s v="GO"/>
    <s v="0101"/>
    <n v="10"/>
    <x v="0"/>
    <s v="11026714P1256"/>
    <s v="NEO790 IPRO"/>
    <s v="S1"/>
    <s v="P1"/>
    <s v="S1"/>
    <s v="P1"/>
    <s v="BG"/>
    <n v="30"/>
    <n v="708"/>
    <s v="S1"/>
    <n v="708"/>
    <n v="30"/>
    <s v="Cam.B            "/>
    <s v="QD.34"/>
    <s v="F2"/>
    <s v="SIM"/>
    <n v="1"/>
    <d v="2026-07-29T00:00:00"/>
    <x v="3"/>
    <s v="SAMUEL"/>
    <s v="SERGIO "/>
    <s v="CLAUDIO "/>
  </r>
  <r>
    <x v="1"/>
    <s v="GO"/>
    <s v="0101"/>
    <n v="10"/>
    <x v="0"/>
    <s v="11026714P2257"/>
    <s v="NEO790 IPRO"/>
    <s v="S1"/>
    <s v="P2"/>
    <s v="S1"/>
    <s v="P2"/>
    <s v="BG"/>
    <n v="30"/>
    <n v="894"/>
    <s v="S1"/>
    <n v="894"/>
    <n v="30"/>
    <s v="Cam.B            "/>
    <s v="QD.35"/>
    <s v="F1       "/>
    <s v="SIM"/>
    <n v="1"/>
    <d v="2026-07-29T00:00:00"/>
    <x v="3"/>
    <s v="SAMUEL"/>
    <s v="SERGIO "/>
    <s v="CLAUDIO "/>
  </r>
  <r>
    <x v="1"/>
    <s v="GO"/>
    <s v="0101"/>
    <n v="10"/>
    <x v="0"/>
    <s v="11026714P2258"/>
    <s v="NEO790 IPRO"/>
    <s v="S1"/>
    <s v="P2"/>
    <s v="S1"/>
    <s v="P2"/>
    <s v="BG"/>
    <n v="30"/>
    <n v="903"/>
    <s v="S1"/>
    <n v="903"/>
    <n v="30"/>
    <s v="Cam.B            "/>
    <s v=" QD.42 "/>
    <s v="F3"/>
    <s v="SIM"/>
    <n v="1"/>
    <d v="2026-07-29T00:00:00"/>
    <x v="3"/>
    <s v="SAMUEL"/>
    <s v="SERGIO "/>
    <s v="CLAUDIO "/>
  </r>
  <r>
    <x v="1"/>
    <s v="GO"/>
    <s v="0101"/>
    <n v="10"/>
    <x v="0"/>
    <s v="11026714P1259"/>
    <s v="NEO790 IPRO"/>
    <s v="S1"/>
    <s v="P1"/>
    <s v="S1"/>
    <s v="P1"/>
    <s v="BG"/>
    <n v="30"/>
    <n v="702"/>
    <s v="S1"/>
    <n v="702"/>
    <n v="30"/>
    <s v="Cam.B            "/>
    <s v=" QD.41 "/>
    <s v="F3"/>
    <s v="SIM"/>
    <n v="1"/>
    <d v="2026-07-29T00:00:00"/>
    <x v="3"/>
    <s v="SAMUEL"/>
    <s v="SERGIO "/>
    <s v="CLAUDIO "/>
  </r>
  <r>
    <x v="1"/>
    <s v="GO"/>
    <s v="0101"/>
    <n v="10"/>
    <x v="0"/>
    <s v="11026714P2260"/>
    <s v="NEO790 IPRO"/>
    <s v="S1"/>
    <s v="P2"/>
    <s v="S1"/>
    <s v="P2"/>
    <s v="BG"/>
    <n v="27"/>
    <n v="918"/>
    <s v="S1"/>
    <n v="918"/>
    <n v="27"/>
    <s v="Cam.B            "/>
    <s v="QD.33"/>
    <s v="F2"/>
    <s v="SIM"/>
    <n v="1"/>
    <d v="2026-07-29T00:00:00"/>
    <x v="3"/>
    <s v="SAMUEL"/>
    <s v="SERGIO "/>
    <s v="CLAUDIO "/>
  </r>
  <r>
    <x v="1"/>
    <s v="GO"/>
    <s v="0101"/>
    <n v="10"/>
    <x v="0"/>
    <s v="11026714P1261"/>
    <s v="NEO790 IPRO"/>
    <s v="S1"/>
    <s v="P1"/>
    <s v="S1"/>
    <s v="P1"/>
    <s v="BG"/>
    <n v="30"/>
    <n v="692"/>
    <s v="S1"/>
    <n v="692"/>
    <n v="30"/>
    <s v="Cam.B            "/>
    <s v="QD.34"/>
    <s v="F1        "/>
    <s v="SIM"/>
    <n v="1"/>
    <d v="2026-07-29T00:00:00"/>
    <x v="3"/>
    <s v="SAMUEL"/>
    <s v="SERGIO "/>
    <s v="CLAUDIO "/>
  </r>
  <r>
    <x v="1"/>
    <s v="GO"/>
    <s v="0101"/>
    <n v="10"/>
    <x v="0"/>
    <s v="11026714P2262"/>
    <s v="NEO790 IPRO"/>
    <s v="S1"/>
    <s v="P2"/>
    <s v="S1"/>
    <s v="P2"/>
    <s v="BG"/>
    <n v="30"/>
    <n v="884"/>
    <s v="S1"/>
    <n v="884"/>
    <n v="30"/>
    <s v="Cam.B            "/>
    <s v="QD.33"/>
    <s v="F1        "/>
    <s v="SIM"/>
    <n v="1"/>
    <d v="2026-07-29T00:00:00"/>
    <x v="3"/>
    <s v="SAMUEL"/>
    <s v="SERGIO "/>
    <s v="CLAUDIO "/>
  </r>
  <r>
    <x v="1"/>
    <s v="GO"/>
    <s v="0101"/>
    <n v="10"/>
    <x v="0"/>
    <s v="11026714P1263"/>
    <s v="NEO790 IPRO"/>
    <s v="S1"/>
    <s v="P1"/>
    <s v="S1"/>
    <s v="P1"/>
    <s v="BG"/>
    <n v="30"/>
    <n v="705"/>
    <s v="S1"/>
    <n v="705"/>
    <n v="30"/>
    <s v="Cam.B            "/>
    <s v="QD.41"/>
    <s v="F2"/>
    <s v="SIM"/>
    <n v="1"/>
    <d v="2026-07-29T00:00:00"/>
    <x v="3"/>
    <s v="SAMUEL"/>
    <s v="SERGIO "/>
    <s v="CLAUDIO "/>
  </r>
  <r>
    <x v="1"/>
    <s v="GO"/>
    <s v="0101"/>
    <n v="10"/>
    <x v="0"/>
    <s v="11026714P2264"/>
    <s v="NEO790 IPRO"/>
    <s v="S1"/>
    <s v="P2"/>
    <s v="S1"/>
    <s v="P2"/>
    <s v="BG"/>
    <n v="30"/>
    <n v="901"/>
    <s v="S1"/>
    <n v="901"/>
    <n v="30"/>
    <s v="Cam.B            "/>
    <s v=" QD.33 "/>
    <s v="F3"/>
    <s v="SIM"/>
    <n v="1"/>
    <d v="2026-07-29T00:00:00"/>
    <x v="3"/>
    <s v="SAMUEL"/>
    <s v="SERGIO "/>
    <s v="CLAUDIO "/>
  </r>
  <r>
    <x v="1"/>
    <s v="GO"/>
    <s v="0101"/>
    <n v="10"/>
    <x v="0"/>
    <s v="11026714P2265"/>
    <s v="NEO790 IPRO"/>
    <s v="S1"/>
    <s v="P2"/>
    <s v="S1"/>
    <s v="P2"/>
    <s v="BG"/>
    <n v="30"/>
    <n v="896"/>
    <s v="S1"/>
    <n v="896"/>
    <n v="30"/>
    <s v="Cam.B            "/>
    <s v=" QD.33 "/>
    <s v="F4"/>
    <s v="SIM"/>
    <n v="1"/>
    <d v="2026-07-29T00:00:00"/>
    <x v="3"/>
    <s v="SAMUEL"/>
    <s v="SERGIO "/>
    <s v="CLAUDIO "/>
  </r>
  <r>
    <x v="1"/>
    <s v="GO"/>
    <s v="0101"/>
    <n v="10"/>
    <x v="0"/>
    <s v="11026714P1266"/>
    <s v="NEO790 IPRO"/>
    <s v="S1"/>
    <s v="P1"/>
    <s v="S1"/>
    <s v="P1"/>
    <s v="BG"/>
    <n v="29"/>
    <n v="710"/>
    <s v="S1"/>
    <n v="710"/>
    <n v="29"/>
    <s v="Cam.B"/>
    <s v="QD.11"/>
    <s v="F1"/>
    <s v="SIM"/>
    <n v="1"/>
    <d v="2026-07-29T00:00:00"/>
    <x v="3"/>
    <s v="SAMUEL"/>
    <s v="SERGIO "/>
    <s v="CLAUDIO "/>
  </r>
  <r>
    <x v="1"/>
    <s v="GO"/>
    <s v="0101"/>
    <n v="10"/>
    <x v="0"/>
    <s v="11026714P2267"/>
    <s v="NEO790 IPRO"/>
    <s v="S1"/>
    <s v="P2"/>
    <s v="S1"/>
    <s v="P2"/>
    <s v="BG"/>
    <n v="24"/>
    <n v="925"/>
    <s v="S1"/>
    <n v="925"/>
    <n v="24"/>
    <s v="Cam.B"/>
    <s v="QD.14"/>
    <s v="F2"/>
    <s v="SIM"/>
    <n v="1"/>
    <d v="2026-07-29T00:00:00"/>
    <x v="3"/>
    <s v="SAMUEL"/>
    <s v="SERGIO "/>
    <s v="CLAUDIO "/>
  </r>
  <r>
    <x v="1"/>
    <s v="GO"/>
    <s v="0101"/>
    <n v="10"/>
    <x v="0"/>
    <s v="11026273P1268"/>
    <s v="NEO800 I2X"/>
    <s v="S1"/>
    <s v="P1"/>
    <s v="S1"/>
    <s v="P1"/>
    <s v="BG"/>
    <n v="30"/>
    <n v="629"/>
    <s v="S1"/>
    <n v="629"/>
    <n v="30"/>
    <s v="Cam.B            "/>
    <s v="QD.22"/>
    <s v="F1"/>
    <s v="SIM"/>
    <n v="1"/>
    <d v="2026-07-29T00:00:00"/>
    <x v="3"/>
    <s v="SAMUEL"/>
    <s v="SERGIO "/>
    <s v="CLAUDIO "/>
  </r>
  <r>
    <x v="1"/>
    <s v="GO"/>
    <s v="0101"/>
    <n v="10"/>
    <x v="0"/>
    <s v="11026273P2269"/>
    <s v="NEO800 I2X"/>
    <s v="S1"/>
    <s v="P2"/>
    <s v="S1"/>
    <s v="P2"/>
    <s v="BG"/>
    <n v="30"/>
    <n v="814"/>
    <s v="S1"/>
    <n v="814"/>
    <n v="30"/>
    <s v="Cam.B            "/>
    <s v=" QD.32 "/>
    <s v="F3"/>
    <s v="SIM"/>
    <n v="1"/>
    <d v="2026-07-29T00:00:00"/>
    <x v="3"/>
    <s v="SAMUEL"/>
    <s v="SERGIO "/>
    <s v="CLAUDIO "/>
  </r>
  <r>
    <x v="1"/>
    <s v="GO"/>
    <s v="0101"/>
    <n v="10"/>
    <x v="0"/>
    <s v="11026273P1270"/>
    <s v="NEO800 I2X"/>
    <s v="S1"/>
    <s v="P1"/>
    <s v="S1"/>
    <s v="P1"/>
    <s v="BG"/>
    <n v="30"/>
    <n v="651"/>
    <s v="S1"/>
    <n v="651"/>
    <n v="30"/>
    <s v="Cam.B            "/>
    <s v="QD.22"/>
    <s v="F2"/>
    <s v="SIM"/>
    <n v="1"/>
    <d v="2026-07-29T00:00:00"/>
    <x v="3"/>
    <s v="SAMUEL"/>
    <s v="SERGIO "/>
    <s v="CLAUDIO "/>
  </r>
  <r>
    <x v="1"/>
    <s v="GO"/>
    <s v="0101"/>
    <n v="10"/>
    <x v="0"/>
    <s v="11026273P2271"/>
    <s v="NEO800 I2X"/>
    <s v="S1"/>
    <s v="P2"/>
    <s v="S1"/>
    <s v="P2"/>
    <s v="BG"/>
    <n v="30"/>
    <n v="834"/>
    <s v="S1"/>
    <n v="834"/>
    <n v="30"/>
    <s v="Cam.B            "/>
    <s v="QD.32"/>
    <s v="F1  "/>
    <s v="SIM"/>
    <n v="1"/>
    <d v="2026-07-29T00:00:00"/>
    <x v="3"/>
    <s v="SAMUEL"/>
    <s v="SERGIO "/>
    <s v="CLAUDIO "/>
  </r>
  <r>
    <x v="1"/>
    <s v="GO"/>
    <s v="0101"/>
    <n v="10"/>
    <x v="0"/>
    <s v="11026273P1272"/>
    <s v="NEO800 I2X"/>
    <s v="S1"/>
    <s v="P1"/>
    <s v="S1"/>
    <s v="P1"/>
    <s v="BG"/>
    <n v="30"/>
    <n v="628"/>
    <s v="S1"/>
    <n v="628"/>
    <n v="30"/>
    <s v="Cam.B            "/>
    <s v="QD.31"/>
    <s v="F3"/>
    <s v="SIM"/>
    <n v="1"/>
    <d v="2026-07-29T00:00:00"/>
    <x v="3"/>
    <s v="SAMUEL"/>
    <s v="SERGIO "/>
    <s v="CLAUDIO "/>
  </r>
  <r>
    <x v="1"/>
    <s v="GO"/>
    <s v="0101"/>
    <n v="10"/>
    <x v="0"/>
    <s v="11026273P2273"/>
    <s v="NEO800 I2X"/>
    <s v="S1"/>
    <s v="P2"/>
    <s v="S1"/>
    <s v="P2"/>
    <s v="BG"/>
    <n v="30"/>
    <n v="828"/>
    <s v="S1"/>
    <n v="828"/>
    <n v="30"/>
    <s v="Cam.B            "/>
    <s v="QD.31"/>
    <s v="F1   "/>
    <s v="SIM"/>
    <n v="1"/>
    <d v="2026-07-29T00:00:00"/>
    <x v="3"/>
    <s v="SAMUEL"/>
    <s v="SERGIO "/>
    <s v="CLAUDIO "/>
  </r>
  <r>
    <x v="1"/>
    <s v="GO"/>
    <s v="0101"/>
    <n v="10"/>
    <x v="0"/>
    <s v="11026273P1274"/>
    <s v="NEO800 I2X"/>
    <s v="S1"/>
    <s v="P1"/>
    <s v="S1"/>
    <s v="P1"/>
    <s v="BG"/>
    <n v="30"/>
    <n v="649"/>
    <s v="S1"/>
    <n v="649"/>
    <n v="30"/>
    <s v="Cam.B            "/>
    <s v="QD.25"/>
    <s v="F3"/>
    <s v="SIM"/>
    <n v="1"/>
    <d v="2026-07-29T00:00:00"/>
    <x v="3"/>
    <s v="SAMUEL"/>
    <s v="SERGIO "/>
    <s v="CLAUDIO "/>
  </r>
  <r>
    <x v="1"/>
    <s v="GO"/>
    <s v="0101"/>
    <n v="10"/>
    <x v="0"/>
    <s v="11026273P2275"/>
    <s v="NEO800 I2X"/>
    <s v="S1"/>
    <s v="P2"/>
    <s v="S1"/>
    <s v="P2"/>
    <s v="BG"/>
    <n v="30"/>
    <n v="862"/>
    <s v="S1"/>
    <n v="862"/>
    <n v="30"/>
    <s v="Cam.B            "/>
    <s v=" QD.32 "/>
    <s v="F2"/>
    <s v="SIM"/>
    <n v="1"/>
    <d v="2026-07-29T00:00:00"/>
    <x v="3"/>
    <s v="SAMUEL"/>
    <s v="SERGIO "/>
    <s v="CLAUDIO "/>
  </r>
  <r>
    <x v="1"/>
    <s v="GO"/>
    <s v="0101"/>
    <n v="10"/>
    <x v="0"/>
    <s v="11026273P1276"/>
    <s v="NEO800 I2X"/>
    <s v="S1"/>
    <s v="P1"/>
    <s v="S1"/>
    <s v="P1"/>
    <s v="BG"/>
    <n v="30"/>
    <n v="664"/>
    <s v="S1"/>
    <n v="664"/>
    <n v="30"/>
    <s v="Cam.B            "/>
    <s v="QD.21"/>
    <s v="F2"/>
    <s v="SIM"/>
    <n v="1"/>
    <d v="2026-07-29T00:00:00"/>
    <x v="3"/>
    <s v="SAMUEL"/>
    <s v="SERGIO "/>
    <s v="CLAUDIO "/>
  </r>
  <r>
    <x v="1"/>
    <s v="GO"/>
    <s v="0101"/>
    <n v="10"/>
    <x v="0"/>
    <s v="11026273P2277"/>
    <s v="NEO800 I2X"/>
    <s v="S1"/>
    <s v="P2"/>
    <s v="S1"/>
    <s v="P2"/>
    <s v="BG"/>
    <n v="30"/>
    <n v="852"/>
    <s v="S1"/>
    <n v="852"/>
    <n v="30"/>
    <s v="Cam.B            "/>
    <s v="QD.31"/>
    <s v="F2"/>
    <s v="SIM"/>
    <n v="1"/>
    <d v="2026-07-29T00:00:00"/>
    <x v="3"/>
    <s v="SAMUEL"/>
    <s v="SERGIO "/>
    <s v="CLAUDIO "/>
  </r>
  <r>
    <x v="1"/>
    <s v="GO"/>
    <s v="0101"/>
    <n v="10"/>
    <x v="0"/>
    <s v="11026273P1278"/>
    <s v="NEO800 I2X"/>
    <s v="S1"/>
    <s v="P1"/>
    <s v="S1"/>
    <s v="P1"/>
    <s v="BG"/>
    <n v="30"/>
    <n v="645"/>
    <s v="S1"/>
    <n v="645"/>
    <n v="30"/>
    <s v="Cam.B            "/>
    <s v="QD.21"/>
    <s v="F2"/>
    <s v="SIM"/>
    <n v="1"/>
    <d v="2026-07-29T00:00:00"/>
    <x v="3"/>
    <s v="SAMUEL"/>
    <s v="SERGIO "/>
    <s v="CLAUDIO "/>
  </r>
  <r>
    <x v="1"/>
    <s v="GO"/>
    <s v="0101"/>
    <n v="10"/>
    <x v="0"/>
    <s v="11026273P2279"/>
    <s v="NEO800 I2X"/>
    <s v="S1"/>
    <s v="P2"/>
    <s v="S1"/>
    <s v="P2"/>
    <s v="BG"/>
    <n v="30"/>
    <n v="835"/>
    <s v="S1"/>
    <n v="835"/>
    <n v="30"/>
    <s v="Cam.B            "/>
    <s v=" QD.32 "/>
    <s v="F4"/>
    <s v="SIM"/>
    <n v="1"/>
    <d v="2026-07-29T00:00:00"/>
    <x v="3"/>
    <s v="SAMUEL"/>
    <s v="SERGIO "/>
    <s v="CLAUDIO "/>
  </r>
  <r>
    <x v="1"/>
    <s v="GO"/>
    <s v="0101"/>
    <n v="10"/>
    <x v="0"/>
    <s v="11026273P2280"/>
    <s v="NEO800 I2X"/>
    <s v="S1"/>
    <s v="P2"/>
    <s v="S1"/>
    <s v="P2"/>
    <s v="BG"/>
    <n v="30"/>
    <n v="826"/>
    <s v="S1"/>
    <n v="826"/>
    <n v="30"/>
    <s v="Cam.B"/>
    <s v="QD.10"/>
    <s v="F3"/>
    <s v="SIM"/>
    <n v="1"/>
    <d v="2026-07-29T00:00:00"/>
    <x v="3"/>
    <s v="SAMUEL"/>
    <s v="SERGIO "/>
    <s v="CLAUDIO "/>
  </r>
  <r>
    <x v="1"/>
    <s v="GO"/>
    <s v="0101"/>
    <n v="10"/>
    <x v="0"/>
    <s v="11026757P1282"/>
    <s v="NEO780 CE"/>
    <s v="C1"/>
    <s v="P1"/>
    <s v="C1"/>
    <s v="P1"/>
    <s v="BG"/>
    <n v="30"/>
    <n v="729"/>
    <s v="C1"/>
    <n v="729"/>
    <n v="30"/>
    <s v="Cam.B"/>
    <s v="QD.23"/>
    <s v="F2"/>
    <s v="SIM"/>
    <n v="1"/>
    <d v="2026-07-29T00:00:00"/>
    <x v="3"/>
    <s v="SAMUEL"/>
    <s v="SERGIO "/>
    <s v="CLAUDIO "/>
  </r>
  <r>
    <x v="1"/>
    <s v="GO"/>
    <s v="0101"/>
    <n v="10"/>
    <x v="0"/>
    <s v="11026757P2283"/>
    <s v="NEO780 CE"/>
    <s v="C1"/>
    <s v="P2"/>
    <s v="C1"/>
    <s v="P2"/>
    <s v="BG"/>
    <n v="30"/>
    <n v="929"/>
    <s v="C1"/>
    <n v="929"/>
    <n v="30"/>
    <s v="Cam.B"/>
    <s v="QD.29"/>
    <s v="F3"/>
    <s v="SIM"/>
    <n v="1"/>
    <d v="2026-07-29T00:00:00"/>
    <x v="3"/>
    <s v="SAMUEL"/>
    <s v="SERGIO "/>
    <s v="CLAUDIO "/>
  </r>
  <r>
    <x v="1"/>
    <s v="GO"/>
    <s v="0101"/>
    <n v="10"/>
    <x v="0"/>
    <s v="11026757P2284"/>
    <s v="NEO780 CE"/>
    <s v="C1"/>
    <s v="P2"/>
    <s v="C1"/>
    <s v="P2"/>
    <s v="BG"/>
    <n v="30"/>
    <n v="913"/>
    <s v="C1"/>
    <n v="913"/>
    <n v="30"/>
    <s v="Cam.B"/>
    <s v="QD.29"/>
    <s v="F1"/>
    <s v="SIM"/>
    <n v="1"/>
    <d v="2026-07-29T00:00:00"/>
    <x v="3"/>
    <s v="SAMUEL"/>
    <s v="SERGIO "/>
    <s v="CLAUDIO "/>
  </r>
  <r>
    <x v="1"/>
    <s v="GO"/>
    <s v="0101"/>
    <n v="10"/>
    <x v="0"/>
    <s v="11026757P1285"/>
    <s v="NEO780 CE"/>
    <s v="C1"/>
    <s v="P1"/>
    <s v="C1"/>
    <s v="P1"/>
    <s v="BG"/>
    <n v="30"/>
    <n v="760"/>
    <s v="C1"/>
    <n v="760"/>
    <n v="30"/>
    <s v="Cam.B"/>
    <s v="QD.23"/>
    <s v="F1"/>
    <s v="SIM"/>
    <n v="1"/>
    <d v="2026-07-29T00:00:00"/>
    <x v="3"/>
    <s v="SAMUEL"/>
    <s v="SERGIO "/>
    <s v="CLAUDIO "/>
  </r>
  <r>
    <x v="1"/>
    <s v="GO"/>
    <s v="0101"/>
    <n v="10"/>
    <x v="0"/>
    <s v="11026757P1286"/>
    <s v="NEO780 CE"/>
    <s v="C1"/>
    <s v="P1"/>
    <s v="C1"/>
    <s v="P1"/>
    <s v="BG"/>
    <n v="0"/>
    <n v="740"/>
    <s v="C1"/>
    <s v="-"/>
    <n v="0"/>
    <s v="-"/>
    <s v="-"/>
    <s v="-"/>
    <s v="SIM"/>
    <n v="0"/>
    <d v="2026-07-29T00:00:00"/>
    <x v="3"/>
    <s v="SAMUEL"/>
    <s v="SERGIO "/>
    <s v="CLAUDIO "/>
  </r>
  <r>
    <x v="1"/>
    <s v="GO"/>
    <s v="0101"/>
    <n v="10"/>
    <x v="0"/>
    <s v="11026757P2287"/>
    <s v="NEO780 CE"/>
    <s v="C1"/>
    <s v="P2"/>
    <s v="C1"/>
    <s v="P2"/>
    <s v="BG"/>
    <n v="30"/>
    <n v="900"/>
    <s v="C1"/>
    <n v="900"/>
    <n v="30"/>
    <s v="Cam.B"/>
    <s v="QD.29"/>
    <s v="F2"/>
    <s v="SIM"/>
    <n v="1"/>
    <d v="2026-07-29T00:00:00"/>
    <x v="3"/>
    <s v="SAMUEL"/>
    <s v="SERGIO "/>
    <s v="CLAUDIO "/>
  </r>
  <r>
    <x v="1"/>
    <s v="GO"/>
    <s v="0101"/>
    <n v="10"/>
    <x v="0"/>
    <s v="11026757P1288"/>
    <s v="NEO780 CE"/>
    <s v="C1"/>
    <s v="P1"/>
    <s v="C1"/>
    <s v="P1"/>
    <s v="BG"/>
    <n v="6"/>
    <n v="733"/>
    <s v="C1"/>
    <n v="733"/>
    <n v="6"/>
    <s v="Cam.B"/>
    <s v="QD.05"/>
    <s v="F3"/>
    <s v="SIM"/>
    <n v="1"/>
    <d v="2026-07-29T00:00:00"/>
    <x v="3"/>
    <s v="SAMUEL"/>
    <s v="SERGIO "/>
    <s v="CLAUDIO "/>
  </r>
  <r>
    <x v="1"/>
    <s v="GO"/>
    <s v="0101"/>
    <n v="10"/>
    <x v="0"/>
    <s v="11026764P2289"/>
    <s v="NEO791 CE"/>
    <s v="C1"/>
    <s v="P2"/>
    <s v="C1"/>
    <s v="P2"/>
    <s v="BG"/>
    <n v="30"/>
    <n v="712"/>
    <s v="C1"/>
    <n v="712"/>
    <n v="30"/>
    <s v="Cam.B            "/>
    <s v="QD.18"/>
    <s v="F1"/>
    <s v="SIM"/>
    <n v="1"/>
    <d v="2026-07-29T00:00:00"/>
    <x v="3"/>
    <s v="SAMUEL"/>
    <s v="SERGIO "/>
    <s v="CLAUDIO "/>
  </r>
  <r>
    <x v="1"/>
    <s v="GO"/>
    <s v="0101"/>
    <n v="10"/>
    <x v="0"/>
    <s v="11026764P2291"/>
    <s v="NEO791 CE"/>
    <s v="C1"/>
    <s v="P2"/>
    <s v="C1"/>
    <s v="P2"/>
    <s v="BG"/>
    <n v="30"/>
    <n v="720"/>
    <s v="C1"/>
    <n v="720"/>
    <n v="30"/>
    <s v="Cam.B            "/>
    <s v="QD.18"/>
    <s v="F2"/>
    <s v="SIM"/>
    <n v="1"/>
    <d v="2026-07-29T00:00:00"/>
    <x v="3"/>
    <s v="SAMUEL"/>
    <s v="SERGIO "/>
    <s v="CLAUDIO "/>
  </r>
  <r>
    <x v="1"/>
    <s v="GO"/>
    <s v="0101"/>
    <n v="10"/>
    <x v="0"/>
    <s v="11026764P1290"/>
    <s v="NEO791 CE"/>
    <s v="C1"/>
    <s v="P1"/>
    <s v="C1"/>
    <s v="P1"/>
    <s v="BG"/>
    <n v="30"/>
    <n v="583"/>
    <s v="C1"/>
    <n v="583"/>
    <n v="30"/>
    <s v="Cam.B            "/>
    <s v="QD.20"/>
    <s v="F1 "/>
    <s v="SIM"/>
    <n v="1"/>
    <d v="2026-07-29T00:00:00"/>
    <x v="3"/>
    <s v="SAMUEL"/>
    <s v="SERGIO "/>
    <s v="CLAUDIO "/>
  </r>
  <r>
    <x v="1"/>
    <s v="GO"/>
    <s v="0101"/>
    <n v="10"/>
    <x v="0"/>
    <s v="11026764P2292"/>
    <s v="NEO791 CE"/>
    <s v="C1"/>
    <s v="P2"/>
    <s v="C1"/>
    <s v="P2"/>
    <s v="BG"/>
    <n v="30"/>
    <n v="770"/>
    <s v="C1"/>
    <n v="770"/>
    <n v="30"/>
    <s v="Cam.B            "/>
    <s v=" QD.18 "/>
    <s v="F4"/>
    <s v="SIM"/>
    <n v="1"/>
    <d v="2026-07-29T00:00:00"/>
    <x v="3"/>
    <s v="SAMUEL"/>
    <s v="SERGIO "/>
    <s v="CLAUDIO "/>
  </r>
  <r>
    <x v="1"/>
    <s v="GO"/>
    <s v="0101"/>
    <n v="10"/>
    <x v="0"/>
    <s v="11026764P2293"/>
    <s v="NEO791 CE"/>
    <s v="C1"/>
    <s v="P2"/>
    <s v="C1"/>
    <s v="P2"/>
    <s v="BG"/>
    <n v="30"/>
    <n v="718"/>
    <s v="C1"/>
    <n v="718"/>
    <n v="30"/>
    <s v="Cam.B            "/>
    <s v=" QD.18 "/>
    <s v="F3"/>
    <s v="SIM"/>
    <n v="1"/>
    <d v="2026-07-29T00:00:00"/>
    <x v="3"/>
    <s v="SAMUEL"/>
    <s v="SERGIO "/>
    <s v="CLAUDIO "/>
  </r>
  <r>
    <x v="1"/>
    <s v="GO"/>
    <s v="0101"/>
    <n v="10"/>
    <x v="0"/>
    <s v="11026764P1294"/>
    <s v="NEO791 CE"/>
    <s v="C1"/>
    <s v="P1"/>
    <s v="C1"/>
    <s v="P1"/>
    <s v="BG"/>
    <n v="30"/>
    <n v="544"/>
    <s v="C1"/>
    <n v="544"/>
    <n v="30"/>
    <s v="Cam.B            "/>
    <s v="QD.20"/>
    <s v="F2"/>
    <s v="SIM"/>
    <n v="1"/>
    <d v="2026-07-29T00:00:00"/>
    <x v="3"/>
    <s v="SAMUEL"/>
    <s v="SERGIO "/>
    <s v="CLAUDIO "/>
  </r>
  <r>
    <x v="1"/>
    <s v="GO"/>
    <s v="0101"/>
    <n v="10"/>
    <x v="0"/>
    <s v="11026764P2295"/>
    <s v="NEO791 CE"/>
    <s v="C1"/>
    <s v="P2"/>
    <s v="C1"/>
    <s v="P2"/>
    <s v="BG"/>
    <n v="30"/>
    <n v="720"/>
    <s v="C1"/>
    <n v="720"/>
    <n v="30"/>
    <s v="Cam.B            "/>
    <s v=" QD.19 "/>
    <s v="F2"/>
    <s v="SIM"/>
    <n v="1"/>
    <d v="2026-07-29T00:00:00"/>
    <x v="3"/>
    <s v="SAMUEL"/>
    <s v="SERGIO "/>
    <s v="CLAUDIO "/>
  </r>
  <r>
    <x v="1"/>
    <s v="GO"/>
    <s v="0101"/>
    <n v="10"/>
    <x v="0"/>
    <s v="11026764P2296"/>
    <s v="NEO791 CE"/>
    <s v="C1"/>
    <s v="P2"/>
    <s v="C1"/>
    <s v="P2"/>
    <s v="BG"/>
    <n v="30"/>
    <n v="717"/>
    <s v="C1"/>
    <n v="717"/>
    <n v="30"/>
    <s v="Cam.B            "/>
    <s v=" QD.19 "/>
    <s v="F3"/>
    <s v="SIM"/>
    <n v="1"/>
    <d v="2026-07-29T00:00:00"/>
    <x v="3"/>
    <s v="SAMUEL"/>
    <s v="SERGIO "/>
    <s v="CLAUDIO "/>
  </r>
  <r>
    <x v="1"/>
    <s v="GO"/>
    <s v="0101"/>
    <n v="10"/>
    <x v="0"/>
    <s v="11026764P2297"/>
    <s v="NEO791 CE"/>
    <s v="C1"/>
    <s v="P2"/>
    <s v="C1"/>
    <s v="P2"/>
    <s v="BG"/>
    <n v="30"/>
    <n v="725"/>
    <s v="C1"/>
    <n v="725"/>
    <n v="30"/>
    <s v="Cam.B            "/>
    <s v="QD.19"/>
    <s v="F1"/>
    <s v="SIM"/>
    <n v="1"/>
    <d v="2026-07-29T00:00:00"/>
    <x v="3"/>
    <s v="SAMUEL"/>
    <s v="SERGIO "/>
    <s v="CLAUDIO "/>
  </r>
  <r>
    <x v="1"/>
    <s v="GO"/>
    <s v="0101"/>
    <n v="10"/>
    <x v="0"/>
    <s v="11026764P2298"/>
    <s v="NEO791 CE"/>
    <s v="C1"/>
    <s v="P2"/>
    <s v="C1"/>
    <s v="P2"/>
    <s v="BG"/>
    <n v="18"/>
    <n v="723"/>
    <s v="C1"/>
    <n v="723"/>
    <n v="18"/>
    <s v="Cam.B"/>
    <s v="QD.06"/>
    <s v="F1"/>
    <s v="SIM"/>
    <n v="1"/>
    <d v="2026-07-29T00:00:00"/>
    <x v="3"/>
    <s v="SAMUEL"/>
    <s v="SERGIO "/>
    <s v="CLAUDIO "/>
  </r>
  <r>
    <x v="1"/>
    <s v="GO"/>
    <s v="0101"/>
    <n v="10"/>
    <x v="0"/>
    <s v="11026764P1299"/>
    <s v="NEO791 CE"/>
    <s v="C1"/>
    <s v="P1"/>
    <s v="C1"/>
    <s v="P1"/>
    <s v="BG"/>
    <n v="9"/>
    <n v="553"/>
    <s v="C1"/>
    <n v="553"/>
    <n v="9"/>
    <s v="Cam.B"/>
    <s v="QD.05"/>
    <s v="F2"/>
    <s v="SIM"/>
    <n v="1"/>
    <d v="2026-07-29T00:00:00"/>
    <x v="3"/>
    <s v="SAMUEL"/>
    <s v="SERGIO "/>
    <s v="CLAUDIO "/>
  </r>
  <r>
    <x v="1"/>
    <s v="GO"/>
    <s v="0101"/>
    <n v="10"/>
    <x v="0"/>
    <s v="11026714P2300"/>
    <s v="NEO790 IPRO"/>
    <s v="S1"/>
    <s v="P2"/>
    <s v="S1"/>
    <s v="P2"/>
    <s v="BG"/>
    <n v="30"/>
    <n v="906"/>
    <s v="S1"/>
    <n v="906"/>
    <n v="30"/>
    <s v="Cam.B            "/>
    <s v=" QD.20 "/>
    <s v="F4"/>
    <s v="SIM"/>
    <n v="1"/>
    <d v="2026-07-29T00:00:00"/>
    <x v="3"/>
    <s v="SAMUEL"/>
    <s v="SERGIO "/>
    <s v="CLAUDIO "/>
  </r>
  <r>
    <x v="1"/>
    <s v="GO"/>
    <s v="0101"/>
    <n v="10"/>
    <x v="0"/>
    <s v="11026714P1301"/>
    <s v="NEO790 IPRO"/>
    <s v="S1"/>
    <s v="P1"/>
    <s v="S1"/>
    <s v="P1"/>
    <s v="BG"/>
    <n v="30"/>
    <n v="702"/>
    <s v="S1"/>
    <n v="702"/>
    <n v="30"/>
    <s v="Cam.B            "/>
    <s v=" QD.19 "/>
    <s v="F4"/>
    <s v="SIM"/>
    <n v="1"/>
    <d v="2026-07-29T00:00:00"/>
    <x v="3"/>
    <s v="SAMUEL"/>
    <s v="SERGIO "/>
    <s v="CLAUDIO "/>
  </r>
  <r>
    <x v="1"/>
    <s v="GO"/>
    <s v="0101"/>
    <n v="10"/>
    <x v="0"/>
    <s v="11026714P2302"/>
    <s v="NEO790 IPRO"/>
    <s v="S1"/>
    <s v="P2"/>
    <s v="S1"/>
    <s v="P2"/>
    <s v="BG"/>
    <n v="27"/>
    <n v="936"/>
    <s v="S1"/>
    <n v="936"/>
    <n v="27"/>
    <s v="Cam.B            "/>
    <s v=" QD.20 "/>
    <s v="F3"/>
    <s v="SIM"/>
    <n v="1"/>
    <d v="2026-07-29T00:00:00"/>
    <x v="3"/>
    <s v="SAMUEL"/>
    <s v="SERGIO "/>
    <s v="CLAUDIO "/>
  </r>
  <r>
    <x v="1"/>
    <s v="GO"/>
    <s v="0101"/>
    <n v="10"/>
    <x v="0"/>
    <s v="11026714P2303"/>
    <s v="NEO790 IPRO"/>
    <s v="S1"/>
    <s v="P2"/>
    <s v="S1"/>
    <s v="P2"/>
    <s v="BG"/>
    <n v="14"/>
    <n v="920"/>
    <s v="S1"/>
    <n v="920"/>
    <n v="14"/>
    <s v="Cam.B"/>
    <s v="QD.07"/>
    <s v="F1"/>
    <s v="SIM"/>
    <n v="1"/>
    <d v="2026-07-29T00:00:00"/>
    <x v="3"/>
    <s v="SAMUEL"/>
    <s v="SERGIO "/>
    <s v="CLAUDIO "/>
  </r>
  <r>
    <x v="1"/>
    <s v="GO"/>
    <s v="0101"/>
    <n v="10"/>
    <x v="0"/>
    <s v="11026714P1304"/>
    <s v="NEO790 IPRO"/>
    <s v="S1"/>
    <s v="P1"/>
    <s v="S1"/>
    <s v="P1"/>
    <s v="BG"/>
    <n v="8"/>
    <n v="715"/>
    <s v="S1"/>
    <n v="715"/>
    <n v="8"/>
    <s v="Cam.B"/>
    <s v="QD.05"/>
    <s v="F5"/>
    <s v="SIM"/>
    <n v="1"/>
    <d v="2026-07-29T00:00:00"/>
    <x v="3"/>
    <s v="SAMUEL"/>
    <s v="SERGIO "/>
    <s v="CLAUDIO "/>
  </r>
  <r>
    <x v="1"/>
    <s v="GO"/>
    <s v="0101"/>
    <n v="10"/>
    <x v="0"/>
    <s v="11026273P1281"/>
    <s v="NEO800 I2X"/>
    <s v="S1"/>
    <s v="P1"/>
    <s v="S1"/>
    <s v="P1"/>
    <s v="BG"/>
    <n v="30"/>
    <n v="652"/>
    <s v="S1"/>
    <n v="652"/>
    <n v="30"/>
    <s v="Cam.B"/>
    <s v="QD.08"/>
    <s v="F1"/>
    <s v="SIM"/>
    <n v="1"/>
    <d v="2026-07-29T00:00:00"/>
    <x v="3"/>
    <s v="SAMUEL"/>
    <s v="SERGIO "/>
    <s v="CLAUDIO "/>
  </r>
  <r>
    <x v="1"/>
    <s v="GO"/>
    <s v="0101"/>
    <n v="10"/>
    <x v="0"/>
    <s v="11026273P2305"/>
    <s v="NEO800 I2X"/>
    <s v="S1"/>
    <s v="P2"/>
    <s v="S1"/>
    <s v="P2"/>
    <s v="BG"/>
    <n v="30"/>
    <n v="837"/>
    <s v="S1"/>
    <n v="837"/>
    <n v="30"/>
    <s v="Cam.B"/>
    <s v="QD.09"/>
    <s v="F2"/>
    <s v="SIM"/>
    <n v="1"/>
    <d v="2026-07-29T00:00:00"/>
    <x v="3"/>
    <s v="SAMUEL"/>
    <s v="SERGIO "/>
    <s v="CLAUDIO "/>
  </r>
  <r>
    <x v="1"/>
    <s v="GO"/>
    <s v="0101"/>
    <n v="10"/>
    <x v="0"/>
    <s v="11026273P1306"/>
    <s v="NEO800 I2X"/>
    <s v="S1"/>
    <s v="P1"/>
    <s v="S1"/>
    <s v="P1"/>
    <s v="BG"/>
    <n v="30"/>
    <n v="660"/>
    <s v="S1"/>
    <n v="660"/>
    <n v="30"/>
    <s v="Cam.B"/>
    <s v="QD.08"/>
    <s v="F2"/>
    <s v="SIM"/>
    <n v="1"/>
    <d v="2026-07-29T00:00:00"/>
    <x v="3"/>
    <s v="SAMUEL"/>
    <s v="SERGIO "/>
    <s v="CLAUDIO "/>
  </r>
  <r>
    <x v="1"/>
    <s v="GO"/>
    <s v="0101"/>
    <n v="10"/>
    <x v="0"/>
    <s v="11026273P2307"/>
    <s v="NEO800 I2X"/>
    <s v="S1"/>
    <s v="P2"/>
    <s v="S1"/>
    <s v="P2"/>
    <s v="BG"/>
    <n v="30"/>
    <n v="833"/>
    <s v="S1"/>
    <n v="833"/>
    <n v="30"/>
    <s v="Cam.B"/>
    <s v="QD.10"/>
    <s v="F2"/>
    <s v="SIM"/>
    <n v="1"/>
    <d v="2026-07-29T00:00:00"/>
    <x v="3"/>
    <s v="SAMUEL"/>
    <s v="SERGIO "/>
    <s v="CLAUDIO "/>
  </r>
  <r>
    <x v="1"/>
    <s v="GO"/>
    <s v="0101"/>
    <n v="10"/>
    <x v="0"/>
    <s v="11026273P1308"/>
    <s v="NEO800 I2X"/>
    <s v="S1"/>
    <s v="P1"/>
    <s v="S1"/>
    <s v="P1"/>
    <s v="BG"/>
    <n v="30"/>
    <n v="645"/>
    <s v="S1"/>
    <n v="645"/>
    <n v="30"/>
    <s v="Cam.B"/>
    <s v="QD.08"/>
    <s v="F3"/>
    <s v="SIM"/>
    <n v="1"/>
    <d v="2026-07-29T00:00:00"/>
    <x v="3"/>
    <s v="SAMUEL"/>
    <s v="SERGIO "/>
    <s v="CLAUDIO "/>
  </r>
  <r>
    <x v="1"/>
    <s v="GO"/>
    <s v="0101"/>
    <n v="10"/>
    <x v="0"/>
    <s v="11026273P2309"/>
    <s v="NEO800 I2X"/>
    <s v="S1"/>
    <s v="P2"/>
    <s v="S1"/>
    <s v="P2"/>
    <s v="BG"/>
    <n v="30"/>
    <n v="833"/>
    <s v="S1"/>
    <n v="833"/>
    <n v="30"/>
    <s v="Cam.C"/>
    <s v="QD.21"/>
    <s v="F2"/>
    <s v="SIM"/>
    <n v="1"/>
    <d v="2026-07-29T00:00:00"/>
    <x v="3"/>
    <s v="SAMUEL"/>
    <s v="SERGIO "/>
    <s v="CLAUDIO "/>
  </r>
  <r>
    <x v="1"/>
    <s v="GO"/>
    <s v="0101"/>
    <n v="10"/>
    <x v="0"/>
    <s v="11026273P2310"/>
    <s v="NEO800 I2X"/>
    <s v="S1"/>
    <s v="P2"/>
    <s v="S1"/>
    <s v="P2"/>
    <s v="BG"/>
    <n v="30"/>
    <n v="824"/>
    <s v="S1"/>
    <n v="824"/>
    <n v="30"/>
    <s v="Cam.B"/>
    <s v="QD.09"/>
    <s v="F1"/>
    <s v="SIM"/>
    <n v="1"/>
    <d v="2026-07-29T00:00:00"/>
    <x v="3"/>
    <s v="SAMUEL"/>
    <s v="SERGIO "/>
    <s v="CLAUDIO "/>
  </r>
  <r>
    <x v="1"/>
    <s v="GO"/>
    <s v="0101"/>
    <n v="10"/>
    <x v="0"/>
    <s v="11026273P1311"/>
    <s v="NEO800 I2X"/>
    <s v="S1"/>
    <s v="P1"/>
    <s v="S1"/>
    <s v="P1"/>
    <s v="BG"/>
    <n v="30"/>
    <n v="628"/>
    <s v="S1"/>
    <n v="628"/>
    <n v="30"/>
    <s v="Cam.C"/>
    <s v="QD.12"/>
    <s v="F3"/>
    <s v="SIM"/>
    <n v="1"/>
    <d v="2026-07-29T00:00:00"/>
    <x v="3"/>
    <s v="SAMUEL"/>
    <s v="SERGIO "/>
    <s v="CLAUDIO "/>
  </r>
  <r>
    <x v="1"/>
    <s v="GO"/>
    <s v="0101"/>
    <n v="10"/>
    <x v="0"/>
    <s v="11026273P1312"/>
    <s v="NEO800 I2X"/>
    <s v="S1"/>
    <s v="P1"/>
    <s v="S1"/>
    <s v="P1"/>
    <s v="BG"/>
    <n v="30"/>
    <n v="635"/>
    <s v="S1"/>
    <n v="635"/>
    <n v="30"/>
    <s v="Cam.C"/>
    <s v="QD.12"/>
    <s v="F2"/>
    <s v="SIM"/>
    <n v="1"/>
    <d v="2026-07-29T00:00:00"/>
    <x v="3"/>
    <s v="SAMUEL"/>
    <s v="SERGIO "/>
    <s v="CLAUDIO "/>
  </r>
  <r>
    <x v="1"/>
    <s v="GO"/>
    <s v="0101"/>
    <n v="10"/>
    <x v="0"/>
    <s v="11026273P2313"/>
    <s v="NEO800 I2X"/>
    <s v="S1"/>
    <s v="P2"/>
    <s v="S1"/>
    <s v="P2"/>
    <s v="BG"/>
    <n v="30"/>
    <n v="827"/>
    <s v="S1"/>
    <n v="827"/>
    <n v="30"/>
    <s v="Cam.C"/>
    <s v="QD.21"/>
    <s v="F1"/>
    <s v="SIM"/>
    <n v="1"/>
    <d v="2026-07-29T00:00:00"/>
    <x v="3"/>
    <s v="SAMUEL"/>
    <s v="SERGIO "/>
    <s v="CLAUDIO "/>
  </r>
  <r>
    <x v="1"/>
    <s v="GO"/>
    <s v="0101"/>
    <n v="10"/>
    <x v="0"/>
    <s v="11026273P2314"/>
    <s v="NEO800 I2X"/>
    <s v="S1"/>
    <s v="P2"/>
    <s v="S1"/>
    <s v="P2"/>
    <s v="BG"/>
    <n v="30"/>
    <n v="835"/>
    <s v="S1"/>
    <n v="835"/>
    <n v="30"/>
    <s v="Cam.B"/>
    <s v="QD.09"/>
    <s v="F3"/>
    <s v="SIM"/>
    <n v="1"/>
    <d v="2026-07-29T00:00:00"/>
    <x v="3"/>
    <s v="SAMUEL"/>
    <s v="SERGIO "/>
    <s v="CLAUDIO "/>
  </r>
  <r>
    <x v="1"/>
    <s v="GO"/>
    <s v="0101"/>
    <n v="10"/>
    <x v="0"/>
    <s v="11026273P1315"/>
    <s v="NEO800 I2X"/>
    <s v="S1"/>
    <s v="P1"/>
    <s v="S1"/>
    <s v="P1"/>
    <s v="BG"/>
    <n v="30"/>
    <n v="648"/>
    <s v="S1"/>
    <n v="648"/>
    <n v="30"/>
    <s v="Cam.C"/>
    <s v="QD.12"/>
    <s v="F1"/>
    <s v="SIM"/>
    <n v="1"/>
    <d v="2026-07-29T00:00:00"/>
    <x v="3"/>
    <s v="SAMUEL"/>
    <s v="SERGIO "/>
    <s v="CLAUDIO "/>
  </r>
  <r>
    <x v="1"/>
    <s v="GO"/>
    <s v="0101"/>
    <n v="10"/>
    <x v="0"/>
    <s v="11026273P2316"/>
    <s v="NEO800 I2X"/>
    <s v="S1"/>
    <s v="P2"/>
    <s v="S1"/>
    <s v="P2"/>
    <s v="BG"/>
    <n v="30"/>
    <n v="828"/>
    <s v="S1"/>
    <n v="828"/>
    <n v="30"/>
    <s v="Cam.C"/>
    <s v="QD.36"/>
    <s v="F2"/>
    <s v="SIM"/>
    <n v="1"/>
    <d v="2026-07-29T00:00:00"/>
    <x v="3"/>
    <s v="SAMUEL"/>
    <s v="SERGIO "/>
    <s v="CLAUDIO "/>
  </r>
  <r>
    <x v="1"/>
    <s v="GO"/>
    <s v="0101"/>
    <n v="10"/>
    <x v="0"/>
    <s v="11026273P1317"/>
    <s v="NEO800 I2X"/>
    <s v="S1"/>
    <s v="P1"/>
    <s v="S1"/>
    <s v="P1"/>
    <s v="BG"/>
    <n v="30"/>
    <n v="641"/>
    <s v="S1"/>
    <n v="641"/>
    <n v="30"/>
    <s v="Cam.C"/>
    <s v="QD.21"/>
    <s v="F3"/>
    <s v="SIM"/>
    <n v="1"/>
    <d v="2026-07-29T00:00:00"/>
    <x v="3"/>
    <s v="SAMUEL"/>
    <s v="SERGIO "/>
    <s v="CLAUDIO "/>
  </r>
  <r>
    <x v="1"/>
    <s v="GO"/>
    <s v="0101"/>
    <n v="10"/>
    <x v="0"/>
    <s v="11026273P2318"/>
    <s v="NEO800 I2X"/>
    <s v="S1"/>
    <s v="P2"/>
    <s v="S1"/>
    <s v="P2"/>
    <s v="BG"/>
    <n v="30"/>
    <n v="840"/>
    <s v="S1"/>
    <n v="840"/>
    <n v="30"/>
    <s v="Cam.C"/>
    <s v="QD.36"/>
    <s v="F3"/>
    <s v="SIM"/>
    <n v="1"/>
    <d v="2026-07-29T00:00:00"/>
    <x v="3"/>
    <s v="SAMUEL"/>
    <s v="SERGIO "/>
    <s v="CLAUDIO "/>
  </r>
  <r>
    <x v="1"/>
    <s v="GO"/>
    <s v="0101"/>
    <n v="10"/>
    <x v="0"/>
    <s v="11026273P2319"/>
    <s v="NEO800 I2X"/>
    <s v="S1"/>
    <s v="P2"/>
    <s v="S1"/>
    <s v="P2"/>
    <s v="BG"/>
    <n v="18"/>
    <n v="836"/>
    <s v="S1"/>
    <n v="836"/>
    <n v="18"/>
    <s v="Cam.B"/>
    <s v="QD.06"/>
    <s v="F3"/>
    <s v="SIM"/>
    <n v="1"/>
    <d v="2026-07-29T00:00:00"/>
    <x v="3"/>
    <s v="SAMUEL"/>
    <s v="SERGIO "/>
    <s v="CLAUDIO "/>
  </r>
  <r>
    <x v="1"/>
    <s v="GO"/>
    <s v="0101"/>
    <n v="10"/>
    <x v="0"/>
    <s v="11026273P1320"/>
    <s v="NEO800 I2X"/>
    <s v="S1"/>
    <s v="P1"/>
    <s v="S1"/>
    <s v="P1"/>
    <s v="BG"/>
    <n v="10"/>
    <n v="652"/>
    <s v="S1"/>
    <n v="652"/>
    <n v="10"/>
    <s v="Cam.B"/>
    <s v="QD.05"/>
    <s v="F1"/>
    <s v="SIM"/>
    <n v="1"/>
    <d v="2026-07-29T00:00:00"/>
    <x v="3"/>
    <s v="SAMUEL"/>
    <s v="SERGIO "/>
    <s v="CLAUDIO "/>
  </r>
  <r>
    <x v="1"/>
    <s v="GO"/>
    <s v="0101"/>
    <n v="10"/>
    <x v="0"/>
    <s v="11026739P2321"/>
    <s v="NEO700 I2X"/>
    <s v="C2"/>
    <s v="P2"/>
    <s v="C2"/>
    <s v="P2"/>
    <s v="BG"/>
    <n v="27"/>
    <n v="988"/>
    <s v="C2"/>
    <n v="988"/>
    <n v="27"/>
    <s v="Cam.C"/>
    <s v="QD.17"/>
    <s v="F3"/>
    <s v="SIM"/>
    <n v="1"/>
    <d v="2026-07-29T00:00:00"/>
    <x v="3"/>
    <s v="SAMUEL"/>
    <s v="SERGIO "/>
    <s v="CLAUDIO "/>
  </r>
  <r>
    <x v="1"/>
    <s v="GO"/>
    <s v="0101"/>
    <n v="10"/>
    <x v="0"/>
    <s v="11026739P1322"/>
    <s v="NEO700 I2X"/>
    <s v="C2"/>
    <s v="P1"/>
    <s v="C2"/>
    <s v="P1"/>
    <s v="BG"/>
    <n v="30"/>
    <n v="824"/>
    <s v="C2"/>
    <n v="824"/>
    <n v="30"/>
    <s v="Cam.C"/>
    <s v="QD.11"/>
    <s v="F1"/>
    <s v="SIM"/>
    <n v="1"/>
    <d v="2026-07-29T00:00:00"/>
    <x v="3"/>
    <s v="SAMUEL"/>
    <s v="SERGIO "/>
    <s v="CLAUDIO "/>
  </r>
  <r>
    <x v="1"/>
    <s v="GO"/>
    <s v="0101"/>
    <n v="10"/>
    <x v="0"/>
    <s v="11026739P2323"/>
    <s v="NEO700 I2X"/>
    <s v="C2"/>
    <s v="P2"/>
    <s v="C2"/>
    <s v="P2"/>
    <s v="BG"/>
    <n v="27"/>
    <n v="977"/>
    <s v="C2"/>
    <n v="977"/>
    <n v="27"/>
    <s v="Cam.C"/>
    <s v="QD.11"/>
    <s v="F2"/>
    <s v="SIM"/>
    <n v="1"/>
    <d v="2026-07-29T00:00:00"/>
    <x v="3"/>
    <s v="SAMUEL"/>
    <s v="SERGIO "/>
    <s v="CLAUDIO "/>
  </r>
  <r>
    <x v="1"/>
    <s v="GO"/>
    <s v="0101"/>
    <n v="10"/>
    <x v="0"/>
    <s v="11026739P1324"/>
    <s v="NEO700 I2X"/>
    <s v="C2"/>
    <s v="P1"/>
    <s v="C2"/>
    <s v="P1"/>
    <s v="BG"/>
    <n v="0"/>
    <n v="818"/>
    <s v="C2"/>
    <s v="-"/>
    <n v="0"/>
    <s v="-"/>
    <s v="-"/>
    <s v="-"/>
    <s v="SIM"/>
    <n v="0"/>
    <d v="2026-07-29T00:00:00"/>
    <x v="3"/>
    <s v="SAMUEL"/>
    <s v="SERGIO "/>
    <s v="CLAUDIO "/>
  </r>
  <r>
    <x v="1"/>
    <s v="GO"/>
    <s v="0101"/>
    <n v="10"/>
    <x v="0"/>
    <s v="11026739P2325"/>
    <s v="NEO700 I2X"/>
    <s v="C2"/>
    <s v="P2"/>
    <s v="C2"/>
    <s v="P2"/>
    <s v="BG"/>
    <n v="27"/>
    <n v="986"/>
    <s v="C2"/>
    <n v="986"/>
    <n v="27"/>
    <s v="Cam.C"/>
    <s v="QD.11"/>
    <s v="F3"/>
    <s v="SIM"/>
    <n v="1"/>
    <d v="2026-07-29T00:00:00"/>
    <x v="3"/>
    <s v="SAMUEL"/>
    <s v="SERGIO "/>
    <s v="CLAUDIO "/>
  </r>
  <r>
    <x v="1"/>
    <s v="GO"/>
    <s v="0101"/>
    <n v="10"/>
    <x v="0"/>
    <s v="11026739P2326"/>
    <s v="NEO700 I2X"/>
    <s v="C2"/>
    <s v="P2"/>
    <s v="C2"/>
    <s v="P2"/>
    <s v="BG"/>
    <n v="27"/>
    <n v="983"/>
    <s v="C2"/>
    <n v="983"/>
    <n v="27"/>
    <s v="Cam.C"/>
    <s v="QD.13"/>
    <s v="F2"/>
    <s v="SIM"/>
    <n v="1"/>
    <d v="2026-07-29T00:00:00"/>
    <x v="3"/>
    <s v="SAMUEL"/>
    <s v="SERGIO "/>
    <s v="CLAUDIO "/>
  </r>
  <r>
    <x v="1"/>
    <s v="GO"/>
    <s v="0101"/>
    <n v="10"/>
    <x v="0"/>
    <s v="11026739P2327"/>
    <s v="NEO700 I2X"/>
    <s v="C2"/>
    <s v="P2"/>
    <s v="C2"/>
    <s v="P2"/>
    <s v="BG"/>
    <n v="0"/>
    <n v="968"/>
    <s v="C2"/>
    <s v="-"/>
    <n v="0"/>
    <s v="-"/>
    <s v="-"/>
    <s v="-"/>
    <s v="SIM"/>
    <n v="0"/>
    <d v="2026-07-29T00:00:00"/>
    <x v="3"/>
    <s v="SAMUEL"/>
    <s v="SERGIO "/>
    <s v="CLAUDIO "/>
  </r>
  <r>
    <x v="1"/>
    <s v="GO"/>
    <s v="0101"/>
    <n v="10"/>
    <x v="0"/>
    <s v="11026739P1328"/>
    <s v="NEO700 I2X"/>
    <s v="C2"/>
    <s v="P1"/>
    <s v="C2"/>
    <s v="P1"/>
    <s v="BG"/>
    <n v="0"/>
    <n v="827"/>
    <s v="C2"/>
    <s v="-"/>
    <n v="0"/>
    <s v="-"/>
    <s v="-"/>
    <s v="-"/>
    <s v="SIM"/>
    <n v="0"/>
    <d v="2026-07-29T00:00:00"/>
    <x v="3"/>
    <s v="SAMUEL"/>
    <s v="SERGIO "/>
    <s v="CLAUDIO "/>
  </r>
  <r>
    <x v="1"/>
    <s v="GO"/>
    <s v="0101"/>
    <n v="10"/>
    <x v="0"/>
    <s v="11026739P1329"/>
    <s v="NEO700 I2X"/>
    <s v="C2"/>
    <s v="P1"/>
    <s v="C2"/>
    <s v="P1"/>
    <s v="BG"/>
    <n v="30"/>
    <n v="822"/>
    <s v="C2"/>
    <n v="822"/>
    <n v="30"/>
    <s v="Cam.C"/>
    <s v="QD.13"/>
    <s v="F1"/>
    <s v="SIM"/>
    <n v="1"/>
    <d v="2026-07-29T00:00:00"/>
    <x v="3"/>
    <s v="SAMUEL"/>
    <s v="SERGIO "/>
    <s v="CLAUDIO "/>
  </r>
  <r>
    <x v="1"/>
    <s v="GO"/>
    <s v="0101"/>
    <n v="10"/>
    <x v="0"/>
    <s v="11026739P2330"/>
    <s v="NEO700 I2X"/>
    <s v="S2"/>
    <s v="P2"/>
    <s v="S2"/>
    <s v="P2"/>
    <s v="BG"/>
    <n v="27"/>
    <n v="955"/>
    <s v="S2"/>
    <n v="955"/>
    <n v="27"/>
    <s v="Cam.C"/>
    <s v="QD.28"/>
    <s v="F3"/>
    <s v="SIM"/>
    <n v="1"/>
    <d v="2026-07-29T00:00:00"/>
    <x v="3"/>
    <s v="SAMUEL"/>
    <s v="SERGIO "/>
    <s v="CLAUDIO "/>
  </r>
  <r>
    <x v="1"/>
    <s v="GO"/>
    <s v="0101"/>
    <n v="10"/>
    <x v="0"/>
    <s v="11026739P2331"/>
    <s v="NEO700 I2X"/>
    <s v="S2"/>
    <s v="P2"/>
    <s v="S2"/>
    <s v="P2"/>
    <s v="BG"/>
    <n v="27"/>
    <n v="939"/>
    <s v="S2"/>
    <n v="939"/>
    <n v="27"/>
    <s v="Cam.C"/>
    <s v="QD.17"/>
    <s v="F2"/>
    <s v="SIM"/>
    <n v="1"/>
    <d v="2026-07-29T00:00:00"/>
    <x v="3"/>
    <s v="SAMUEL"/>
    <s v="SERGIO "/>
    <s v="CLAUDIO "/>
  </r>
  <r>
    <x v="1"/>
    <s v="GO"/>
    <s v="0101"/>
    <n v="10"/>
    <x v="0"/>
    <s v="11026739P1332"/>
    <s v="NEO700 I2X"/>
    <s v="S2 "/>
    <s v="P1"/>
    <s v="S2 "/>
    <s v="P1"/>
    <s v="BG"/>
    <n v="20"/>
    <n v="828"/>
    <s v="S2 "/>
    <n v="828"/>
    <n v="20"/>
    <s v="Cam.C"/>
    <s v="QD.18"/>
    <s v="F3"/>
    <s v="SIM"/>
    <n v="1"/>
    <d v="2026-07-29T00:00:00"/>
    <x v="3"/>
    <s v="SAMUEL"/>
    <s v="SERGIO "/>
    <s v="CLAUDIO "/>
  </r>
  <r>
    <x v="1"/>
    <s v="GO"/>
    <s v="0101"/>
    <n v="10"/>
    <x v="0"/>
    <s v="11026739P2333"/>
    <s v="NEO700 I2X"/>
    <s v="S2"/>
    <s v="P2"/>
    <s v="S2"/>
    <s v="P2"/>
    <s v="BG"/>
    <n v="27"/>
    <n v="970"/>
    <s v="S2"/>
    <n v="970"/>
    <n v="27"/>
    <s v="Cam.C"/>
    <s v="QD.28"/>
    <s v="F2"/>
    <s v="SIM"/>
    <n v="1"/>
    <d v="2026-07-29T00:00:00"/>
    <x v="3"/>
    <s v="SAMUEL"/>
    <s v="SERGIO "/>
    <s v="CLAUDIO "/>
  </r>
  <r>
    <x v="1"/>
    <s v="GO"/>
    <s v="0101"/>
    <n v="10"/>
    <x v="0"/>
    <s v="11026739P2334"/>
    <s v="NEO700 I2X"/>
    <s v="S2"/>
    <s v="P2"/>
    <s v="S2"/>
    <s v="P2"/>
    <s v="BG"/>
    <n v="27"/>
    <n v="985"/>
    <s v="S2"/>
    <n v="985"/>
    <n v="27"/>
    <s v="Cam.C"/>
    <s v="QD.13"/>
    <s v="F3"/>
    <s v="SIM"/>
    <n v="1"/>
    <d v="2026-07-29T00:00:00"/>
    <x v="3"/>
    <s v="SAMUEL"/>
    <s v="SERGIO "/>
    <s v="CLAUDIO "/>
  </r>
  <r>
    <x v="1"/>
    <s v="GO"/>
    <s v="0101"/>
    <n v="10"/>
    <x v="0"/>
    <s v="11026739P2335"/>
    <s v="NEO700 I2X"/>
    <s v="S2"/>
    <s v="P2"/>
    <s v="S2"/>
    <s v="P2"/>
    <s v="BG"/>
    <n v="16"/>
    <n v="989"/>
    <s v="S2"/>
    <n v="989"/>
    <n v="16"/>
    <s v="Cam.C"/>
    <s v="QD.04"/>
    <s v="F3"/>
    <s v="SIM"/>
    <n v="1"/>
    <d v="2026-07-29T00:00:00"/>
    <x v="3"/>
    <s v="SAMUEL"/>
    <s v="SERGIO "/>
    <s v="CLAUDIO "/>
  </r>
  <r>
    <x v="1"/>
    <s v="GO"/>
    <s v="0101"/>
    <n v="10"/>
    <x v="0"/>
    <s v="11026755P1336"/>
    <s v="M 7535 I2X"/>
    <s v="C1"/>
    <s v="P1"/>
    <s v="C1"/>
    <s v="P1"/>
    <s v="BG"/>
    <n v="30"/>
    <n v="752"/>
    <s v="C1"/>
    <n v="752"/>
    <n v="30"/>
    <s v="Cam.C"/>
    <s v="QD.16"/>
    <s v="F1"/>
    <s v="SIM"/>
    <n v="1"/>
    <d v="2026-07-29T00:00:00"/>
    <x v="3"/>
    <s v="SAMUEL"/>
    <s v="SERGIO "/>
    <s v="CLAUDIO "/>
  </r>
  <r>
    <x v="1"/>
    <s v="GO"/>
    <s v="0101"/>
    <n v="10"/>
    <x v="0"/>
    <s v="11026755P2337"/>
    <s v="M 7535 I2X"/>
    <s v="C1"/>
    <s v="P2"/>
    <s v="C1"/>
    <s v="P2"/>
    <s v="BG"/>
    <n v="30"/>
    <n v="888"/>
    <s v="C1"/>
    <n v="888"/>
    <n v="30"/>
    <s v="Cam.C"/>
    <s v="QD.16"/>
    <s v="F3"/>
    <s v="SIM"/>
    <n v="1"/>
    <d v="2026-07-29T00:00:00"/>
    <x v="3"/>
    <s v="SAMUEL"/>
    <s v="SERGIO "/>
    <s v="CLAUDIO "/>
  </r>
  <r>
    <x v="1"/>
    <s v="GO"/>
    <s v="0101"/>
    <n v="10"/>
    <x v="0"/>
    <s v="11026755P2338"/>
    <s v="M 7535 I2X"/>
    <s v="C1"/>
    <s v="P2"/>
    <s v="C1"/>
    <s v="P2"/>
    <s v="BG"/>
    <n v="30"/>
    <n v="889"/>
    <s v="C1"/>
    <n v="889"/>
    <n v="30"/>
    <s v="Cam.C"/>
    <s v="QD.16"/>
    <s v="F2"/>
    <s v="SIM"/>
    <n v="1"/>
    <d v="2026-07-29T00:00:00"/>
    <x v="3"/>
    <s v="SAMUEL"/>
    <s v="SERGIO "/>
    <s v="CLAUDIO "/>
  </r>
  <r>
    <x v="1"/>
    <s v="GO"/>
    <s v="0101"/>
    <n v="10"/>
    <x v="0"/>
    <s v="11026755P1339"/>
    <s v="M 7535 I2X"/>
    <s v="C1"/>
    <s v="P1"/>
    <s v="C1"/>
    <s v="P1"/>
    <s v="BG"/>
    <n v="8"/>
    <n v="746"/>
    <s v="C1"/>
    <n v="746"/>
    <n v="8"/>
    <s v="Cam.C"/>
    <s v="QD.02"/>
    <s v="F1"/>
    <s v="SIM"/>
    <n v="1"/>
    <d v="2026-07-29T00:00:00"/>
    <x v="3"/>
    <s v="SAMUEL"/>
    <s v="SERGIO "/>
    <s v="CLAUDIO "/>
  </r>
  <r>
    <x v="1"/>
    <s v="GO"/>
    <s v="0101"/>
    <n v="10"/>
    <x v="0"/>
    <s v="11026755P2340"/>
    <s v="M 7535 I2X"/>
    <s v="C1"/>
    <s v="P2"/>
    <s v="C1"/>
    <s v="P2"/>
    <s v="BG"/>
    <n v="10"/>
    <n v="878"/>
    <s v="C1"/>
    <n v="878"/>
    <n v="10"/>
    <s v="Cam.C"/>
    <s v="QD.02"/>
    <s v="F2"/>
    <s v="SIM"/>
    <n v="1"/>
    <d v="2026-07-29T00:00:00"/>
    <x v="3"/>
    <s v="SAMUEL"/>
    <s v="SERGIO "/>
    <s v="CLAUDIO "/>
  </r>
  <r>
    <x v="1"/>
    <s v="GO"/>
    <s v="0101"/>
    <n v="10"/>
    <x v="0"/>
    <s v="11026715P2159"/>
    <s v="NEO761 I2X"/>
    <s v="S2"/>
    <s v="P2"/>
    <s v="S2"/>
    <s v="P2"/>
    <s v="BG"/>
    <n v="24"/>
    <n v="1062"/>
    <s v="S2"/>
    <n v="1062"/>
    <n v="24"/>
    <s v="Cam.A"/>
    <s v="QD.24"/>
    <n v="24"/>
    <s v="SIM"/>
    <n v="1"/>
    <d v="2026-07-29T00:00:00"/>
    <x v="3"/>
    <s v="SAMUEL"/>
    <s v="SERGIO "/>
    <s v="CLAUDIO "/>
  </r>
  <r>
    <x v="0"/>
    <s v="GO"/>
    <s v="0101"/>
    <n v="11"/>
    <x v="0"/>
    <s v="11728P2005"/>
    <s v="6930I2X"/>
    <m/>
    <m/>
    <s v="C2"/>
    <s v="P2"/>
    <s v="BG"/>
    <n v="24"/>
    <n v="1010"/>
    <s v="C2"/>
    <n v="1010"/>
    <n v="24"/>
    <s v="Cam.A"/>
    <s v="QD.36"/>
    <s v="F1"/>
    <s v="SIM"/>
    <n v="1"/>
    <d v="2026-07-30T00:00:00"/>
    <x v="3"/>
    <s v="SAMUEL"/>
    <s v="LUCAS"/>
    <s v="MARCELA"/>
  </r>
  <r>
    <x v="0"/>
    <s v="GO"/>
    <s v="0101"/>
    <n v="11"/>
    <x v="0"/>
    <s v="11728P1004"/>
    <s v="6930I2X"/>
    <m/>
    <m/>
    <s v="C2"/>
    <s v="P1"/>
    <s v="BG"/>
    <n v="0"/>
    <n v="812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28P1003"/>
    <s v="6930I2X"/>
    <m/>
    <m/>
    <s v="C2"/>
    <s v="P1"/>
    <s v="BG"/>
    <n v="0"/>
    <n v="828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28P2002"/>
    <s v="6930I2X"/>
    <m/>
    <m/>
    <s v="C2"/>
    <s v="P2"/>
    <s v="BG"/>
    <n v="0"/>
    <n v="1035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28P1001"/>
    <s v="6930I2X"/>
    <m/>
    <m/>
    <s v="C2"/>
    <s v="P1"/>
    <s v="BG"/>
    <n v="0"/>
    <n v="835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149P1616"/>
    <s v="NEO680 IPRO"/>
    <m/>
    <m/>
    <s v="S2"/>
    <s v="P1"/>
    <s v="BG"/>
    <n v="30"/>
    <n v="765"/>
    <s v="S2"/>
    <n v="765"/>
    <n v="30"/>
    <s v="Cam.A"/>
    <s v="QD.49"/>
    <s v="F1"/>
    <s v="SIM"/>
    <n v="1"/>
    <d v="2026-07-30T00:00:00"/>
    <x v="3"/>
    <s v="SAMUEL"/>
    <s v="LUCAS"/>
    <s v="MARCELA"/>
  </r>
  <r>
    <x v="0"/>
    <s v="GO"/>
    <s v="0101"/>
    <n v="11"/>
    <x v="0"/>
    <s v="11728P1006"/>
    <s v="6930I2X"/>
    <m/>
    <m/>
    <s v="C2"/>
    <s v="P1"/>
    <s v="BG"/>
    <n v="0"/>
    <n v="801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28P2011"/>
    <s v="6930I2X"/>
    <m/>
    <m/>
    <s v="C2"/>
    <s v="P2"/>
    <s v="BG"/>
    <n v="24"/>
    <n v="1019"/>
    <s v="C2"/>
    <n v="1019"/>
    <n v="24"/>
    <s v="Cam.A"/>
    <s v="QD.36"/>
    <s v="F5"/>
    <s v="SIM"/>
    <n v="1"/>
    <d v="2026-07-30T00:00:00"/>
    <x v="3"/>
    <s v="SAMUEL"/>
    <s v="LUCAS"/>
    <s v="MARCELA"/>
  </r>
  <r>
    <x v="0"/>
    <s v="GO"/>
    <s v="0101"/>
    <n v="11"/>
    <x v="0"/>
    <s v="11728P2009"/>
    <s v="6930I2X"/>
    <m/>
    <m/>
    <s v="C2"/>
    <s v="P2"/>
    <s v="BG"/>
    <n v="24"/>
    <n v="1021"/>
    <s v="C2"/>
    <n v="1021"/>
    <n v="24"/>
    <s v="Cam.A"/>
    <s v="QD.36"/>
    <s v="F4"/>
    <s v="SIM"/>
    <n v="1"/>
    <d v="2026-07-30T00:00:00"/>
    <x v="3"/>
    <s v="SAMUEL"/>
    <s v="LUCAS"/>
    <s v="MARCELA"/>
  </r>
  <r>
    <x v="0"/>
    <s v="GO"/>
    <s v="0101"/>
    <n v="11"/>
    <x v="0"/>
    <s v="11728P1010"/>
    <s v="6930I2X"/>
    <m/>
    <m/>
    <s v="C2"/>
    <s v="P1"/>
    <s v="BG"/>
    <n v="0"/>
    <n v="827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28P1008"/>
    <s v="6930I2X"/>
    <m/>
    <m/>
    <s v="C2"/>
    <s v="P1"/>
    <s v="BG"/>
    <n v="0"/>
    <n v="821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28P2007"/>
    <s v="6930I2X"/>
    <m/>
    <m/>
    <s v="C2"/>
    <s v="P2"/>
    <s v="BG"/>
    <n v="15"/>
    <n v="1010"/>
    <s v="C2"/>
    <n v="1010"/>
    <n v="15"/>
    <s v="Cam.A"/>
    <s v="QD.36"/>
    <s v="F2"/>
    <s v="SIM"/>
    <n v="1"/>
    <d v="2026-07-30T00:00:00"/>
    <x v="3"/>
    <s v="SAMUEL"/>
    <s v="LUCAS"/>
    <s v="MARCELA"/>
  </r>
  <r>
    <x v="0"/>
    <s v="GO"/>
    <s v="0101"/>
    <n v="11"/>
    <x v="0"/>
    <s v="11728P2013"/>
    <s v="6930I2X"/>
    <m/>
    <m/>
    <s v="C2"/>
    <s v="P2"/>
    <s v="BG"/>
    <n v="24"/>
    <n v="1056"/>
    <s v="C2"/>
    <n v="1056"/>
    <n v="24"/>
    <s v="Cam.A"/>
    <s v="QD.36"/>
    <s v="F6"/>
    <s v="SIM"/>
    <n v="1"/>
    <d v="2026-07-30T00:00:00"/>
    <x v="3"/>
    <s v="SAMUEL"/>
    <s v="LUCAS"/>
    <s v="MARCELA"/>
  </r>
  <r>
    <x v="0"/>
    <s v="GO"/>
    <s v="0101"/>
    <n v="11"/>
    <x v="0"/>
    <s v="11728P1014"/>
    <s v="6930I2X"/>
    <m/>
    <m/>
    <s v="C2"/>
    <s v="P1"/>
    <s v="BG"/>
    <n v="30"/>
    <n v="804"/>
    <s v="C2"/>
    <n v="804"/>
    <n v="30"/>
    <s v="Cam.A"/>
    <s v="QD.37"/>
    <s v="F1"/>
    <s v="SIM"/>
    <n v="1"/>
    <d v="2026-07-30T00:00:00"/>
    <x v="3"/>
    <s v="SAMUEL"/>
    <s v="LUCAS"/>
    <s v="MARCELA"/>
  </r>
  <r>
    <x v="0"/>
    <s v="GO"/>
    <s v="0101"/>
    <n v="11"/>
    <x v="0"/>
    <s v="11728P1012"/>
    <s v="6930I2X"/>
    <m/>
    <m/>
    <s v="C2"/>
    <s v="P1"/>
    <s v="BG"/>
    <n v="0"/>
    <n v="813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4P2102"/>
    <s v="O790 IPRO"/>
    <m/>
    <m/>
    <s v="S1"/>
    <s v="P2"/>
    <s v="BG"/>
    <n v="24"/>
    <n v="1028"/>
    <s v="S1"/>
    <n v="1028"/>
    <n v="24"/>
    <s v="Cam.A"/>
    <s v="QD.72"/>
    <s v="F1"/>
    <s v="SIM"/>
    <n v="1"/>
    <d v="2026-07-30T00:00:00"/>
    <x v="3"/>
    <s v="SAMUEL"/>
    <s v="LUCAS"/>
    <s v="MARCELA"/>
  </r>
  <r>
    <x v="0"/>
    <s v="GO"/>
    <s v="0101"/>
    <n v="11"/>
    <x v="0"/>
    <s v="11714P1101"/>
    <s v="O790 IPRO"/>
    <m/>
    <m/>
    <s v="S1"/>
    <s v="P1"/>
    <s v="BG"/>
    <n v="30"/>
    <n v="792"/>
    <s v="S1"/>
    <n v="792"/>
    <n v="30"/>
    <s v="Cam.A"/>
    <s v="QD.71"/>
    <s v="F1"/>
    <s v="SIM"/>
    <n v="1"/>
    <d v="2026-07-30T00:00:00"/>
    <x v="3"/>
    <s v="SAMUEL"/>
    <s v="LUCAS"/>
    <s v="MARCELA"/>
  </r>
  <r>
    <x v="0"/>
    <s v="GO"/>
    <s v="0101"/>
    <n v="11"/>
    <x v="0"/>
    <s v="11715P2722"/>
    <s v="761 I2X"/>
    <m/>
    <m/>
    <s v="S2"/>
    <s v="P2"/>
    <s v="BG"/>
    <n v="24"/>
    <n v="1032"/>
    <s v="S2"/>
    <n v="1032"/>
    <n v="24"/>
    <s v="Cam.A"/>
    <s v="QD.55"/>
    <s v="F5"/>
    <s v="SIM"/>
    <n v="1"/>
    <d v="2026-07-30T00:00:00"/>
    <x v="3"/>
    <s v="SAMUEL"/>
    <s v="LUCAS"/>
    <s v="MARCELA"/>
  </r>
  <r>
    <x v="0"/>
    <s v="GO"/>
    <s v="0101"/>
    <n v="11"/>
    <x v="0"/>
    <s v="11714P1103"/>
    <s v="O790 IPRO"/>
    <m/>
    <m/>
    <s v="S1"/>
    <s v="P1"/>
    <s v="BG"/>
    <n v="30"/>
    <n v="775"/>
    <s v="S1"/>
    <n v="775"/>
    <n v="30"/>
    <s v="Cam.A"/>
    <s v="QD.71"/>
    <s v="F2"/>
    <s v="SIM"/>
    <n v="1"/>
    <d v="2026-07-30T00:00:00"/>
    <x v="3"/>
    <s v="SAMUEL"/>
    <s v="LUCAS"/>
    <s v="MARCELA"/>
  </r>
  <r>
    <x v="0"/>
    <s v="GO"/>
    <s v="0101"/>
    <n v="11"/>
    <x v="0"/>
    <s v="11728P2015"/>
    <s v="6930I2X"/>
    <m/>
    <m/>
    <s v="C2"/>
    <s v="P2"/>
    <s v="BG"/>
    <n v="24"/>
    <n v="1065"/>
    <s v="C2"/>
    <n v="1065"/>
    <n v="24"/>
    <s v="Cam.A"/>
    <s v="QD.36"/>
    <s v="F7"/>
    <s v="SIM"/>
    <n v="1"/>
    <d v="2026-07-30T00:00:00"/>
    <x v="3"/>
    <s v="SAMUEL"/>
    <s v="LUCAS"/>
    <s v="MARCELA"/>
  </r>
  <r>
    <x v="0"/>
    <s v="GO"/>
    <s v="0101"/>
    <n v="11"/>
    <x v="0"/>
    <s v="11714P2106"/>
    <s v="O790 IPRO"/>
    <m/>
    <m/>
    <s v="S1"/>
    <s v="P2"/>
    <s v="BG"/>
    <n v="24"/>
    <n v="1033"/>
    <s v="S1"/>
    <n v="1033"/>
    <n v="24"/>
    <s v="Cam.A"/>
    <s v="QD.72"/>
    <s v="F3"/>
    <s v="SIM"/>
    <n v="1"/>
    <d v="2026-07-30T00:00:00"/>
    <x v="3"/>
    <s v="SAMUEL"/>
    <s v="LUCAS"/>
    <s v="MARCELA"/>
  </r>
  <r>
    <x v="0"/>
    <s v="GO"/>
    <s v="0101"/>
    <n v="11"/>
    <x v="0"/>
    <s v="11714P1105"/>
    <s v="O790 IPRO"/>
    <m/>
    <m/>
    <s v="S1"/>
    <s v="P1"/>
    <s v="BG"/>
    <n v="30"/>
    <n v="818"/>
    <s v="S1"/>
    <n v="818"/>
    <n v="30"/>
    <s v="Cam.A"/>
    <s v="QD.71"/>
    <s v="F3"/>
    <s v="SIM"/>
    <n v="1"/>
    <d v="2026-07-30T00:00:00"/>
    <x v="3"/>
    <s v="SAMUEL"/>
    <s v="LUCAS"/>
    <s v="MARCELA"/>
  </r>
  <r>
    <x v="0"/>
    <s v="GO"/>
    <s v="0101"/>
    <n v="11"/>
    <x v="0"/>
    <s v="11714P2104"/>
    <s v="O790 IPRO"/>
    <m/>
    <m/>
    <s v="S1"/>
    <s v="P2"/>
    <s v="BG"/>
    <n v="24"/>
    <n v="1029"/>
    <s v="S1"/>
    <n v="1029"/>
    <n v="24"/>
    <s v="Cam.A"/>
    <s v="QD.72"/>
    <s v="F2"/>
    <s v="SIM"/>
    <n v="1"/>
    <d v="2026-07-30T00:00:00"/>
    <x v="3"/>
    <s v="SAMUEL"/>
    <s v="LUCAS"/>
    <s v="MARCELA"/>
  </r>
  <r>
    <x v="0"/>
    <s v="GO"/>
    <s v="0101"/>
    <n v="11"/>
    <x v="0"/>
    <s v="11728P1016"/>
    <s v="6930I2X"/>
    <m/>
    <m/>
    <s v="C2"/>
    <s v="P1"/>
    <s v="BG"/>
    <n v="29"/>
    <n v="842"/>
    <s v="C2"/>
    <n v="842"/>
    <n v="29"/>
    <s v="Cam.A"/>
    <s v="QD.37"/>
    <s v="F2"/>
    <s v="SIM"/>
    <n v="1"/>
    <d v="2026-07-30T00:00:00"/>
    <x v="3"/>
    <s v="SAMUEL"/>
    <s v="LUCAS"/>
    <s v="MARCELA"/>
  </r>
  <r>
    <x v="0"/>
    <s v="GO"/>
    <s v="0101"/>
    <n v="11"/>
    <x v="0"/>
    <s v="11272P1205"/>
    <s v="690 I2X"/>
    <m/>
    <m/>
    <s v="S1"/>
    <s v="P1"/>
    <s v="BG"/>
    <n v="30"/>
    <n v="755"/>
    <s v="S1"/>
    <n v="755"/>
    <n v="30"/>
    <s v="Cam.A"/>
    <s v="QD.39"/>
    <s v="F3"/>
    <s v="SIM"/>
    <n v="1"/>
    <d v="2026-07-30T00:00:00"/>
    <x v="3"/>
    <s v="SAMUEL"/>
    <s v="LUCAS"/>
    <s v="MARCELA"/>
  </r>
  <r>
    <x v="0"/>
    <s v="GO"/>
    <s v="0101"/>
    <n v="11"/>
    <x v="0"/>
    <s v="11272P2204"/>
    <s v="690 I2X"/>
    <m/>
    <m/>
    <s v="S1"/>
    <s v="P2"/>
    <s v="BG"/>
    <n v="30"/>
    <n v="898"/>
    <s v="S1"/>
    <n v="898"/>
    <n v="30"/>
    <s v="Cam.A"/>
    <s v="QD.38"/>
    <s v="F2"/>
    <s v="SIM"/>
    <n v="1"/>
    <d v="2026-07-30T00:00:00"/>
    <x v="3"/>
    <s v="SAMUEL"/>
    <s v="LUCAS"/>
    <s v="MARCELA"/>
  </r>
  <r>
    <x v="0"/>
    <s v="GO"/>
    <s v="0101"/>
    <n v="11"/>
    <x v="0"/>
    <s v="11272P1203"/>
    <s v="690 I2X"/>
    <m/>
    <m/>
    <s v="S1"/>
    <s v="P1"/>
    <s v="BG"/>
    <n v="30"/>
    <n v="742"/>
    <s v="S1"/>
    <n v="742"/>
    <n v="30"/>
    <s v="Cam.A"/>
    <s v="QD.39"/>
    <s v="F2"/>
    <s v="SIM"/>
    <n v="1"/>
    <d v="2026-07-30T00:00:00"/>
    <x v="3"/>
    <s v="SAMUEL"/>
    <s v="LUCAS"/>
    <s v="MARCELA"/>
  </r>
  <r>
    <x v="0"/>
    <s v="GO"/>
    <s v="0101"/>
    <n v="11"/>
    <x v="0"/>
    <s v="11272P2202"/>
    <s v="690 I2X"/>
    <m/>
    <m/>
    <s v="S1"/>
    <s v="P2"/>
    <s v="BG"/>
    <n v="27"/>
    <n v="915"/>
    <s v="S1"/>
    <n v="915"/>
    <n v="27"/>
    <s v="Cam.A"/>
    <s v="QD.38"/>
    <s v="F1"/>
    <s v="SIM"/>
    <n v="1"/>
    <d v="2026-07-30T00:00:00"/>
    <x v="3"/>
    <s v="SAMUEL"/>
    <s v="LUCAS"/>
    <s v="MARCELA"/>
  </r>
  <r>
    <x v="0"/>
    <s v="GO"/>
    <s v="0101"/>
    <n v="11"/>
    <x v="0"/>
    <s v="11272P1201"/>
    <s v="690 I2X"/>
    <m/>
    <m/>
    <s v="S1"/>
    <s v="P1"/>
    <s v="BG"/>
    <n v="30"/>
    <n v="759"/>
    <s v="S1"/>
    <n v="759"/>
    <n v="30"/>
    <s v="Cam.A"/>
    <s v="QD.39"/>
    <s v="F1"/>
    <s v="SIM"/>
    <n v="1"/>
    <d v="2026-07-30T00:00:00"/>
    <x v="3"/>
    <s v="SAMUEL"/>
    <s v="LUCAS"/>
    <s v="MARCELA"/>
  </r>
  <r>
    <x v="0"/>
    <s v="GO"/>
    <s v="0101"/>
    <n v="11"/>
    <x v="0"/>
    <s v="11272P2207"/>
    <s v="690 I2X"/>
    <m/>
    <m/>
    <s v="S1"/>
    <s v="P2"/>
    <s v="BG"/>
    <n v="27"/>
    <n v="909"/>
    <s v="S1"/>
    <n v="909"/>
    <n v="27"/>
    <s v="Cam.A"/>
    <s v="QD.38"/>
    <s v="F3"/>
    <s v="SIM"/>
    <n v="1"/>
    <d v="2026-07-30T00:00:00"/>
    <x v="3"/>
    <s v="SAMUEL"/>
    <s v="LUCAS"/>
    <s v="MARCELA"/>
  </r>
  <r>
    <x v="0"/>
    <s v="GO"/>
    <s v="0101"/>
    <n v="11"/>
    <x v="0"/>
    <s v="11272P1206"/>
    <s v="690 I2X"/>
    <m/>
    <m/>
    <s v="S1"/>
    <s v="P1"/>
    <s v="BG"/>
    <n v="30"/>
    <n v="755"/>
    <s v="S1"/>
    <n v="755"/>
    <n v="30"/>
    <s v="Cam.A"/>
    <s v="QD.39"/>
    <s v="F4"/>
    <s v="SIM"/>
    <n v="1"/>
    <d v="2026-07-30T00:00:00"/>
    <x v="3"/>
    <s v="SAMUEL"/>
    <s v="LUCAS"/>
    <s v="MARCELA"/>
  </r>
  <r>
    <x v="0"/>
    <s v="GO"/>
    <s v="0101"/>
    <n v="11"/>
    <x v="0"/>
    <s v="11741P2305"/>
    <s v="NEO801 CE"/>
    <m/>
    <m/>
    <s v="C2"/>
    <s v="P2"/>
    <s v="BG"/>
    <n v="24"/>
    <n v="1019"/>
    <s v="C2"/>
    <n v="1019"/>
    <n v="24"/>
    <s v="Cam.B"/>
    <s v="QD.88"/>
    <s v="F3"/>
    <s v="SIM"/>
    <n v="1"/>
    <d v="2026-07-30T00:00:00"/>
    <x v="3"/>
    <s v="SAMUEL"/>
    <s v="LUCAS"/>
    <s v="MARCELA"/>
  </r>
  <r>
    <x v="0"/>
    <s v="GO"/>
    <s v="0101"/>
    <n v="11"/>
    <x v="0"/>
    <s v="11741P1301"/>
    <s v="NEO801 CE"/>
    <m/>
    <m/>
    <s v="C2"/>
    <s v="P1"/>
    <s v="BG"/>
    <n v="30"/>
    <n v="815"/>
    <s v="C2"/>
    <n v="815"/>
    <n v="30"/>
    <s v="Cam.B"/>
    <s v="QD.89"/>
    <s v="F1"/>
    <s v="SIM"/>
    <n v="1"/>
    <d v="2026-07-30T00:00:00"/>
    <x v="3"/>
    <s v="SAMUEL"/>
    <s v="LUCAS"/>
    <s v="MARCELA"/>
  </r>
  <r>
    <x v="0"/>
    <s v="GO"/>
    <s v="0101"/>
    <n v="11"/>
    <x v="0"/>
    <s v="11272P1211"/>
    <s v="690 I2X"/>
    <m/>
    <m/>
    <s v="S1"/>
    <s v="P1"/>
    <s v="BG"/>
    <n v="30"/>
    <n v="750"/>
    <s v="S1"/>
    <n v="746"/>
    <n v="30"/>
    <s v="Cam.A"/>
    <s v="QD.39"/>
    <s v="F6"/>
    <s v="SIM"/>
    <n v="1"/>
    <d v="2026-07-30T00:00:00"/>
    <x v="3"/>
    <s v="SAMUEL"/>
    <s v="LUCAS"/>
    <s v="MARCELA"/>
  </r>
  <r>
    <x v="0"/>
    <s v="GO"/>
    <s v="0101"/>
    <n v="11"/>
    <x v="0"/>
    <s v="11741P2303"/>
    <s v="NEO801 CE"/>
    <m/>
    <m/>
    <s v="C2"/>
    <s v="P2"/>
    <s v="BG"/>
    <n v="27"/>
    <n v="1000"/>
    <s v="C2"/>
    <n v="1000"/>
    <n v="27"/>
    <s v="Cam.B"/>
    <s v="QD.88"/>
    <s v="F2"/>
    <s v="SIM"/>
    <n v="1"/>
    <d v="2026-07-30T00:00:00"/>
    <x v="3"/>
    <s v="SAMUEL"/>
    <s v="LUCAS"/>
    <s v="MARCELA"/>
  </r>
  <r>
    <x v="0"/>
    <s v="GO"/>
    <s v="0101"/>
    <n v="11"/>
    <x v="0"/>
    <s v="11272P1209"/>
    <s v="690 I2X"/>
    <m/>
    <m/>
    <s v="S1"/>
    <s v="P1"/>
    <s v="BG"/>
    <n v="30"/>
    <n v="746"/>
    <s v="S1"/>
    <n v="750"/>
    <n v="30"/>
    <s v="Cam.A"/>
    <s v="QD.39"/>
    <s v="F7"/>
    <s v="SIM"/>
    <n v="1"/>
    <d v="2026-07-30T00:00:00"/>
    <x v="3"/>
    <s v="SAMUEL"/>
    <s v="LUCAS"/>
    <s v="MARCELA"/>
  </r>
  <r>
    <x v="0"/>
    <s v="GO"/>
    <s v="0101"/>
    <n v="11"/>
    <x v="0"/>
    <s v="11741P2302"/>
    <s v="NEO801 CE"/>
    <m/>
    <m/>
    <s v="C2"/>
    <s v="P2"/>
    <s v="BG"/>
    <n v="24"/>
    <n v="1003"/>
    <s v="C2"/>
    <n v="1003"/>
    <n v="24"/>
    <s v="Cam.B"/>
    <s v="QD.88"/>
    <s v="F1"/>
    <s v="SIM"/>
    <n v="1"/>
    <d v="2026-07-30T00:00:00"/>
    <x v="3"/>
    <s v="SAMUEL"/>
    <s v="LUCAS"/>
    <s v="MARCELA"/>
  </r>
  <r>
    <x v="0"/>
    <s v="GO"/>
    <s v="0101"/>
    <n v="11"/>
    <x v="0"/>
    <s v="11272P1208"/>
    <s v="690 I2X"/>
    <m/>
    <m/>
    <s v="S1"/>
    <s v="P1"/>
    <s v="BG"/>
    <n v="30"/>
    <n v="767"/>
    <s v="S1"/>
    <n v="767"/>
    <n v="30"/>
    <s v="Cam.A"/>
    <s v="QD.39"/>
    <s v="F5"/>
    <s v="SIM"/>
    <n v="1"/>
    <d v="2026-07-30T00:00:00"/>
    <x v="3"/>
    <s v="SAMUEL"/>
    <s v="LUCAS"/>
    <s v="MARCELA"/>
  </r>
  <r>
    <x v="0"/>
    <s v="GO"/>
    <s v="0101"/>
    <n v="11"/>
    <x v="0"/>
    <s v="11741P1306"/>
    <s v="NEO801 CE"/>
    <m/>
    <m/>
    <s v="C2"/>
    <s v="P1"/>
    <s v="BG"/>
    <n v="19"/>
    <n v="832"/>
    <s v="C2"/>
    <n v="832"/>
    <n v="19"/>
    <s v="Cam.B"/>
    <s v="QD.89"/>
    <s v="F3"/>
    <s v="SIM"/>
    <n v="1"/>
    <d v="2026-07-30T00:00:00"/>
    <x v="3"/>
    <s v="SAMUEL"/>
    <s v="LUCAS"/>
    <s v="MARCELA"/>
  </r>
  <r>
    <x v="0"/>
    <s v="GO"/>
    <s v="0101"/>
    <n v="11"/>
    <x v="0"/>
    <s v="11741P2307"/>
    <s v="NEO801 CE"/>
    <m/>
    <m/>
    <s v="C2"/>
    <s v="P2"/>
    <s v="BG"/>
    <n v="14"/>
    <n v="955"/>
    <s v="C2"/>
    <n v="955"/>
    <n v="14"/>
    <s v="Cam.B"/>
    <s v="QD.88"/>
    <s v="F4"/>
    <s v="SIM"/>
    <n v="1"/>
    <d v="2026-07-30T00:00:00"/>
    <x v="3"/>
    <s v="SAMUEL"/>
    <s v="LUCAS"/>
    <s v="MARCELA"/>
  </r>
  <r>
    <x v="0"/>
    <s v="GO"/>
    <s v="0101"/>
    <n v="11"/>
    <x v="0"/>
    <s v="11272P2213"/>
    <s v="690 I2X"/>
    <m/>
    <m/>
    <s v="S1"/>
    <s v="P2"/>
    <s v="BG"/>
    <n v="27"/>
    <n v="929"/>
    <s v="S1"/>
    <n v="929"/>
    <n v="27"/>
    <s v="Cam.A"/>
    <s v="QD.38"/>
    <s v="F5"/>
    <s v="SIM"/>
    <n v="1"/>
    <d v="2026-07-30T00:00:00"/>
    <x v="3"/>
    <s v="SAMUEL"/>
    <s v="LUCAS"/>
    <s v="MARCELA"/>
  </r>
  <r>
    <x v="0"/>
    <s v="GO"/>
    <s v="0101"/>
    <n v="11"/>
    <x v="0"/>
    <s v="11272P1214"/>
    <s v="690 I2X"/>
    <m/>
    <m/>
    <s v="S1"/>
    <s v="P1"/>
    <s v="BG"/>
    <n v="30"/>
    <n v="768"/>
    <s v="S1"/>
    <n v="768"/>
    <n v="30"/>
    <s v="Cam.A"/>
    <s v="QD.40"/>
    <s v="F2"/>
    <s v="SIM"/>
    <n v="1"/>
    <d v="2026-07-30T00:00:00"/>
    <x v="3"/>
    <s v="SAMUEL"/>
    <s v="LUCAS"/>
    <s v="MARCELA"/>
  </r>
  <r>
    <x v="0"/>
    <s v="GO"/>
    <s v="0101"/>
    <n v="11"/>
    <x v="0"/>
    <s v="11272P1212"/>
    <s v="690 I2X"/>
    <m/>
    <m/>
    <s v="S1"/>
    <s v="P1"/>
    <s v="BG"/>
    <n v="30"/>
    <n v="765"/>
    <s v="S1"/>
    <n v="765"/>
    <n v="30"/>
    <s v="Cam.A"/>
    <s v="QD.40"/>
    <s v="F1"/>
    <s v="SIM"/>
    <n v="1"/>
    <d v="2026-07-30T00:00:00"/>
    <x v="3"/>
    <s v="SAMUEL"/>
    <s v="LUCAS"/>
    <s v="MARCELA"/>
  </r>
  <r>
    <x v="0"/>
    <s v="GO"/>
    <s v="0101"/>
    <n v="11"/>
    <x v="0"/>
    <s v="11741P1304"/>
    <s v="NEO801 CE"/>
    <m/>
    <m/>
    <s v="C2"/>
    <s v="P1"/>
    <s v="BG"/>
    <n v="30"/>
    <n v="823"/>
    <s v="C2"/>
    <n v="823"/>
    <n v="30"/>
    <s v="Cam.B"/>
    <s v="QD.89"/>
    <s v="F2"/>
    <s v="SIM"/>
    <n v="1"/>
    <d v="2026-07-30T00:00:00"/>
    <x v="3"/>
    <s v="SAMUEL"/>
    <s v="LUCAS"/>
    <s v="MARCELA"/>
  </r>
  <r>
    <x v="0"/>
    <s v="GO"/>
    <s v="0101"/>
    <n v="11"/>
    <x v="0"/>
    <s v="11272P2210"/>
    <s v="690 I2X"/>
    <m/>
    <m/>
    <s v="S1"/>
    <s v="P2"/>
    <s v="BG"/>
    <n v="27"/>
    <n v="916"/>
    <s v="S1"/>
    <n v="916"/>
    <n v="27"/>
    <s v="Cam.A"/>
    <s v="QD.38"/>
    <s v="F4"/>
    <s v="SIM"/>
    <n v="1"/>
    <d v="2026-07-30T00:00:00"/>
    <x v="3"/>
    <s v="SAMUEL"/>
    <s v="LUCAS"/>
    <s v="MARCELA"/>
  </r>
  <r>
    <x v="0"/>
    <s v="GO"/>
    <s v="0101"/>
    <n v="11"/>
    <x v="0"/>
    <s v="11272P2219"/>
    <s v="690 I2X"/>
    <m/>
    <m/>
    <s v="S1"/>
    <s v="P2"/>
    <s v="BG"/>
    <n v="30"/>
    <n v="891"/>
    <s v="S1"/>
    <n v="891"/>
    <n v="30"/>
    <s v="Cam.A"/>
    <s v="QD.38"/>
    <s v="F7"/>
    <s v="SIM"/>
    <n v="1"/>
    <d v="2026-07-30T00:00:00"/>
    <x v="3"/>
    <s v="SAMUEL"/>
    <s v="LUCAS"/>
    <s v="MARCELA"/>
  </r>
  <r>
    <x v="0"/>
    <s v="GO"/>
    <s v="0101"/>
    <n v="11"/>
    <x v="0"/>
    <s v="11272P1218"/>
    <s v="690 I2X"/>
    <m/>
    <m/>
    <s v="S1"/>
    <s v="P1"/>
    <s v="BG"/>
    <n v="30"/>
    <n v="757"/>
    <s v="S1"/>
    <n v="757"/>
    <n v="30"/>
    <s v="Cam.A"/>
    <s v="QD.40"/>
    <s v="F5"/>
    <s v="SIM"/>
    <n v="1"/>
    <d v="2026-07-30T00:00:00"/>
    <x v="3"/>
    <s v="SAMUEL"/>
    <s v="LUCAS"/>
    <s v="MARCELA"/>
  </r>
  <r>
    <x v="0"/>
    <s v="GO"/>
    <s v="0101"/>
    <n v="11"/>
    <x v="0"/>
    <s v="11272P2216"/>
    <s v="690 I2X"/>
    <m/>
    <m/>
    <s v="S1"/>
    <s v="P2"/>
    <s v="BG"/>
    <n v="27"/>
    <n v="914"/>
    <s v="S1"/>
    <n v="914"/>
    <n v="27"/>
    <s v="Cam.A"/>
    <s v="QD.38"/>
    <s v="F6"/>
    <s v="SIM"/>
    <n v="1"/>
    <d v="2026-07-30T00:00:00"/>
    <x v="3"/>
    <s v="SAMUEL"/>
    <s v="LUCAS"/>
    <s v="MARCELA"/>
  </r>
  <r>
    <x v="0"/>
    <s v="GO"/>
    <s v="0101"/>
    <n v="11"/>
    <x v="0"/>
    <s v="11272P1217"/>
    <s v="690 I2X"/>
    <m/>
    <m/>
    <s v="S1"/>
    <s v="P1"/>
    <s v="BG"/>
    <n v="30"/>
    <n v="761"/>
    <s v="S1"/>
    <n v="761"/>
    <n v="30"/>
    <s v="Cam.A"/>
    <s v="QD.40"/>
    <s v="F4"/>
    <s v="SIM"/>
    <n v="1"/>
    <d v="2026-07-30T00:00:00"/>
    <x v="3"/>
    <s v="SAMUEL"/>
    <s v="LUCAS"/>
    <s v="MARCELA"/>
  </r>
  <r>
    <x v="0"/>
    <s v="GO"/>
    <s v="0101"/>
    <n v="11"/>
    <x v="0"/>
    <s v="11272P1215"/>
    <s v="690 I2X"/>
    <m/>
    <m/>
    <s v="S1"/>
    <s v="P1"/>
    <s v="BG"/>
    <n v="30"/>
    <n v="763"/>
    <s v="S1"/>
    <n v="763"/>
    <n v="30"/>
    <s v="Cam.A"/>
    <s v="QD.40"/>
    <s v="F3"/>
    <s v="SIM"/>
    <n v="1"/>
    <d v="2026-07-30T00:00:00"/>
    <x v="3"/>
    <s v="SAMUEL"/>
    <s v="LUCAS"/>
    <s v="MARCELA"/>
  </r>
  <r>
    <x v="0"/>
    <s v="GO"/>
    <s v="0101"/>
    <n v="11"/>
    <x v="0"/>
    <s v="11272P1222"/>
    <s v="690 I2X"/>
    <m/>
    <m/>
    <s v="S1"/>
    <s v="P1"/>
    <s v="BG"/>
    <n v="30"/>
    <n v="750"/>
    <s v="S1"/>
    <n v="750"/>
    <n v="30"/>
    <s v="Cam.A"/>
    <s v="QD.40"/>
    <s v="F6"/>
    <s v="SIM"/>
    <n v="1"/>
    <d v="2026-07-30T00:00:00"/>
    <x v="3"/>
    <s v="SAMUEL"/>
    <s v="LUCAS"/>
    <s v="MARCELA"/>
  </r>
  <r>
    <x v="0"/>
    <s v="GO"/>
    <s v="0101"/>
    <n v="11"/>
    <x v="0"/>
    <s v="11272P1220"/>
    <s v="690 I2X"/>
    <m/>
    <m/>
    <s v="S1"/>
    <s v="P1"/>
    <s v="BG"/>
    <n v="30"/>
    <n v="767"/>
    <s v="S1"/>
    <n v="767"/>
    <n v="30"/>
    <s v="Cam.A"/>
    <s v="QD.40"/>
    <s v="F7"/>
    <s v="SIM"/>
    <n v="1"/>
    <d v="2026-07-30T00:00:00"/>
    <x v="3"/>
    <s v="SAMUEL"/>
    <s v="LUCAS"/>
    <s v="MARCELA"/>
  </r>
  <r>
    <x v="0"/>
    <s v="GO"/>
    <s v="0101"/>
    <n v="11"/>
    <x v="0"/>
    <s v="11272P2224"/>
    <s v="690 I2X"/>
    <m/>
    <m/>
    <s v="S1"/>
    <s v="P2"/>
    <s v="BG"/>
    <n v="7"/>
    <n v="908"/>
    <s v="S1"/>
    <n v="908"/>
    <n v="7"/>
    <s v="Cam.A"/>
    <s v="QD.70"/>
    <s v="F2"/>
    <s v="SIM"/>
    <n v="1"/>
    <d v="2026-07-30T00:00:00"/>
    <x v="3"/>
    <s v="SAMUEL"/>
    <s v="LUCAS"/>
    <s v="MARCELA"/>
  </r>
  <r>
    <x v="0"/>
    <s v="GO"/>
    <s v="0101"/>
    <n v="11"/>
    <x v="0"/>
    <s v="11272P1223"/>
    <s v="690 I2X"/>
    <m/>
    <m/>
    <s v="S1"/>
    <s v="P1"/>
    <s v="BG"/>
    <n v="30"/>
    <n v="759"/>
    <s v="S1"/>
    <n v="759"/>
    <n v="30"/>
    <s v="Cam.B"/>
    <s v="QD.96"/>
    <s v="F1"/>
    <s v="SIM"/>
    <n v="1"/>
    <d v="2026-07-30T00:00:00"/>
    <x v="3"/>
    <s v="SAMUEL"/>
    <s v="LUCAS"/>
    <s v="MARCELA"/>
  </r>
  <r>
    <x v="0"/>
    <s v="GO"/>
    <s v="0101"/>
    <n v="11"/>
    <x v="0"/>
    <s v="11272P2221"/>
    <s v="690 I2X"/>
    <m/>
    <m/>
    <s v="S1"/>
    <s v="P2"/>
    <s v="BG"/>
    <n v="27"/>
    <n v="920"/>
    <s v="S1"/>
    <n v="920"/>
    <n v="27"/>
    <s v="Cam.A"/>
    <s v="QD.29"/>
    <s v="F1"/>
    <s v="SIM"/>
    <n v="1"/>
    <d v="2026-07-30T00:00:00"/>
    <x v="3"/>
    <s v="SAMUEL"/>
    <s v="LUCAS"/>
    <s v="MARCELA"/>
  </r>
  <r>
    <x v="0"/>
    <s v="GO"/>
    <s v="0101"/>
    <n v="11"/>
    <x v="0"/>
    <s v="11754P1401"/>
    <s v="7222I2X"/>
    <m/>
    <m/>
    <s v="C1"/>
    <s v="P1"/>
    <s v="BG"/>
    <n v="24"/>
    <n v="1050"/>
    <s v="C1"/>
    <n v="1050"/>
    <n v="24"/>
    <s v="Cam.A"/>
    <s v="QD.42"/>
    <s v="F1"/>
    <s v="SIM"/>
    <n v="1"/>
    <d v="2026-07-30T00:00:00"/>
    <x v="3"/>
    <s v="SAMUEL"/>
    <s v="LUCAS"/>
    <s v="MARCELA"/>
  </r>
  <r>
    <x v="0"/>
    <s v="GO"/>
    <s v="0101"/>
    <n v="11"/>
    <x v="0"/>
    <s v="11754P1407"/>
    <s v="7222I2X"/>
    <m/>
    <m/>
    <s v="C1"/>
    <s v="P1"/>
    <s v="BG"/>
    <n v="0"/>
    <n v="1033"/>
    <s v="C1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58P2501"/>
    <s v="C2705CE"/>
    <m/>
    <m/>
    <s v="C1"/>
    <s v="P2"/>
    <s v="BG"/>
    <n v="24"/>
    <n v="1112"/>
    <s v="C1"/>
    <n v="1112"/>
    <n v="24"/>
    <s v="Cam.A"/>
    <s v="QD.73"/>
    <s v="F1"/>
    <s v="SIM"/>
    <n v="1"/>
    <d v="2026-07-30T00:00:00"/>
    <x v="3"/>
    <s v="SAMUEL"/>
    <s v="LUCAS"/>
    <s v="MARCELA"/>
  </r>
  <r>
    <x v="0"/>
    <s v="GO"/>
    <s v="0101"/>
    <n v="11"/>
    <x v="0"/>
    <s v="11758P1502"/>
    <s v="C2705CE"/>
    <m/>
    <m/>
    <s v="C1"/>
    <s v="P1"/>
    <s v="BG"/>
    <n v="27"/>
    <n v="913"/>
    <s v="C1"/>
    <n v="913"/>
    <n v="27"/>
    <s v="Cam.A"/>
    <s v="QD.74"/>
    <s v="F1"/>
    <s v="SIM"/>
    <n v="1"/>
    <d v="2026-07-30T00:00:00"/>
    <x v="3"/>
    <s v="SAMUEL"/>
    <s v="LUCAS"/>
    <s v="MARCELA"/>
  </r>
  <r>
    <x v="0"/>
    <s v="GO"/>
    <s v="0101"/>
    <n v="11"/>
    <x v="0"/>
    <s v="11754P1405"/>
    <s v="7222I2X"/>
    <m/>
    <m/>
    <s v="C1"/>
    <s v="P1"/>
    <s v="BG"/>
    <n v="24"/>
    <n v="1029"/>
    <s v="C1"/>
    <n v="1029"/>
    <n v="24"/>
    <s v="Cam.A"/>
    <s v="QD.43"/>
    <s v="F1"/>
    <s v="SIM"/>
    <n v="1"/>
    <d v="2026-07-30T00:00:00"/>
    <x v="3"/>
    <s v="SAMUEL"/>
    <s v="LUCAS"/>
    <s v="MARCELA"/>
  </r>
  <r>
    <x v="0"/>
    <s v="GO"/>
    <s v="0101"/>
    <n v="11"/>
    <x v="0"/>
    <s v="11272P1225"/>
    <s v="690 I2X"/>
    <m/>
    <m/>
    <s v="S1"/>
    <s v="P1"/>
    <s v="BG"/>
    <n v="8"/>
    <n v="766"/>
    <s v="S1"/>
    <n v="766"/>
    <n v="8"/>
    <s v="Cam.A"/>
    <s v="QD.70"/>
    <s v="F1"/>
    <s v="SIM"/>
    <n v="1"/>
    <d v="2026-07-30T00:00:00"/>
    <x v="3"/>
    <s v="SAMUEL"/>
    <s v="LUCAS"/>
    <s v="MARCELA"/>
  </r>
  <r>
    <x v="0"/>
    <s v="GO"/>
    <s v="0101"/>
    <n v="11"/>
    <x v="0"/>
    <s v="11754P2404"/>
    <s v="7222I2X"/>
    <m/>
    <m/>
    <s v="C1"/>
    <s v="P2"/>
    <s v="BG"/>
    <n v="18"/>
    <n v="1201"/>
    <s v="C1"/>
    <n v="1201"/>
    <n v="18"/>
    <s v="Cam.A"/>
    <s v="QD.41"/>
    <s v="F3"/>
    <s v="SIM"/>
    <n v="1"/>
    <d v="2026-07-30T00:00:00"/>
    <x v="3"/>
    <s v="SAMUEL"/>
    <s v="LUCAS"/>
    <s v="MARCELA"/>
  </r>
  <r>
    <x v="0"/>
    <s v="GO"/>
    <s v="0101"/>
    <n v="11"/>
    <x v="0"/>
    <s v="11754P1403"/>
    <s v="7222I2X"/>
    <m/>
    <m/>
    <s v="C1"/>
    <s v="P1"/>
    <s v="BG"/>
    <n v="0"/>
    <n v="1031"/>
    <s v="C1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54P2402"/>
    <s v="7222I2X"/>
    <m/>
    <m/>
    <s v="C1"/>
    <s v="P2"/>
    <s v="BG"/>
    <n v="18"/>
    <n v="1203"/>
    <s v="C1"/>
    <n v="1203"/>
    <n v="18"/>
    <s v="Cam.A"/>
    <s v="QD.44"/>
    <s v="F5"/>
    <s v="SIM"/>
    <n v="1"/>
    <d v="2026-07-30T00:00:00"/>
    <x v="3"/>
    <s v="SAMUEL"/>
    <s v="LUCAS"/>
    <s v="MARCELA"/>
  </r>
  <r>
    <x v="0"/>
    <s v="GO"/>
    <s v="0101"/>
    <n v="11"/>
    <x v="0"/>
    <s v="11714P1107"/>
    <s v="O790 IPRO"/>
    <m/>
    <m/>
    <s v="S1"/>
    <s v="P1"/>
    <s v="BG"/>
    <n v="30"/>
    <n v="806"/>
    <s v="S1"/>
    <n v="806"/>
    <n v="30"/>
    <s v="Cam.A"/>
    <s v="QD.71"/>
    <s v="F4"/>
    <s v="SIM"/>
    <n v="1"/>
    <d v="2026-07-30T00:00:00"/>
    <x v="3"/>
    <s v="SAMUEL"/>
    <s v="LUCAS"/>
    <s v="MARCELA"/>
  </r>
  <r>
    <x v="0"/>
    <s v="GO"/>
    <s v="0101"/>
    <n v="11"/>
    <x v="0"/>
    <s v="11758P2506"/>
    <s v="C2705CE"/>
    <m/>
    <m/>
    <s v="C1"/>
    <s v="P2"/>
    <s v="BG"/>
    <n v="21"/>
    <n v="1105"/>
    <s v="C1"/>
    <n v="1105"/>
    <n v="21"/>
    <s v="Cam.A"/>
    <s v="QD.73"/>
    <s v="F3"/>
    <s v="SIM"/>
    <n v="1"/>
    <d v="2026-07-30T00:00:00"/>
    <x v="3"/>
    <s v="SAMUEL"/>
    <s v="LUCAS"/>
    <s v="MARCELA"/>
  </r>
  <r>
    <x v="0"/>
    <s v="GO"/>
    <s v="0101"/>
    <n v="11"/>
    <x v="0"/>
    <s v="11758P2504"/>
    <s v="C2705CE"/>
    <m/>
    <m/>
    <s v="C1"/>
    <s v="P2"/>
    <s v="BG"/>
    <n v="24"/>
    <n v="1102"/>
    <s v="C1"/>
    <n v="1102"/>
    <n v="24"/>
    <s v="Cam.A"/>
    <s v="QD.73"/>
    <s v="F2"/>
    <s v="SIM"/>
    <n v="1"/>
    <d v="2026-07-30T00:00:00"/>
    <x v="3"/>
    <s v="SAMUEL"/>
    <s v="LUCAS"/>
    <s v="MARCELA"/>
  </r>
  <r>
    <x v="0"/>
    <s v="GO"/>
    <s v="0101"/>
    <n v="11"/>
    <x v="0"/>
    <s v="11758P1503"/>
    <s v="C2705CE"/>
    <m/>
    <m/>
    <s v="C1"/>
    <s v="P1"/>
    <s v="BG"/>
    <n v="27"/>
    <n v="917"/>
    <s v="C1"/>
    <n v="917"/>
    <n v="27"/>
    <s v="Cam.A"/>
    <s v="QD.74"/>
    <s v="F2"/>
    <s v="SIM"/>
    <n v="1"/>
    <d v="2026-07-30T00:00:00"/>
    <x v="3"/>
    <s v="SAMUEL"/>
    <s v="LUCAS"/>
    <s v="MARCELA"/>
  </r>
  <r>
    <x v="0"/>
    <s v="GO"/>
    <s v="0101"/>
    <n v="11"/>
    <x v="0"/>
    <s v="11754P2406"/>
    <s v="7222I2X"/>
    <m/>
    <m/>
    <s v="C1"/>
    <s v="P2"/>
    <s v="BG"/>
    <n v="9"/>
    <n v="1200"/>
    <s v="C1"/>
    <n v="1200"/>
    <n v="9"/>
    <s v="Cam.A"/>
    <s v="QD.41"/>
    <s v="F2"/>
    <s v="SIM"/>
    <n v="1"/>
    <d v="2026-07-30T00:00:00"/>
    <x v="3"/>
    <s v="SAMUEL"/>
    <s v="LUCAS"/>
    <s v="MARCELA"/>
  </r>
  <r>
    <x v="0"/>
    <s v="GO"/>
    <s v="0101"/>
    <n v="11"/>
    <x v="0"/>
    <s v="11728P1018"/>
    <s v="6930I2X"/>
    <m/>
    <m/>
    <s v="C2"/>
    <s v="P1"/>
    <s v="BG"/>
    <n v="0"/>
    <n v="830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28P2019"/>
    <s v="6930I2X"/>
    <m/>
    <m/>
    <s v="C2"/>
    <s v="P2"/>
    <s v="BG"/>
    <n v="24"/>
    <n v="1042"/>
    <s v="C2"/>
    <n v="1042"/>
    <n v="24"/>
    <s v="Cam.A"/>
    <s v="QD.31"/>
    <s v="F1"/>
    <s v="SIM"/>
    <n v="1"/>
    <d v="2026-07-30T00:00:00"/>
    <x v="3"/>
    <s v="SAMUEL"/>
    <s v="LUCAS"/>
    <s v="MARCELA"/>
  </r>
  <r>
    <x v="0"/>
    <s v="GO"/>
    <s v="0101"/>
    <n v="11"/>
    <x v="0"/>
    <s v="11728P2017"/>
    <s v="6930I2X"/>
    <m/>
    <m/>
    <s v="C2"/>
    <s v="P2"/>
    <s v="BG"/>
    <n v="24"/>
    <n v="1007"/>
    <s v="C2"/>
    <n v="1007"/>
    <n v="24"/>
    <s v="Cam.A"/>
    <s v="QD.31"/>
    <s v="F2"/>
    <s v="SIM"/>
    <n v="1"/>
    <d v="2026-07-30T00:00:00"/>
    <x v="3"/>
    <s v="SAMUEL"/>
    <s v="LUCAS"/>
    <s v="MARCELA"/>
  </r>
  <r>
    <x v="0"/>
    <s v="GO"/>
    <s v="0101"/>
    <n v="11"/>
    <x v="0"/>
    <s v="11758P1507"/>
    <s v="C2705CE"/>
    <m/>
    <m/>
    <s v="C1"/>
    <s v="P1"/>
    <s v="BG"/>
    <n v="4"/>
    <n v="905"/>
    <s v="C1"/>
    <n v="912"/>
    <n v="4"/>
    <s v="Cam.A"/>
    <s v="QD.74"/>
    <s v="F3"/>
    <s v="SIM"/>
    <n v="1"/>
    <d v="2026-07-30T00:00:00"/>
    <x v="3"/>
    <s v="SAMUEL"/>
    <s v="LUCAS"/>
    <s v="MARCELA"/>
  </r>
  <r>
    <x v="0"/>
    <s v="GO"/>
    <s v="0101"/>
    <n v="11"/>
    <x v="0"/>
    <s v="11758P1505"/>
    <s v="C2705CE"/>
    <m/>
    <m/>
    <s v="C1"/>
    <s v="P1"/>
    <s v="BG"/>
    <n v="27"/>
    <n v="912"/>
    <s v="C1"/>
    <n v="905"/>
    <n v="27"/>
    <s v="Cam.A"/>
    <s v="QD.74"/>
    <s v="F3"/>
    <s v="SIM"/>
    <n v="1"/>
    <d v="2026-07-30T00:00:00"/>
    <x v="3"/>
    <s v="SAMUEL"/>
    <s v="LUCAS"/>
    <s v="MARCELA"/>
  </r>
  <r>
    <x v="0"/>
    <s v="GO"/>
    <s v="0101"/>
    <n v="11"/>
    <x v="0"/>
    <s v="11728P1020"/>
    <s v="6930I2X"/>
    <m/>
    <m/>
    <s v="C2"/>
    <s v="P1"/>
    <s v="BG"/>
    <n v="0"/>
    <n v="834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4P2108"/>
    <s v="O790 IPRO"/>
    <m/>
    <m/>
    <s v="S1"/>
    <s v="P2"/>
    <s v="BG"/>
    <n v="24"/>
    <n v="1031"/>
    <s v="S1"/>
    <n v="1031"/>
    <n v="24"/>
    <s v="Cam.A"/>
    <s v="QD.72"/>
    <s v="F4"/>
    <s v="SIM"/>
    <n v="1"/>
    <d v="2026-07-30T00:00:00"/>
    <x v="3"/>
    <s v="SAMUEL"/>
    <s v="LUCAS"/>
    <s v="MARCELA"/>
  </r>
  <r>
    <x v="0"/>
    <s v="GO"/>
    <s v="0101"/>
    <n v="11"/>
    <x v="0"/>
    <s v="11728P1022"/>
    <s v="6930I2X"/>
    <m/>
    <m/>
    <s v="C2"/>
    <s v="P1"/>
    <s v="BG"/>
    <n v="0"/>
    <n v="822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4P2110"/>
    <s v="O790 IPRO"/>
    <m/>
    <m/>
    <s v="S1"/>
    <s v="P2"/>
    <s v="BG"/>
    <n v="24"/>
    <n v="1030"/>
    <s v="S1"/>
    <n v="1030"/>
    <n v="24"/>
    <s v="Cam.A"/>
    <s v="QD.75"/>
    <s v="F1"/>
    <s v="SIM"/>
    <n v="1"/>
    <d v="2026-07-30T00:00:00"/>
    <x v="3"/>
    <s v="SAMUEL"/>
    <s v="LUCAS"/>
    <s v="MARCELA"/>
  </r>
  <r>
    <x v="0"/>
    <s v="GO"/>
    <s v="0101"/>
    <n v="11"/>
    <x v="0"/>
    <s v="11714P1109"/>
    <s v="O790 IPRO"/>
    <m/>
    <m/>
    <s v="S1"/>
    <s v="P1"/>
    <s v="BG"/>
    <n v="30"/>
    <n v="800"/>
    <s v="S1"/>
    <n v="800"/>
    <n v="30"/>
    <s v="Cam.A"/>
    <s v="QD.76"/>
    <s v="F1"/>
    <s v="SIM"/>
    <n v="1"/>
    <d v="2026-07-30T00:00:00"/>
    <x v="3"/>
    <s v="SAMUEL"/>
    <s v="LUCAS"/>
    <s v="MARCELA"/>
  </r>
  <r>
    <x v="0"/>
    <s v="GO"/>
    <s v="0101"/>
    <n v="11"/>
    <x v="0"/>
    <s v="11728P2025"/>
    <s v="6930I2X"/>
    <m/>
    <m/>
    <s v="C2"/>
    <s v="P2"/>
    <s v="BG"/>
    <n v="24"/>
    <n v="1050"/>
    <s v="C2"/>
    <n v="1050"/>
    <n v="24"/>
    <s v="Cam.A"/>
    <s v="QD.31"/>
    <s v="F3"/>
    <s v="SIM"/>
    <n v="1"/>
    <d v="2026-07-30T00:00:00"/>
    <x v="3"/>
    <s v="SAMUEL"/>
    <s v="LUCAS"/>
    <s v="MARCELA"/>
  </r>
  <r>
    <x v="0"/>
    <s v="GO"/>
    <s v="0101"/>
    <n v="11"/>
    <x v="0"/>
    <s v="11728P2023"/>
    <s v="6930I2X"/>
    <m/>
    <m/>
    <s v="C2"/>
    <s v="P2"/>
    <s v="BG"/>
    <n v="0"/>
    <n v="1078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4P1111"/>
    <s v="O790 IPRO"/>
    <m/>
    <m/>
    <s v="S1"/>
    <s v="P1"/>
    <s v="BG"/>
    <n v="30"/>
    <n v="803"/>
    <s v="S1"/>
    <n v="803"/>
    <n v="30"/>
    <s v="Cam.A"/>
    <s v="QD.76"/>
    <s v="F2"/>
    <s v="SIM"/>
    <n v="1"/>
    <d v="2026-07-30T00:00:00"/>
    <x v="3"/>
    <s v="SAMUEL"/>
    <s v="LUCAS"/>
    <s v="MARCELA"/>
  </r>
  <r>
    <x v="0"/>
    <s v="GO"/>
    <s v="0101"/>
    <n v="11"/>
    <x v="0"/>
    <s v="11728P2021"/>
    <s v="6930I2X"/>
    <m/>
    <m/>
    <s v="C2"/>
    <s v="P2"/>
    <s v="BG"/>
    <n v="24"/>
    <n v="1034"/>
    <s v="C2"/>
    <n v="1034"/>
    <n v="24"/>
    <s v="Cam.A"/>
    <s v="QD.32"/>
    <s v="F1"/>
    <s v="SIM"/>
    <n v="1"/>
    <d v="2026-07-30T00:00:00"/>
    <x v="3"/>
    <s v="SAMUEL"/>
    <s v="LUCAS"/>
    <s v="MARCELA"/>
  </r>
  <r>
    <x v="0"/>
    <s v="GO"/>
    <s v="0101"/>
    <n v="11"/>
    <x v="0"/>
    <s v="11714P2115"/>
    <s v="O790 IPRO"/>
    <m/>
    <m/>
    <s v="S1"/>
    <s v="P2"/>
    <s v="BG"/>
    <n v="24"/>
    <n v="1020"/>
    <s v="S1"/>
    <n v="1020"/>
    <n v="24"/>
    <s v="Cam.A"/>
    <s v="QD.75"/>
    <s v="F3"/>
    <s v="SIM"/>
    <n v="1"/>
    <d v="2026-07-30T00:00:00"/>
    <x v="3"/>
    <s v="SAMUEL"/>
    <s v="LUCAS"/>
    <s v="MARCELA"/>
  </r>
  <r>
    <x v="0"/>
    <s v="GO"/>
    <s v="0101"/>
    <n v="11"/>
    <x v="0"/>
    <s v="11728P1027"/>
    <s v="6930I2X"/>
    <m/>
    <m/>
    <s v="C2"/>
    <s v="P1"/>
    <s v="BG"/>
    <n v="2"/>
    <n v="835"/>
    <s v="C2"/>
    <n v="855"/>
    <n v="2"/>
    <s v="Cam.A"/>
    <s v="QD.30"/>
    <s v="F3"/>
    <s v="SIM"/>
    <n v="1"/>
    <d v="2026-07-30T00:00:00"/>
    <x v="3"/>
    <s v="SAMUEL"/>
    <s v="LUCAS"/>
    <s v="MARCELA"/>
  </r>
  <r>
    <x v="0"/>
    <s v="GO"/>
    <s v="0101"/>
    <n v="11"/>
    <x v="0"/>
    <s v="11728P2026"/>
    <s v="6930I2X"/>
    <m/>
    <m/>
    <s v="C2"/>
    <s v="P2"/>
    <s v="BG"/>
    <n v="0"/>
    <n v="1029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28P1024"/>
    <s v="6930I2X"/>
    <m/>
    <m/>
    <s v="C2"/>
    <s v="P1"/>
    <s v="BG"/>
    <n v="30"/>
    <n v="836"/>
    <s v="C2"/>
    <n v="836"/>
    <n v="30"/>
    <s v="Cam.A"/>
    <s v="QD.35"/>
    <s v="F1"/>
    <s v="SIM"/>
    <n v="1"/>
    <d v="2026-07-30T00:00:00"/>
    <x v="3"/>
    <s v="SAMUEL"/>
    <s v="LUCAS"/>
    <s v="MARCELA"/>
  </r>
  <r>
    <x v="0"/>
    <s v="GO"/>
    <s v="0101"/>
    <n v="11"/>
    <x v="0"/>
    <s v="11714P1113"/>
    <s v="O790 IPRO"/>
    <m/>
    <m/>
    <s v="S1"/>
    <s v="P1"/>
    <s v="BG"/>
    <n v="30"/>
    <n v="801"/>
    <s v="S1"/>
    <n v="801"/>
    <n v="30"/>
    <s v="Cam.A"/>
    <s v="QD.76"/>
    <s v="F3"/>
    <s v="SIM"/>
    <n v="1"/>
    <d v="2026-07-30T00:00:00"/>
    <x v="3"/>
    <s v="SAMUEL"/>
    <s v="LUCAS"/>
    <s v="MARCELA"/>
  </r>
  <r>
    <x v="0"/>
    <s v="GO"/>
    <s v="0101"/>
    <n v="11"/>
    <x v="0"/>
    <s v="11714P2114"/>
    <s v="O790 IPRO"/>
    <m/>
    <m/>
    <s v="S1"/>
    <s v="P2"/>
    <s v="BG"/>
    <n v="24"/>
    <n v="1022"/>
    <s v="S1"/>
    <n v="1022"/>
    <n v="24"/>
    <s v="Cam.A"/>
    <s v="QD.75"/>
    <s v="F4"/>
    <s v="SIM"/>
    <n v="1"/>
    <d v="2026-07-30T00:00:00"/>
    <x v="3"/>
    <s v="SAMUEL"/>
    <s v="LUCAS"/>
    <s v="MARCELA"/>
  </r>
  <r>
    <x v="0"/>
    <s v="GO"/>
    <s v="0101"/>
    <n v="11"/>
    <x v="0"/>
    <s v="11714P2112"/>
    <s v="O790 IPRO"/>
    <m/>
    <m/>
    <s v="S1"/>
    <s v="P2"/>
    <s v="BG"/>
    <n v="24"/>
    <n v="1028"/>
    <s v="S1"/>
    <n v="1028"/>
    <n v="24"/>
    <s v="Cam.A"/>
    <s v="QD.75"/>
    <s v="F2"/>
    <s v="SIM"/>
    <n v="1"/>
    <d v="2026-07-30T00:00:00"/>
    <x v="3"/>
    <s v="SAMUEL"/>
    <s v="LUCAS"/>
    <s v="MARCELA"/>
  </r>
  <r>
    <x v="0"/>
    <s v="GO"/>
    <s v="0101"/>
    <n v="11"/>
    <x v="0"/>
    <s v="11714P2119"/>
    <s v="O790 IPRO"/>
    <m/>
    <m/>
    <s v="S1"/>
    <s v="P2"/>
    <s v="BG"/>
    <n v="24"/>
    <n v="1041"/>
    <s v="S1"/>
    <n v="1041"/>
    <n v="24"/>
    <s v="Cam.A"/>
    <s v="QD.75"/>
    <s v="F5"/>
    <s v="SIM"/>
    <n v="1"/>
    <d v="2026-07-30T00:00:00"/>
    <x v="3"/>
    <s v="SAMUEL"/>
    <s v="LUCAS"/>
    <s v="MARCELA"/>
  </r>
  <r>
    <x v="0"/>
    <s v="GO"/>
    <s v="0101"/>
    <n v="11"/>
    <x v="0"/>
    <s v="11149P1603"/>
    <s v="NEO680 IPRO"/>
    <m/>
    <m/>
    <s v="S2"/>
    <s v="P1"/>
    <s v="BG"/>
    <n v="0"/>
    <n v="826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149P1601"/>
    <s v="NEO680 IPRO"/>
    <m/>
    <m/>
    <s v="S2"/>
    <s v="P1"/>
    <s v="BG"/>
    <n v="30"/>
    <n v="838"/>
    <s v="S2"/>
    <n v="838"/>
    <n v="30"/>
    <s v="Cam.A"/>
    <s v="QD.52"/>
    <s v="F1"/>
    <s v="SIM"/>
    <n v="1"/>
    <d v="2026-07-30T00:00:00"/>
    <x v="3"/>
    <s v="SAMUEL"/>
    <s v="LUCAS"/>
    <s v="MARCELA"/>
  </r>
  <r>
    <x v="0"/>
    <s v="GO"/>
    <s v="0101"/>
    <n v="11"/>
    <x v="0"/>
    <s v="11714P1118"/>
    <s v="O790 IPRO"/>
    <m/>
    <m/>
    <s v="S1"/>
    <s v="P1"/>
    <s v="BG"/>
    <n v="30"/>
    <n v="811"/>
    <s v="S1"/>
    <n v="811"/>
    <n v="30"/>
    <s v="Cam.A"/>
    <s v="QD.77"/>
    <s v="F1"/>
    <s v="SIM"/>
    <n v="1"/>
    <d v="2026-07-30T00:00:00"/>
    <x v="3"/>
    <s v="SAMUEL"/>
    <s v="LUCAS"/>
    <s v="MARCELA"/>
  </r>
  <r>
    <x v="0"/>
    <s v="GO"/>
    <s v="0101"/>
    <n v="11"/>
    <x v="0"/>
    <s v="11714P2117"/>
    <s v="O790 IPRO"/>
    <m/>
    <m/>
    <s v="S1"/>
    <s v="P2"/>
    <s v="BG"/>
    <n v="24"/>
    <n v="1038"/>
    <s v="S1"/>
    <n v="1038"/>
    <n v="24"/>
    <s v="Cam.A"/>
    <s v="QD.72"/>
    <s v="F5"/>
    <s v="SIM"/>
    <n v="1"/>
    <d v="2026-07-30T00:00:00"/>
    <x v="3"/>
    <s v="SAMUEL"/>
    <s v="LUCAS"/>
    <s v="MARCELA"/>
  </r>
  <r>
    <x v="0"/>
    <s v="GO"/>
    <s v="0101"/>
    <n v="11"/>
    <x v="0"/>
    <s v="11714P1116"/>
    <s v="O790 IPRO"/>
    <m/>
    <m/>
    <s v="S1"/>
    <s v="P1"/>
    <s v="BG"/>
    <n v="30"/>
    <n v="810"/>
    <s v="S1"/>
    <n v="810"/>
    <n v="30"/>
    <s v="Cam.A"/>
    <s v="QD.76"/>
    <s v="F4"/>
    <s v="SIM"/>
    <n v="1"/>
    <d v="2026-07-30T00:00:00"/>
    <x v="3"/>
    <s v="SAMUEL"/>
    <s v="LUCAS"/>
    <s v="MARCELA"/>
  </r>
  <r>
    <x v="0"/>
    <s v="GO"/>
    <s v="0101"/>
    <n v="11"/>
    <x v="0"/>
    <s v="11714P2121"/>
    <s v="O790 IPRO"/>
    <m/>
    <m/>
    <s v="S1"/>
    <s v="P2"/>
    <s v="BG"/>
    <n v="24"/>
    <n v="1053"/>
    <s v="S1"/>
    <n v="1053"/>
    <n v="24"/>
    <s v="Cam.A"/>
    <s v="QD.78"/>
    <s v="F1"/>
    <s v="SIM"/>
    <n v="1"/>
    <d v="2026-07-30T00:00:00"/>
    <x v="3"/>
    <s v="SAMUEL"/>
    <s v="LUCAS"/>
    <s v="MARCELA"/>
  </r>
  <r>
    <x v="0"/>
    <s v="GO"/>
    <s v="0101"/>
    <n v="11"/>
    <x v="0"/>
    <s v="11149P1604"/>
    <s v="NEO680 IPRO"/>
    <m/>
    <m/>
    <s v="S2"/>
    <s v="P1"/>
    <s v="BG"/>
    <n v="30"/>
    <n v="822"/>
    <s v="S2"/>
    <n v="822"/>
    <n v="30"/>
    <s v="Cam.A"/>
    <s v="QD.52"/>
    <s v="F3"/>
    <s v="SIM"/>
    <n v="1"/>
    <d v="2026-07-30T00:00:00"/>
    <x v="3"/>
    <s v="SAMUEL"/>
    <s v="LUCAS"/>
    <s v="MARCELA"/>
  </r>
  <r>
    <x v="0"/>
    <s v="GO"/>
    <s v="0101"/>
    <n v="11"/>
    <x v="0"/>
    <s v="11149P2602"/>
    <s v="NEO680 IPRO"/>
    <m/>
    <m/>
    <s v="S2"/>
    <s v="P2"/>
    <s v="BG"/>
    <n v="14"/>
    <n v="1010"/>
    <s v="S2"/>
    <n v="1010"/>
    <n v="14"/>
    <s v="Cam.A"/>
    <s v="QD.51"/>
    <s v="F1"/>
    <s v="SIM"/>
    <n v="1"/>
    <d v="2026-07-30T00:00:00"/>
    <x v="3"/>
    <s v="SAMUEL"/>
    <s v="LUCAS"/>
    <s v="MARCELA"/>
  </r>
  <r>
    <x v="0"/>
    <s v="GO"/>
    <s v="0101"/>
    <n v="11"/>
    <x v="0"/>
    <s v="11714P1120"/>
    <s v="O790 IPRO"/>
    <m/>
    <m/>
    <s v="S1"/>
    <s v="P1"/>
    <s v="BG"/>
    <n v="30"/>
    <n v="805"/>
    <s v="S1"/>
    <n v="805"/>
    <n v="30"/>
    <s v="Cam.A"/>
    <s v="QD.71"/>
    <s v="F5"/>
    <s v="SIM"/>
    <n v="1"/>
    <d v="2026-07-30T00:00:00"/>
    <x v="3"/>
    <s v="SAMUEL"/>
    <s v="LUCAS"/>
    <s v="MARCELA"/>
  </r>
  <r>
    <x v="0"/>
    <s v="GO"/>
    <s v="0101"/>
    <n v="11"/>
    <x v="0"/>
    <s v="11714P2125"/>
    <s v="O790 IPRO"/>
    <m/>
    <m/>
    <s v="S1"/>
    <s v="P2"/>
    <s v="BG"/>
    <n v="24"/>
    <n v="1015"/>
    <s v="S1"/>
    <n v="1015"/>
    <n v="24"/>
    <s v="Cam.A"/>
    <s v="QD.78"/>
    <s v="F2"/>
    <s v="SIM"/>
    <n v="1"/>
    <d v="2026-07-30T00:00:00"/>
    <x v="3"/>
    <s v="SAMUEL"/>
    <s v="LUCAS"/>
    <s v="MARCELA"/>
  </r>
  <r>
    <x v="0"/>
    <s v="GO"/>
    <s v="0101"/>
    <n v="11"/>
    <x v="0"/>
    <s v="11714P1124"/>
    <s v="O790 IPRO"/>
    <m/>
    <m/>
    <s v="S1"/>
    <s v="P1"/>
    <s v="BG"/>
    <n v="30"/>
    <n v="791"/>
    <s v="S1"/>
    <n v="791"/>
    <n v="30"/>
    <s v="Cam.A"/>
    <s v="QD.77"/>
    <s v="F3"/>
    <s v="SIM"/>
    <n v="1"/>
    <d v="2026-07-30T00:00:00"/>
    <x v="3"/>
    <s v="SAMUEL"/>
    <s v="LUCAS"/>
    <s v="MARCELA"/>
  </r>
  <r>
    <x v="0"/>
    <s v="GO"/>
    <s v="0101"/>
    <n v="11"/>
    <x v="0"/>
    <s v="11149P1606"/>
    <s v="NEO680 IPRO"/>
    <m/>
    <m/>
    <s v="S2"/>
    <s v="P1"/>
    <s v="BG"/>
    <n v="30"/>
    <n v="830"/>
    <s v="S2"/>
    <n v="830"/>
    <n v="30"/>
    <s v="Cam.A"/>
    <s v="QD.52"/>
    <s v="F5"/>
    <s v="SIM"/>
    <n v="1"/>
    <d v="2026-07-30T00:00:00"/>
    <x v="3"/>
    <s v="SAMUEL"/>
    <s v="LUCAS"/>
    <s v="MARCELA"/>
  </r>
  <r>
    <x v="0"/>
    <s v="GO"/>
    <s v="0101"/>
    <n v="11"/>
    <x v="0"/>
    <s v="11714P2123"/>
    <s v="O790 IPRO"/>
    <m/>
    <m/>
    <s v="S1"/>
    <s v="P2"/>
    <s v="BG"/>
    <n v="24"/>
    <n v="1038"/>
    <s v="S1"/>
    <n v="1038"/>
    <n v="24"/>
    <s v="Cam.A"/>
    <s v="QD.78"/>
    <s v="F4"/>
    <s v="SIM"/>
    <n v="1"/>
    <d v="2026-07-30T00:00:00"/>
    <x v="3"/>
    <s v="SAMUEL"/>
    <s v="LUCAS"/>
    <s v="MARCELA"/>
  </r>
  <r>
    <x v="0"/>
    <s v="GO"/>
    <s v="0101"/>
    <n v="11"/>
    <x v="0"/>
    <s v="11714P1122"/>
    <s v="O790 IPRO"/>
    <m/>
    <m/>
    <s v="S1"/>
    <s v="P1"/>
    <s v="BG"/>
    <n v="30"/>
    <n v="791"/>
    <s v="S1"/>
    <n v="791"/>
    <n v="30"/>
    <s v="Cam.A"/>
    <s v="QD.77"/>
    <s v="F2"/>
    <s v="SIM"/>
    <n v="1"/>
    <d v="2026-07-30T00:00:00"/>
    <x v="3"/>
    <s v="SAMUEL"/>
    <s v="LUCAS"/>
    <s v="MARCELA"/>
  </r>
  <r>
    <x v="0"/>
    <s v="GO"/>
    <s v="0101"/>
    <n v="11"/>
    <x v="0"/>
    <s v="11149P1607"/>
    <s v="NEO680 IPRO"/>
    <m/>
    <m/>
    <s v="S2"/>
    <s v="P1"/>
    <s v="BG"/>
    <n v="30"/>
    <n v="794"/>
    <s v="S2"/>
    <n v="794"/>
    <n v="30"/>
    <s v="Cam.A"/>
    <s v="QD.52"/>
    <s v="F4"/>
    <s v="SIM"/>
    <n v="1"/>
    <d v="2026-07-30T00:00:00"/>
    <x v="3"/>
    <s v="SAMUEL"/>
    <s v="LUCAS"/>
    <s v="MARCELA"/>
  </r>
  <r>
    <x v="0"/>
    <s v="GO"/>
    <s v="0101"/>
    <n v="11"/>
    <x v="0"/>
    <s v="11714P2127"/>
    <s v="O790 IPRO"/>
    <m/>
    <m/>
    <s v="S1"/>
    <s v="P2"/>
    <s v="BG"/>
    <n v="24"/>
    <n v="1045"/>
    <s v="S1"/>
    <n v="1045"/>
    <n v="24"/>
    <s v="Cam.A"/>
    <s v="QD.78"/>
    <s v="F3"/>
    <s v="SIM"/>
    <n v="1"/>
    <d v="2026-07-30T00:00:00"/>
    <x v="3"/>
    <s v="SAMUEL"/>
    <s v="LUCAS"/>
    <s v="MARCELA"/>
  </r>
  <r>
    <x v="0"/>
    <s v="GO"/>
    <s v="0101"/>
    <n v="11"/>
    <x v="0"/>
    <s v="11714P1126"/>
    <s v="O790 IPRO"/>
    <m/>
    <m/>
    <s v="S1"/>
    <s v="P1"/>
    <s v="BG"/>
    <n v="30"/>
    <n v="814"/>
    <s v="S1"/>
    <n v="814"/>
    <n v="30"/>
    <s v="Cam.A"/>
    <s v="QD.77"/>
    <s v="F4"/>
    <s v="SIM"/>
    <n v="1"/>
    <d v="2026-07-30T00:00:00"/>
    <x v="3"/>
    <s v="SAMUEL"/>
    <s v="LUCAS"/>
    <s v="MARCELA"/>
  </r>
  <r>
    <x v="0"/>
    <s v="GO"/>
    <s v="0101"/>
    <n v="11"/>
    <x v="0"/>
    <s v="11149P1613"/>
    <s v="NEO680 IPRO"/>
    <m/>
    <m/>
    <s v="S2"/>
    <s v="P1"/>
    <s v="BG"/>
    <n v="30"/>
    <n v="764"/>
    <s v="S2"/>
    <n v="764"/>
    <n v="30"/>
    <s v="Cam.A"/>
    <s v="QD.50"/>
    <s v="F5"/>
    <s v="SIM"/>
    <n v="1"/>
    <d v="2026-07-30T00:00:00"/>
    <x v="3"/>
    <s v="SAMUEL"/>
    <s v="LUCAS"/>
    <s v="MARCELA"/>
  </r>
  <r>
    <x v="0"/>
    <s v="GO"/>
    <s v="0101"/>
    <n v="11"/>
    <x v="0"/>
    <s v="11714P2131"/>
    <s v="O790 IPRO"/>
    <m/>
    <m/>
    <s v="S1"/>
    <s v="P2"/>
    <s v="BG"/>
    <n v="18"/>
    <n v="1023"/>
    <s v="S1"/>
    <n v="1023"/>
    <n v="18"/>
    <s v="Cam.A"/>
    <s v="QD.79"/>
    <s v="F1"/>
    <s v="SIM"/>
    <n v="1"/>
    <d v="2026-07-30T00:00:00"/>
    <x v="3"/>
    <s v="SAMUEL"/>
    <s v="LUCAS"/>
    <s v="MARCELA"/>
  </r>
  <r>
    <x v="0"/>
    <s v="GO"/>
    <s v="0101"/>
    <n v="11"/>
    <x v="0"/>
    <s v="11149P1609"/>
    <s v="NEO680 IPRO"/>
    <m/>
    <m/>
    <s v="S2"/>
    <s v="P1"/>
    <s v="BG"/>
    <n v="30"/>
    <n v="789"/>
    <s v="S2"/>
    <n v="789"/>
    <n v="30"/>
    <s v="Cam.A"/>
    <s v="QD.52"/>
    <s v="F6"/>
    <s v="SIM"/>
    <n v="1"/>
    <d v="2026-07-30T00:00:00"/>
    <x v="3"/>
    <s v="SAMUEL"/>
    <s v="LUCAS"/>
    <s v="MARCELA"/>
  </r>
  <r>
    <x v="0"/>
    <s v="GO"/>
    <s v="0101"/>
    <n v="11"/>
    <x v="0"/>
    <s v="11714P2128"/>
    <s v="O790 IPRO"/>
    <m/>
    <m/>
    <s v="S1"/>
    <s v="P2"/>
    <s v="BG"/>
    <n v="24"/>
    <n v="1015"/>
    <s v="S1"/>
    <n v="1015"/>
    <n v="24"/>
    <s v="Cam.A"/>
    <s v="QD.78"/>
    <s v="F5"/>
    <s v="SIM"/>
    <n v="1"/>
    <d v="2026-07-30T00:00:00"/>
    <x v="3"/>
    <s v="SAMUEL"/>
    <s v="LUCAS"/>
    <s v="MARCELA"/>
  </r>
  <r>
    <x v="0"/>
    <s v="GO"/>
    <s v="0101"/>
    <n v="11"/>
    <x v="0"/>
    <s v="11714P1129"/>
    <s v="O790 IPRO"/>
    <m/>
    <m/>
    <s v="S1"/>
    <s v="P1"/>
    <s v="BG"/>
    <n v="30"/>
    <n v="799"/>
    <s v="S1"/>
    <n v="799"/>
    <n v="30"/>
    <s v="Cam.A"/>
    <s v="QD.77"/>
    <s v="F5"/>
    <s v="SIM"/>
    <n v="1"/>
    <d v="2026-07-30T00:00:00"/>
    <x v="3"/>
    <s v="SAMUEL"/>
    <s v="LUCAS"/>
    <s v="MARCELA"/>
  </r>
  <r>
    <x v="0"/>
    <s v="GO"/>
    <s v="0101"/>
    <n v="11"/>
    <x v="0"/>
    <s v="11149P1608"/>
    <s v="NEO680 IPRO"/>
    <m/>
    <m/>
    <s v="S2"/>
    <s v="P1"/>
    <s v="BG"/>
    <n v="30"/>
    <n v="785"/>
    <s v="S2"/>
    <n v="785"/>
    <n v="30"/>
    <s v="Cam.A"/>
    <s v="QD.50"/>
    <s v="F1"/>
    <s v="SIM"/>
    <n v="1"/>
    <d v="2026-07-30T00:00:00"/>
    <x v="3"/>
    <s v="SAMUEL"/>
    <s v="LUCAS"/>
    <s v="MARCELA"/>
  </r>
  <r>
    <x v="0"/>
    <s v="GO"/>
    <s v="0101"/>
    <n v="11"/>
    <x v="0"/>
    <s v="11149P1612"/>
    <s v="NEO680 IPRO"/>
    <m/>
    <m/>
    <s v="S2"/>
    <s v="P1"/>
    <s v="BG"/>
    <n v="30"/>
    <n v="797"/>
    <s v="S2"/>
    <n v="707"/>
    <n v="30"/>
    <s v="Cam.A"/>
    <s v="QD.50"/>
    <s v="F4"/>
    <s v="SIM"/>
    <n v="1"/>
    <d v="2026-07-30T00:00:00"/>
    <x v="3"/>
    <s v="SAMUEL"/>
    <s v="LUCAS"/>
    <s v="MARCELA"/>
  </r>
  <r>
    <x v="0"/>
    <s v="GO"/>
    <s v="0101"/>
    <n v="11"/>
    <x v="0"/>
    <s v="11715P1702"/>
    <s v="761 I2X"/>
    <m/>
    <m/>
    <s v="S2"/>
    <s v="P1"/>
    <s v="BG"/>
    <n v="30"/>
    <n v="846"/>
    <s v="S2"/>
    <n v="846"/>
    <n v="30"/>
    <s v="Cam.A"/>
    <s v="QD.54"/>
    <s v="F2"/>
    <s v="SIM"/>
    <n v="1"/>
    <d v="2026-07-30T00:00:00"/>
    <x v="3"/>
    <s v="SAMUEL"/>
    <s v="LUCAS"/>
    <s v="MARCELA"/>
  </r>
  <r>
    <x v="0"/>
    <s v="GO"/>
    <s v="0101"/>
    <n v="11"/>
    <x v="0"/>
    <s v="11149P1611"/>
    <s v="NEO680 IPRO"/>
    <m/>
    <m/>
    <s v="S2"/>
    <s v="P1"/>
    <s v="BG"/>
    <n v="30"/>
    <n v="802"/>
    <s v="S2"/>
    <n v="802"/>
    <n v="30"/>
    <s v="Cam.A"/>
    <s v="QD.50"/>
    <s v="F3"/>
    <s v="SIM"/>
    <n v="1"/>
    <d v="2026-07-30T00:00:00"/>
    <x v="3"/>
    <s v="SAMUEL"/>
    <s v="LUCAS"/>
    <s v="MARCELA"/>
  </r>
  <r>
    <x v="0"/>
    <s v="GO"/>
    <s v="0101"/>
    <n v="11"/>
    <x v="0"/>
    <s v="11714P1130"/>
    <s v="O790 IPRO"/>
    <m/>
    <m/>
    <s v="S1"/>
    <s v="P1"/>
    <s v="BG"/>
    <n v="20"/>
    <n v="792"/>
    <s v="S1"/>
    <n v="792"/>
    <n v="20"/>
    <s v="Cam.A"/>
    <s v="QD.76"/>
    <s v="F5"/>
    <s v="SIM"/>
    <n v="1"/>
    <d v="2026-07-30T00:00:00"/>
    <x v="3"/>
    <s v="SAMUEL"/>
    <s v="LUCAS"/>
    <s v="MARCELA"/>
  </r>
  <r>
    <x v="0"/>
    <s v="GO"/>
    <s v="0101"/>
    <n v="11"/>
    <x v="0"/>
    <s v="11149P1610"/>
    <s v="NEO680 IPRO"/>
    <m/>
    <m/>
    <s v="S2"/>
    <s v="P1"/>
    <s v="BG"/>
    <n v="30"/>
    <n v="792"/>
    <s v="S2"/>
    <n v="792"/>
    <n v="30"/>
    <s v="Cam.A"/>
    <s v="QD.50"/>
    <s v="F2"/>
    <s v="SIM"/>
    <n v="1"/>
    <d v="2026-07-30T00:00:00"/>
    <x v="3"/>
    <s v="SAMUEL"/>
    <s v="LUCAS"/>
    <s v="MARCELA"/>
  </r>
  <r>
    <x v="0"/>
    <s v="GO"/>
    <s v="0101"/>
    <n v="11"/>
    <x v="0"/>
    <s v="11149P2605"/>
    <s v="NEO680 IPRO"/>
    <m/>
    <m/>
    <s v="S2"/>
    <s v="P2"/>
    <s v="BG"/>
    <n v="27"/>
    <n v="998"/>
    <s v="S2"/>
    <n v="998"/>
    <n v="27"/>
    <s v="Cam.A"/>
    <s v="QD.51"/>
    <s v="F3"/>
    <s v="SIM"/>
    <n v="1"/>
    <d v="2026-07-30T00:00:00"/>
    <x v="3"/>
    <s v="SAMUEL"/>
    <s v="LUCAS"/>
    <s v="MARCELA"/>
  </r>
  <r>
    <x v="0"/>
    <s v="GO"/>
    <s v="0101"/>
    <n v="11"/>
    <x v="0"/>
    <s v="11715P1705"/>
    <s v="761 I2X"/>
    <m/>
    <m/>
    <s v="S2"/>
    <s v="P1"/>
    <s v="BG"/>
    <n v="30"/>
    <n v="853"/>
    <s v="S2"/>
    <n v="853"/>
    <n v="30"/>
    <s v="Cam.A"/>
    <s v="QD.54"/>
    <s v="F3"/>
    <s v="SIM"/>
    <n v="1"/>
    <d v="2026-07-30T00:00:00"/>
    <x v="3"/>
    <s v="SAMUEL"/>
    <s v="LUCAS"/>
    <s v="MARCELA"/>
  </r>
  <r>
    <x v="0"/>
    <s v="GO"/>
    <s v="0101"/>
    <n v="11"/>
    <x v="0"/>
    <s v="11715P2704"/>
    <s v="761 I2X"/>
    <m/>
    <m/>
    <s v="S2"/>
    <s v="P2"/>
    <s v="BG"/>
    <n v="0"/>
    <n v="1030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1703"/>
    <s v="761 I2X"/>
    <m/>
    <m/>
    <s v="S2"/>
    <s v="P1"/>
    <s v="BG"/>
    <n v="0"/>
    <n v="834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2701"/>
    <s v="761 I2X"/>
    <m/>
    <m/>
    <s v="S2"/>
    <s v="P2"/>
    <s v="BG"/>
    <n v="24"/>
    <n v="1029"/>
    <s v="S2"/>
    <n v="1029"/>
    <n v="24"/>
    <s v="Cam.A"/>
    <s v="QD.70"/>
    <s v="F3"/>
    <s v="SIM"/>
    <n v="1"/>
    <d v="2026-07-30T00:00:00"/>
    <x v="3"/>
    <s v="SAMUEL"/>
    <s v="LUCAS"/>
    <s v="MARCELA"/>
  </r>
  <r>
    <x v="0"/>
    <s v="GO"/>
    <s v="0101"/>
    <n v="11"/>
    <x v="0"/>
    <s v="11149P2615"/>
    <s v="NEO680 IPRO"/>
    <m/>
    <m/>
    <s v="S2"/>
    <s v="P2"/>
    <s v="BG"/>
    <n v="27"/>
    <n v="931"/>
    <s v="S2"/>
    <n v="931"/>
    <n v="27"/>
    <s v="Cam.A"/>
    <s v="QD.51"/>
    <s v="F2"/>
    <s v="SIM"/>
    <n v="1"/>
    <d v="2026-07-30T00:00:00"/>
    <x v="3"/>
    <s v="SAMUEL"/>
    <s v="LUCAS"/>
    <s v="MARCELA"/>
  </r>
  <r>
    <x v="0"/>
    <s v="GO"/>
    <s v="0101"/>
    <n v="11"/>
    <x v="0"/>
    <s v="11715P2713"/>
    <s v="761 I2X"/>
    <m/>
    <m/>
    <s v="S2"/>
    <s v="P2"/>
    <s v="BG"/>
    <n v="0"/>
    <n v="1019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1712"/>
    <s v="761 I2X"/>
    <m/>
    <m/>
    <s v="S2"/>
    <s v="P1"/>
    <s v="BG"/>
    <n v="30"/>
    <n v="844"/>
    <s v="S2"/>
    <n v="844"/>
    <n v="30"/>
    <s v="Cam.A"/>
    <s v="QD.56"/>
    <s v="F1"/>
    <s v="SIM"/>
    <n v="1"/>
    <d v="2026-07-30T00:00:00"/>
    <x v="3"/>
    <s v="SAMUEL"/>
    <s v="LUCAS"/>
    <s v="MARCELA"/>
  </r>
  <r>
    <x v="0"/>
    <s v="GO"/>
    <s v="0101"/>
    <n v="11"/>
    <x v="0"/>
    <s v="11715P2711"/>
    <s v="761 I2X"/>
    <m/>
    <m/>
    <s v="S2"/>
    <s v="P2"/>
    <s v="BG"/>
    <n v="0"/>
    <n v="1031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1710"/>
    <s v="761 I2X"/>
    <m/>
    <m/>
    <s v="S2"/>
    <s v="P1"/>
    <s v="BG"/>
    <n v="30"/>
    <n v="833"/>
    <s v="S2"/>
    <n v="833"/>
    <n v="30"/>
    <s v="Cam.A"/>
    <s v="QD.54"/>
    <s v="F4"/>
    <s v="SIM"/>
    <n v="1"/>
    <d v="2026-07-30T00:00:00"/>
    <x v="3"/>
    <s v="SAMUEL"/>
    <s v="LUCAS"/>
    <s v="MARCELA"/>
  </r>
  <r>
    <x v="0"/>
    <s v="GO"/>
    <s v="0101"/>
    <n v="11"/>
    <x v="0"/>
    <s v="11715P2709"/>
    <s v="761 I2X"/>
    <m/>
    <m/>
    <s v="S2"/>
    <s v="P2"/>
    <s v="BG"/>
    <n v="0"/>
    <n v="1023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149P1614"/>
    <s v="NEO680 IPRO"/>
    <m/>
    <m/>
    <s v="S2"/>
    <s v="P1"/>
    <s v="BG"/>
    <n v="30"/>
    <n v="764"/>
    <s v="S2"/>
    <n v="764"/>
    <n v="30"/>
    <s v="Cam.A"/>
    <s v="QD.50"/>
    <s v="F6"/>
    <s v="SIM"/>
    <n v="1"/>
    <d v="2026-07-30T00:00:00"/>
    <x v="3"/>
    <s v="SAMUEL"/>
    <s v="LUCAS"/>
    <s v="MARCELA"/>
  </r>
  <r>
    <x v="0"/>
    <s v="GO"/>
    <s v="0101"/>
    <n v="11"/>
    <x v="0"/>
    <s v="11715P1708"/>
    <s v="761 I2X"/>
    <m/>
    <m/>
    <s v="S2"/>
    <s v="P1"/>
    <s v="BG"/>
    <n v="0"/>
    <n v="853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1707"/>
    <s v="761 I2X"/>
    <m/>
    <m/>
    <s v="S2"/>
    <s v="P1"/>
    <s v="BG"/>
    <n v="0"/>
    <n v="849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2706"/>
    <s v="761 I2X"/>
    <m/>
    <m/>
    <s v="S2"/>
    <s v="P2"/>
    <s v="BG"/>
    <n v="0"/>
    <n v="1026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1928"/>
    <s v="NEO771 I2X"/>
    <m/>
    <m/>
    <s v="C2"/>
    <s v="P1"/>
    <s v="BG"/>
    <n v="0"/>
    <n v="676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1717"/>
    <s v="761 I2X"/>
    <m/>
    <m/>
    <s v="S2"/>
    <s v="P1"/>
    <s v="BG"/>
    <n v="0"/>
    <n v="838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1715"/>
    <s v="761 I2X"/>
    <m/>
    <m/>
    <s v="S2"/>
    <s v="P1"/>
    <s v="BG"/>
    <n v="30"/>
    <n v="853"/>
    <s v="S2"/>
    <n v="853"/>
    <n v="30"/>
    <s v="Cam.A"/>
    <s v="QD.56"/>
    <s v="F3"/>
    <s v="SIM"/>
    <n v="1"/>
    <d v="2026-07-30T00:00:00"/>
    <x v="3"/>
    <s v="SAMUEL"/>
    <s v="LUCAS"/>
    <s v="MARCELA"/>
  </r>
  <r>
    <x v="0"/>
    <s v="GO"/>
    <s v="0101"/>
    <n v="11"/>
    <x v="0"/>
    <s v="11149P1617"/>
    <s v="NEO680 IPRO"/>
    <m/>
    <m/>
    <s v="S2"/>
    <s v="P1"/>
    <s v="BG"/>
    <n v="30"/>
    <n v="762"/>
    <s v="S2"/>
    <n v="762"/>
    <n v="30"/>
    <s v="Cam.A"/>
    <s v="QD.49"/>
    <s v="F2"/>
    <s v="SIM"/>
    <n v="1"/>
    <d v="2026-07-30T00:00:00"/>
    <x v="3"/>
    <s v="SAMUEL"/>
    <s v="LUCAS"/>
    <s v="MARCELA"/>
  </r>
  <r>
    <x v="0"/>
    <s v="GO"/>
    <s v="0101"/>
    <n v="11"/>
    <x v="0"/>
    <s v="11715P1714"/>
    <s v="761 I2X"/>
    <m/>
    <m/>
    <s v="S2"/>
    <s v="P1"/>
    <s v="BG"/>
    <n v="0"/>
    <n v="842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149P1621"/>
    <s v="NEO680 IPRO"/>
    <m/>
    <m/>
    <s v="C1"/>
    <s v="P1"/>
    <s v="BG"/>
    <n v="0"/>
    <n v="778"/>
    <s v="C1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149P2619"/>
    <s v="NEO680 IPRO"/>
    <m/>
    <m/>
    <s v="C1"/>
    <s v="P2"/>
    <s v="BG"/>
    <n v="27"/>
    <n v="928"/>
    <s v="C1"/>
    <n v="928"/>
    <n v="27"/>
    <s v="Cam.A"/>
    <s v="QD.47"/>
    <s v="F1"/>
    <s v="SIM"/>
    <n v="1"/>
    <d v="2026-07-30T00:00:00"/>
    <x v="3"/>
    <s v="SAMUEL"/>
    <s v="LUCAS"/>
    <s v="MARCELA"/>
  </r>
  <r>
    <x v="0"/>
    <s v="GO"/>
    <s v="0101"/>
    <n v="11"/>
    <x v="0"/>
    <s v="11149P1620"/>
    <s v="NEO680 IPRO"/>
    <m/>
    <m/>
    <s v="C1"/>
    <s v="P1"/>
    <s v="BG"/>
    <n v="0"/>
    <n v="787"/>
    <s v="C1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1720"/>
    <s v="761 I2X"/>
    <m/>
    <m/>
    <s v="S2"/>
    <s v="P1"/>
    <s v="BG"/>
    <n v="30"/>
    <n v="825"/>
    <s v="S2"/>
    <n v="825"/>
    <n v="30"/>
    <s v="Cam.A"/>
    <s v="QD.56"/>
    <s v="F6"/>
    <s v="SIM"/>
    <n v="1"/>
    <d v="2026-07-30T00:00:00"/>
    <x v="3"/>
    <s v="SAMUEL"/>
    <s v="LUCAS"/>
    <s v="MARCELA"/>
  </r>
  <r>
    <x v="0"/>
    <s v="GO"/>
    <s v="0101"/>
    <n v="11"/>
    <x v="0"/>
    <s v="11715P1718"/>
    <s v="761 I2X"/>
    <m/>
    <m/>
    <s v="S2"/>
    <s v="P1"/>
    <s v="BG"/>
    <n v="30"/>
    <n v="842"/>
    <s v="S2"/>
    <n v="842"/>
    <n v="30"/>
    <s v="Cam.A"/>
    <s v="QD.56"/>
    <s v="F5"/>
    <s v="SIM"/>
    <n v="1"/>
    <d v="2026-07-30T00:00:00"/>
    <x v="3"/>
    <s v="SAMUEL"/>
    <s v="LUCAS"/>
    <s v="MARCELA"/>
  </r>
  <r>
    <x v="0"/>
    <s v="GO"/>
    <s v="0101"/>
    <n v="11"/>
    <x v="0"/>
    <s v="11149P1618"/>
    <s v="NEO680 IPRO"/>
    <m/>
    <m/>
    <s v="S2"/>
    <s v="P1"/>
    <s v="BG"/>
    <n v="0"/>
    <n v="787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2716"/>
    <s v="761 I2X"/>
    <m/>
    <m/>
    <s v="S2"/>
    <s v="P2"/>
    <s v="BG"/>
    <n v="0"/>
    <n v="1029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1721"/>
    <s v="761 I2X"/>
    <m/>
    <m/>
    <s v="S2"/>
    <s v="P1"/>
    <s v="BG"/>
    <n v="30"/>
    <n v="842"/>
    <s v="S2"/>
    <n v="842"/>
    <n v="30"/>
    <s v="Cam.A"/>
    <s v="QD.58"/>
    <s v="F1"/>
    <s v="SIM"/>
    <n v="1"/>
    <d v="2026-07-30T00:00:00"/>
    <x v="3"/>
    <s v="SAMUEL"/>
    <s v="LUCAS"/>
    <s v="MARCELA"/>
  </r>
  <r>
    <x v="0"/>
    <s v="GO"/>
    <s v="0101"/>
    <n v="11"/>
    <x v="0"/>
    <s v="11149P1622"/>
    <s v="NEO680 IPRO"/>
    <m/>
    <m/>
    <s v="C1"/>
    <s v="P1"/>
    <s v="BG"/>
    <n v="16"/>
    <n v="785"/>
    <s v="C1"/>
    <n v="785"/>
    <n v="16"/>
    <s v="Cam.A"/>
    <s v="QD.48"/>
    <s v="F1"/>
    <s v="SIM"/>
    <n v="1"/>
    <d v="2026-07-30T00:00:00"/>
    <x v="3"/>
    <s v="SAMUEL"/>
    <s v="LUCAS"/>
    <s v="MARCELA"/>
  </r>
  <r>
    <x v="0"/>
    <s v="GO"/>
    <s v="0101"/>
    <n v="11"/>
    <x v="0"/>
    <s v="11715P2719"/>
    <s v="761 I2X"/>
    <m/>
    <m/>
    <s v="S2"/>
    <s v="P2"/>
    <s v="BG"/>
    <n v="24"/>
    <n v="1027"/>
    <s v="S2"/>
    <n v="1027"/>
    <n v="24"/>
    <s v="Cam.A"/>
    <s v="QD.55"/>
    <s v="F6"/>
    <s v="SIM"/>
    <n v="1"/>
    <d v="2026-07-30T00:00:00"/>
    <x v="3"/>
    <s v="SAMUEL"/>
    <s v="LUCAS"/>
    <s v="MARCELA"/>
  </r>
  <r>
    <x v="0"/>
    <s v="GO"/>
    <s v="0101"/>
    <n v="11"/>
    <x v="0"/>
    <s v="11149P2625"/>
    <s v="NEO680 IPRO"/>
    <m/>
    <m/>
    <s v="C1"/>
    <s v="P2"/>
    <s v="BG"/>
    <n v="27"/>
    <n v="934"/>
    <s v="C1"/>
    <n v="934"/>
    <n v="27"/>
    <s v="Cam.A"/>
    <s v="QD.70"/>
    <s v="F4"/>
    <s v="SIM"/>
    <n v="1"/>
    <d v="2026-07-30T00:00:00"/>
    <x v="3"/>
    <s v="SAMUEL"/>
    <s v="LUCAS"/>
    <s v="MARCELA"/>
  </r>
  <r>
    <x v="0"/>
    <s v="GO"/>
    <s v="0101"/>
    <n v="11"/>
    <x v="0"/>
    <s v="11149P1626"/>
    <s v="NEO680 IPRO"/>
    <m/>
    <m/>
    <s v="C1"/>
    <s v="P1"/>
    <s v="BG"/>
    <n v="0"/>
    <n v="783"/>
    <s v="C1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149P1624"/>
    <s v="NEO680 IPRO"/>
    <m/>
    <m/>
    <s v="C1"/>
    <s v="P1"/>
    <s v="BG"/>
    <n v="0"/>
    <n v="789"/>
    <s v="C1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1723"/>
    <s v="761 I2X"/>
    <m/>
    <m/>
    <s v="S2"/>
    <s v="P1"/>
    <s v="BG"/>
    <n v="30"/>
    <n v="851"/>
    <s v="S2"/>
    <n v="851"/>
    <n v="30"/>
    <s v="Cam.A"/>
    <s v="QD.58"/>
    <s v="F2"/>
    <s v="SIM"/>
    <n v="1"/>
    <d v="2026-07-30T00:00:00"/>
    <x v="3"/>
    <s v="SAMUEL"/>
    <s v="LUCAS"/>
    <s v="MARCELA"/>
  </r>
  <r>
    <x v="0"/>
    <s v="GO"/>
    <s v="0101"/>
    <n v="11"/>
    <x v="0"/>
    <s v="11149P2623"/>
    <s v="NEO680 IPRO"/>
    <m/>
    <m/>
    <s v="C1"/>
    <s v="P2"/>
    <s v="BG"/>
    <n v="27"/>
    <n v="937"/>
    <s v="C1"/>
    <n v="937"/>
    <n v="27"/>
    <s v="Cam.A"/>
    <s v="QD.47"/>
    <s v="F2"/>
    <s v="SIM"/>
    <n v="1"/>
    <d v="2026-07-30T00:00:00"/>
    <x v="3"/>
    <s v="SAMUEL"/>
    <s v="LUCAS"/>
    <s v="MARCELA"/>
  </r>
  <r>
    <x v="0"/>
    <s v="GO"/>
    <s v="0101"/>
    <n v="11"/>
    <x v="0"/>
    <s v="11149P2629"/>
    <s v="NEO680 IPRO"/>
    <m/>
    <m/>
    <s v="S2"/>
    <s v="P2"/>
    <s v="BG"/>
    <n v="27"/>
    <n v="917"/>
    <s v="S2"/>
    <n v="917"/>
    <n v="27"/>
    <s v="Cam.A"/>
    <s v="QD.51"/>
    <s v="F4"/>
    <s v="SIM"/>
    <n v="1"/>
    <d v="2026-07-30T00:00:00"/>
    <x v="3"/>
    <s v="SAMUEL"/>
    <s v="LUCAS"/>
    <s v="MARCELA"/>
  </r>
  <r>
    <x v="0"/>
    <s v="GO"/>
    <s v="0101"/>
    <n v="11"/>
    <x v="0"/>
    <s v="11149P1630"/>
    <s v="NEO680 IPRO"/>
    <m/>
    <m/>
    <s v="S2"/>
    <s v="P1"/>
    <s v="BG"/>
    <n v="30"/>
    <n v="786"/>
    <s v="S2"/>
    <n v="786"/>
    <n v="30"/>
    <s v="Cam.A"/>
    <s v="QD.49"/>
    <s v="F6"/>
    <s v="SIM"/>
    <n v="1"/>
    <d v="2026-07-30T00:00:00"/>
    <x v="3"/>
    <s v="SAMUEL"/>
    <s v="LUCAS"/>
    <s v="MARCELA"/>
  </r>
  <r>
    <x v="0"/>
    <s v="GO"/>
    <s v="0101"/>
    <n v="11"/>
    <x v="0"/>
    <s v="11149P1628"/>
    <s v="NEO680 IPRO"/>
    <m/>
    <m/>
    <s v="C1"/>
    <s v="P1"/>
    <s v="BG"/>
    <n v="30"/>
    <n v="747"/>
    <s v="C1"/>
    <n v="747"/>
    <n v="30"/>
    <s v="Cam.A"/>
    <s v="QD.47"/>
    <s v="F4"/>
    <s v="SIM"/>
    <n v="1"/>
    <d v="2026-07-30T00:00:00"/>
    <x v="3"/>
    <s v="SAMUEL"/>
    <s v="LUCAS"/>
    <s v="MARCELA"/>
  </r>
  <r>
    <x v="0"/>
    <s v="GO"/>
    <s v="0101"/>
    <n v="11"/>
    <x v="0"/>
    <s v="11715P2725"/>
    <s v="761 I2X"/>
    <m/>
    <m/>
    <s v="S2"/>
    <s v="P2"/>
    <s v="BG"/>
    <n v="0"/>
    <n v="1039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1726"/>
    <s v="761 I2X"/>
    <m/>
    <m/>
    <s v="S2"/>
    <s v="P1"/>
    <s v="BG"/>
    <n v="0"/>
    <n v="850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149P1627"/>
    <s v="NEO680 IPRO"/>
    <m/>
    <m/>
    <s v="C1"/>
    <s v="P1"/>
    <s v="BG"/>
    <n v="30"/>
    <n v="775"/>
    <s v="C1"/>
    <n v="775"/>
    <n v="30"/>
    <s v="Cam.A"/>
    <s v="QD.48"/>
    <s v="F5"/>
    <s v="SIM"/>
    <n v="1"/>
    <d v="2026-07-30T00:00:00"/>
    <x v="3"/>
    <s v="SAMUEL"/>
    <s v="LUCAS"/>
    <s v="MARCELA"/>
  </r>
  <r>
    <x v="0"/>
    <s v="GO"/>
    <s v="0101"/>
    <n v="11"/>
    <x v="0"/>
    <s v="11715P1724"/>
    <s v="761 I2X"/>
    <m/>
    <m/>
    <s v="S2"/>
    <s v="P1"/>
    <s v="BG"/>
    <n v="30"/>
    <n v="850"/>
    <s v="S2"/>
    <n v="850"/>
    <n v="30"/>
    <s v="Cam.A"/>
    <s v="QD.58"/>
    <s v="F3"/>
    <s v="SIM"/>
    <n v="1"/>
    <d v="2026-07-30T00:00:00"/>
    <x v="3"/>
    <s v="SAMUEL"/>
    <s v="LUCAS"/>
    <s v="MARCELA"/>
  </r>
  <r>
    <x v="0"/>
    <s v="GO"/>
    <s v="0101"/>
    <n v="11"/>
    <x v="0"/>
    <s v="11715P2731"/>
    <s v="761 I2X"/>
    <m/>
    <m/>
    <s v="S2"/>
    <s v="P2"/>
    <s v="BG"/>
    <n v="0"/>
    <n v="1045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149P1633"/>
    <s v="NEO680 IPRO"/>
    <m/>
    <m/>
    <s v="S2"/>
    <s v="P1"/>
    <s v="BG"/>
    <n v="30"/>
    <n v="763"/>
    <s v="S2"/>
    <n v="763"/>
    <n v="30"/>
    <s v="Cam.A"/>
    <s v="QD.62"/>
    <s v="F1"/>
    <s v="SIM"/>
    <n v="1"/>
    <d v="2026-07-30T00:00:00"/>
    <x v="3"/>
    <s v="SAMUEL"/>
    <s v="LUCAS"/>
    <s v="MARCELA"/>
  </r>
  <r>
    <x v="0"/>
    <s v="GO"/>
    <s v="0101"/>
    <n v="11"/>
    <x v="0"/>
    <s v="11715P1730"/>
    <s v="761 I2X"/>
    <m/>
    <m/>
    <s v="S2"/>
    <s v="P1"/>
    <s v="BG"/>
    <n v="30"/>
    <n v="841"/>
    <s v="S2"/>
    <n v="841"/>
    <n v="30"/>
    <s v="Cam.A"/>
    <s v="QD.69"/>
    <s v="F1"/>
    <s v="SIM"/>
    <n v="1"/>
    <d v="2026-07-30T00:00:00"/>
    <x v="3"/>
    <s v="SAMUEL"/>
    <s v="LUCAS"/>
    <s v="MARCELA"/>
  </r>
  <r>
    <x v="0"/>
    <s v="GO"/>
    <s v="0101"/>
    <n v="11"/>
    <x v="0"/>
    <s v="11149P1632"/>
    <s v="NEO680 IPRO"/>
    <m/>
    <m/>
    <s v="S2"/>
    <s v="P1"/>
    <s v="BG"/>
    <n v="30"/>
    <n v="760"/>
    <s v="S2"/>
    <n v="760"/>
    <n v="30"/>
    <s v="Cam.A"/>
    <s v="QD.49"/>
    <s v="F5"/>
    <s v="SIM"/>
    <n v="1"/>
    <d v="2026-07-30T00:00:00"/>
    <x v="3"/>
    <s v="SAMUEL"/>
    <s v="LUCAS"/>
    <s v="MARCELA"/>
  </r>
  <r>
    <x v="0"/>
    <s v="GO"/>
    <s v="0101"/>
    <n v="11"/>
    <x v="0"/>
    <s v="11715P2728"/>
    <s v="761 I2X"/>
    <m/>
    <m/>
    <s v="S2"/>
    <s v="P2"/>
    <s v="BG"/>
    <n v="0"/>
    <n v="1029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1729"/>
    <s v="761 I2X"/>
    <m/>
    <m/>
    <s v="S2"/>
    <s v="P1"/>
    <s v="BG"/>
    <n v="0"/>
    <n v="846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149P1631"/>
    <s v="NEO680 IPRO"/>
    <m/>
    <m/>
    <s v="S2"/>
    <s v="P1"/>
    <s v="BG"/>
    <n v="30"/>
    <n v="759"/>
    <s v="S2"/>
    <n v="759"/>
    <n v="30"/>
    <s v="Cam.A"/>
    <s v="QD.49"/>
    <s v="F4"/>
    <s v="SIM"/>
    <n v="1"/>
    <d v="2026-07-30T00:00:00"/>
    <x v="3"/>
    <s v="SAMUEL"/>
    <s v="LUCAS"/>
    <s v="MARCELA"/>
  </r>
  <r>
    <x v="0"/>
    <s v="GO"/>
    <s v="0101"/>
    <n v="11"/>
    <x v="0"/>
    <s v="11715P1727"/>
    <s v="761 I2X"/>
    <m/>
    <m/>
    <s v="S2"/>
    <s v="P1"/>
    <s v="BG"/>
    <n v="0"/>
    <n v="830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1P1309"/>
    <s v="NEO801 CE"/>
    <m/>
    <m/>
    <s v="C2"/>
    <s v="P1"/>
    <s v="BG"/>
    <n v="30"/>
    <n v="689"/>
    <s v="C2"/>
    <n v="689"/>
    <n v="30"/>
    <s v="Cam.A"/>
    <s v="QD.46"/>
    <s v="F1"/>
    <s v="SIM"/>
    <n v="1"/>
    <d v="2026-07-30T00:00:00"/>
    <x v="3"/>
    <s v="SAMUEL"/>
    <s v="LUCAS"/>
    <s v="MARCELA"/>
  </r>
  <r>
    <x v="0"/>
    <s v="GO"/>
    <s v="0101"/>
    <n v="11"/>
    <x v="0"/>
    <s v="11741P1310"/>
    <s v="NEO801 CE"/>
    <m/>
    <m/>
    <s v="C2"/>
    <s v="P1"/>
    <s v="BG"/>
    <n v="30"/>
    <n v="668"/>
    <s v="C2"/>
    <n v="688"/>
    <n v="30"/>
    <s v="Cam.A"/>
    <s v="QD.46"/>
    <s v="F2"/>
    <s v="SIM"/>
    <n v="1"/>
    <d v="2026-07-30T00:00:00"/>
    <x v="3"/>
    <s v="SAMUEL"/>
    <s v="LUCAS"/>
    <s v="MARCELA"/>
  </r>
  <r>
    <x v="0"/>
    <s v="GO"/>
    <s v="0101"/>
    <n v="11"/>
    <x v="0"/>
    <s v="11715P1734"/>
    <s v="761 I2X"/>
    <m/>
    <m/>
    <s v="S2"/>
    <s v="P1"/>
    <s v="BG"/>
    <n v="0"/>
    <n v="858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2733"/>
    <s v="761 I2X"/>
    <m/>
    <m/>
    <s v="S2"/>
    <s v="P2"/>
    <s v="BG"/>
    <n v="24"/>
    <n v="1030"/>
    <s v="S2"/>
    <n v="1030"/>
    <n v="24"/>
    <s v="Cam.A"/>
    <s v="QD.58"/>
    <s v="F4"/>
    <s v="SIM"/>
    <n v="1"/>
    <d v="2026-07-30T00:00:00"/>
    <x v="3"/>
    <s v="SAMUEL"/>
    <s v="LUCAS"/>
    <s v="MARCELA"/>
  </r>
  <r>
    <x v="0"/>
    <s v="GO"/>
    <s v="0101"/>
    <n v="11"/>
    <x v="0"/>
    <s v="11149P1636"/>
    <s v="NEO680 IPRO"/>
    <m/>
    <m/>
    <s v="S2"/>
    <s v="P1"/>
    <s v="BG"/>
    <n v="30"/>
    <n v="739"/>
    <s v="S2"/>
    <n v="739"/>
    <n v="30"/>
    <s v="Cam.A"/>
    <s v="QD.62"/>
    <s v="F3"/>
    <s v="SIM"/>
    <n v="1"/>
    <d v="2026-07-30T00:00:00"/>
    <x v="3"/>
    <s v="SAMUEL"/>
    <s v="LUCAS"/>
    <s v="MARCELA"/>
  </r>
  <r>
    <x v="0"/>
    <s v="GO"/>
    <s v="0101"/>
    <n v="11"/>
    <x v="0"/>
    <s v="11149P1635"/>
    <s v="NEO680 IPRO"/>
    <m/>
    <m/>
    <s v="S2"/>
    <s v="P1"/>
    <s v="BG"/>
    <n v="30"/>
    <n v="769"/>
    <s v="S2"/>
    <n v="769"/>
    <n v="30"/>
    <s v="Cam.A"/>
    <s v="QD.62"/>
    <s v="F2"/>
    <s v="SIM"/>
    <n v="1"/>
    <d v="2026-07-30T00:00:00"/>
    <x v="3"/>
    <s v="SAMUEL"/>
    <s v="LUCAS"/>
    <s v="MARCELA"/>
  </r>
  <r>
    <x v="0"/>
    <s v="GO"/>
    <s v="0101"/>
    <n v="11"/>
    <x v="0"/>
    <s v="11715P1732"/>
    <s v="761 I2X"/>
    <m/>
    <m/>
    <s v="S2"/>
    <s v="P1"/>
    <s v="BG"/>
    <n v="0"/>
    <n v="857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149P2640"/>
    <s v="NEO680 IPRO"/>
    <m/>
    <m/>
    <s v="S2"/>
    <s v="P2"/>
    <s v="BG"/>
    <n v="30"/>
    <n v="911"/>
    <s v="S2"/>
    <n v="911"/>
    <n v="30"/>
    <s v="Cam.A"/>
    <s v="QD.61"/>
    <s v="F2"/>
    <s v="SIM"/>
    <n v="1"/>
    <d v="2026-07-30T00:00:00"/>
    <x v="3"/>
    <s v="SAMUEL"/>
    <s v="LUCAS"/>
    <s v="MARCELA"/>
  </r>
  <r>
    <x v="0"/>
    <s v="GO"/>
    <s v="0101"/>
    <n v="11"/>
    <x v="0"/>
    <s v="11149P1639"/>
    <s v="NEO680 IPRO"/>
    <m/>
    <m/>
    <s v="S2"/>
    <s v="P1"/>
    <s v="BG"/>
    <n v="30"/>
    <n v="746"/>
    <s v="S2"/>
    <n v="746"/>
    <n v="30"/>
    <s v="Cam.A"/>
    <s v="QD.60"/>
    <s v="F1"/>
    <s v="SIM"/>
    <n v="1"/>
    <d v="2026-07-30T00:00:00"/>
    <x v="3"/>
    <s v="SAMUEL"/>
    <s v="LUCAS"/>
    <s v="MARCELA"/>
  </r>
  <r>
    <x v="0"/>
    <s v="GO"/>
    <s v="0101"/>
    <n v="11"/>
    <x v="0"/>
    <s v="11149P2634"/>
    <s v="NEO680 IPRO"/>
    <m/>
    <m/>
    <s v="S2"/>
    <s v="P2"/>
    <s v="BG"/>
    <n v="27"/>
    <n v="933"/>
    <s v="S2"/>
    <n v="933"/>
    <n v="27"/>
    <s v="Cam.A"/>
    <s v="QD.61"/>
    <s v="F1"/>
    <s v="SIM"/>
    <n v="1"/>
    <d v="2026-07-30T00:00:00"/>
    <x v="3"/>
    <s v="SAMUEL"/>
    <s v="LUCAS"/>
    <s v="MARCELA"/>
  </r>
  <r>
    <x v="0"/>
    <s v="GO"/>
    <s v="0101"/>
    <n v="11"/>
    <x v="0"/>
    <s v="11715P2736"/>
    <s v="761 I2X"/>
    <m/>
    <m/>
    <s v="S2"/>
    <s v="P2"/>
    <s v="BG"/>
    <n v="24"/>
    <n v="1020"/>
    <s v="S2"/>
    <n v="1020"/>
    <n v="24"/>
    <s v="Cam.A"/>
    <s v="QD.65"/>
    <s v="F1"/>
    <s v="SIM"/>
    <n v="1"/>
    <d v="2026-07-30T00:00:00"/>
    <x v="3"/>
    <s v="SAMUEL"/>
    <s v="LUCAS"/>
    <s v="MARCELA"/>
  </r>
  <r>
    <x v="0"/>
    <s v="GO"/>
    <s v="0101"/>
    <n v="11"/>
    <x v="0"/>
    <s v="11149P1638"/>
    <s v="NEO680 IPRO"/>
    <m/>
    <m/>
    <s v="S2"/>
    <s v="P1"/>
    <s v="BG"/>
    <n v="30"/>
    <n v="755"/>
    <s v="S2"/>
    <n v="755"/>
    <n v="30"/>
    <s v="Cam.A"/>
    <s v="QD.62"/>
    <s v="F5"/>
    <s v="SIM"/>
    <n v="1"/>
    <d v="2026-07-30T00:00:00"/>
    <x v="3"/>
    <s v="SAMUEL"/>
    <s v="LUCAS"/>
    <s v="MARCELA"/>
  </r>
  <r>
    <x v="0"/>
    <s v="GO"/>
    <s v="0101"/>
    <n v="11"/>
    <x v="0"/>
    <s v="11149P1637"/>
    <s v="NEO680 IPRO"/>
    <m/>
    <m/>
    <s v="S2"/>
    <s v="P1"/>
    <s v="BG"/>
    <n v="30"/>
    <n v="720"/>
    <s v="S2"/>
    <n v="720"/>
    <n v="30"/>
    <s v="Cam.A"/>
    <s v="QD.62"/>
    <s v="F4"/>
    <s v="SIM"/>
    <n v="1"/>
    <d v="2026-07-30T00:00:00"/>
    <x v="3"/>
    <s v="SAMUEL"/>
    <s v="LUCAS"/>
    <s v="MARCELA"/>
  </r>
  <r>
    <x v="0"/>
    <s v="GO"/>
    <s v="0101"/>
    <n v="11"/>
    <x v="0"/>
    <s v="11715P2740"/>
    <s v="761 I2X"/>
    <m/>
    <m/>
    <s v="S2"/>
    <s v="P2"/>
    <s v="BG"/>
    <n v="24"/>
    <n v="1025"/>
    <s v="S2"/>
    <n v="1025"/>
    <n v="24"/>
    <s v="Cam.A"/>
    <s v="QD.65"/>
    <s v="F3"/>
    <s v="SIM"/>
    <n v="1"/>
    <d v="2026-07-30T00:00:00"/>
    <x v="3"/>
    <s v="SAMUEL"/>
    <s v="LUCAS"/>
    <s v="MARCELA"/>
  </r>
  <r>
    <x v="0"/>
    <s v="GO"/>
    <s v="0101"/>
    <n v="11"/>
    <x v="0"/>
    <s v="11715P1739"/>
    <s v="761 I2X"/>
    <m/>
    <m/>
    <s v="S2"/>
    <s v="P1"/>
    <s v="BG"/>
    <n v="30"/>
    <n v="863"/>
    <s v="S2"/>
    <n v="863"/>
    <n v="30"/>
    <s v="Cam.A"/>
    <s v="QD.67"/>
    <s v="F1"/>
    <s v="SIM"/>
    <n v="1"/>
    <d v="2026-07-30T00:00:00"/>
    <x v="3"/>
    <s v="SAMUEL"/>
    <s v="LUCAS"/>
    <s v="MARCELA"/>
  </r>
  <r>
    <x v="0"/>
    <s v="GO"/>
    <s v="0101"/>
    <n v="11"/>
    <x v="0"/>
    <s v="11715P2738"/>
    <s v="761 I2X"/>
    <m/>
    <m/>
    <s v="S2"/>
    <s v="P2"/>
    <s v="BG"/>
    <n v="0"/>
    <n v="1016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149P1641"/>
    <s v="NEO680 IPRO"/>
    <m/>
    <m/>
    <s v="S2"/>
    <s v="P1"/>
    <s v="BG"/>
    <n v="30"/>
    <n v="800"/>
    <s v="S2"/>
    <n v="800"/>
    <n v="30"/>
    <s v="Cam.A"/>
    <s v="QD.60"/>
    <s v="F2"/>
    <s v="SIM"/>
    <n v="1"/>
    <d v="2026-07-30T00:00:00"/>
    <x v="3"/>
    <s v="SAMUEL"/>
    <s v="LUCAS"/>
    <s v="MARCELA"/>
  </r>
  <r>
    <x v="0"/>
    <s v="GO"/>
    <s v="0101"/>
    <n v="11"/>
    <x v="0"/>
    <s v="11715P1737"/>
    <s v="761 I2X"/>
    <m/>
    <m/>
    <s v="S2"/>
    <s v="P1"/>
    <s v="BG"/>
    <n v="0"/>
    <n v="854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2743"/>
    <s v="761 I2X"/>
    <m/>
    <m/>
    <s v="S2"/>
    <s v="P2"/>
    <s v="BG"/>
    <n v="0"/>
    <n v="1027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1744"/>
    <s v="761 I2X"/>
    <m/>
    <m/>
    <s v="S2"/>
    <s v="P1"/>
    <s v="BG"/>
    <n v="30"/>
    <n v="833"/>
    <s v="S2"/>
    <n v="833"/>
    <n v="30"/>
    <s v="Cam.A"/>
    <s v="QD.67"/>
    <s v="F4"/>
    <s v="SIM"/>
    <n v="1"/>
    <d v="2026-07-30T00:00:00"/>
    <x v="3"/>
    <s v="SAMUEL"/>
    <s v="LUCAS"/>
    <s v="MARCELA"/>
  </r>
  <r>
    <x v="0"/>
    <s v="GO"/>
    <s v="0101"/>
    <n v="11"/>
    <x v="0"/>
    <s v="11715P1742"/>
    <s v="761 I2X"/>
    <m/>
    <m/>
    <s v="S2"/>
    <s v="P1"/>
    <s v="BG"/>
    <n v="30"/>
    <n v="857"/>
    <s v="S2"/>
    <n v="857"/>
    <n v="30"/>
    <s v="Cam.A"/>
    <s v="QD.67"/>
    <s v="F3"/>
    <s v="SIM"/>
    <n v="1"/>
    <d v="2026-07-30T00:00:00"/>
    <x v="3"/>
    <s v="SAMUEL"/>
    <s v="LUCAS"/>
    <s v="MARCELA"/>
  </r>
  <r>
    <x v="0"/>
    <s v="GO"/>
    <s v="0101"/>
    <n v="11"/>
    <x v="0"/>
    <s v="11149P1644"/>
    <s v="NEO680 IPRO"/>
    <m/>
    <m/>
    <s v="S2"/>
    <s v="P1"/>
    <s v="BG"/>
    <n v="9"/>
    <n v="777"/>
    <s v="S2"/>
    <n v="777"/>
    <n v="9"/>
    <s v="Cam.A"/>
    <s v="QD.61"/>
    <s v="F3"/>
    <s v="SIM"/>
    <n v="1"/>
    <d v="2026-07-30T00:00:00"/>
    <x v="3"/>
    <s v="SAMUEL"/>
    <s v="LUCAS"/>
    <s v="MARCELA"/>
  </r>
  <r>
    <x v="0"/>
    <s v="GO"/>
    <s v="0101"/>
    <n v="11"/>
    <x v="0"/>
    <s v="11149P2642"/>
    <s v="NEO680 IPRO"/>
    <m/>
    <m/>
    <s v="S2"/>
    <s v="P2"/>
    <s v="BG"/>
    <n v="11"/>
    <n v="928"/>
    <s v="S2"/>
    <n v="928"/>
    <n v="11"/>
    <s v="Cam.A"/>
    <s v="QD.61"/>
    <s v="F4"/>
    <s v="SIM"/>
    <n v="1"/>
    <d v="2026-07-30T00:00:00"/>
    <x v="3"/>
    <s v="SAMUEL"/>
    <s v="LUCAS"/>
    <s v="MARCELA"/>
  </r>
  <r>
    <x v="0"/>
    <s v="GO"/>
    <s v="0101"/>
    <n v="11"/>
    <x v="0"/>
    <s v="11715P1741"/>
    <s v="761 I2X"/>
    <m/>
    <m/>
    <s v="S2"/>
    <s v="P1"/>
    <s v="BG"/>
    <n v="0"/>
    <n v="844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149P1643"/>
    <s v="NEO680 IPRO"/>
    <m/>
    <m/>
    <s v="S2"/>
    <s v="P1"/>
    <s v="BG"/>
    <n v="30"/>
    <n v="766"/>
    <s v="S2"/>
    <n v="766"/>
    <n v="30"/>
    <s v="Cam.A"/>
    <s v="QD.60"/>
    <s v="F3"/>
    <s v="SIM"/>
    <n v="1"/>
    <d v="2026-07-30T00:00:00"/>
    <x v="3"/>
    <s v="SAMUEL"/>
    <s v="LUCAS"/>
    <s v="MARCELA"/>
  </r>
  <r>
    <x v="0"/>
    <s v="GO"/>
    <s v="0101"/>
    <n v="11"/>
    <x v="0"/>
    <s v="11715P1735"/>
    <s v="761 I2X"/>
    <m/>
    <m/>
    <s v="S2"/>
    <s v="P1"/>
    <s v="BG"/>
    <n v="30"/>
    <n v="852"/>
    <s v="S2"/>
    <n v="852"/>
    <n v="30"/>
    <s v="Cam.A"/>
    <s v="QD.68"/>
    <s v="F1"/>
    <s v="SIM"/>
    <n v="1"/>
    <d v="2026-07-30T00:00:00"/>
    <x v="3"/>
    <s v="SAMUEL"/>
    <s v="LUCAS"/>
    <s v="MARCELA"/>
  </r>
  <r>
    <x v="0"/>
    <s v="GO"/>
    <s v="0101"/>
    <n v="11"/>
    <x v="0"/>
    <s v="11757P2804"/>
    <s v="NEO780 CE"/>
    <m/>
    <m/>
    <s v="C1"/>
    <s v="P2"/>
    <s v="BG"/>
    <n v="24"/>
    <n v="1032"/>
    <s v="C1"/>
    <n v="1032"/>
    <n v="24"/>
    <s v="Cam.A"/>
    <s v="QD.82"/>
    <s v="F4"/>
    <s v="SIM"/>
    <n v="1"/>
    <d v="2026-07-30T00:00:00"/>
    <x v="3"/>
    <s v="SAMUEL"/>
    <s v="LUCAS"/>
    <s v="MARCELA"/>
  </r>
  <r>
    <x v="0"/>
    <s v="GO"/>
    <s v="0101"/>
    <n v="11"/>
    <x v="0"/>
    <s v="11715P2747"/>
    <s v="761 I2X"/>
    <m/>
    <m/>
    <s v="S2"/>
    <s v="P2"/>
    <s v="BG"/>
    <n v="24"/>
    <n v="1030"/>
    <s v="S2"/>
    <n v="1030"/>
    <n v="24"/>
    <s v="Cam.A"/>
    <s v="QD.65"/>
    <s v="F5"/>
    <s v="SIM"/>
    <n v="1"/>
    <d v="2026-07-30T00:00:00"/>
    <x v="3"/>
    <s v="SAMUEL"/>
    <s v="LUCAS"/>
    <s v="MARCELA"/>
  </r>
  <r>
    <x v="0"/>
    <s v="GO"/>
    <s v="0101"/>
    <n v="11"/>
    <x v="0"/>
    <s v="11715P1748"/>
    <s v="761 I2X"/>
    <m/>
    <m/>
    <s v="S2"/>
    <s v="P1"/>
    <s v="BG"/>
    <n v="30"/>
    <n v="830"/>
    <s v="S2"/>
    <n v="830"/>
    <n v="30"/>
    <s v="Cam.A"/>
    <s v="QD.53"/>
    <s v="F2"/>
    <s v="SIM"/>
    <n v="1"/>
    <d v="2026-07-30T00:00:00"/>
    <x v="3"/>
    <s v="SAMUEL"/>
    <s v="LUCAS"/>
    <s v="MARCELA"/>
  </r>
  <r>
    <x v="0"/>
    <s v="GO"/>
    <s v="0101"/>
    <n v="11"/>
    <x v="0"/>
    <s v="11757P2802"/>
    <s v="NEO780 CE"/>
    <m/>
    <m/>
    <s v="C1"/>
    <s v="P2"/>
    <s v="BG"/>
    <n v="0"/>
    <n v="1039"/>
    <s v="C1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1746"/>
    <s v="761 I2X"/>
    <m/>
    <m/>
    <s v="S2"/>
    <s v="P1"/>
    <s v="BG"/>
    <n v="30"/>
    <n v="830"/>
    <s v="S2"/>
    <n v="830"/>
    <n v="30"/>
    <s v="Cam.A"/>
    <s v="QD.53"/>
    <s v="F1"/>
    <s v="SIM"/>
    <n v="1"/>
    <d v="2026-07-30T00:00:00"/>
    <x v="3"/>
    <s v="SAMUEL"/>
    <s v="LUCAS"/>
    <s v="MARCELA"/>
  </r>
  <r>
    <x v="0"/>
    <s v="GO"/>
    <s v="0101"/>
    <n v="11"/>
    <x v="0"/>
    <s v="11757P1801"/>
    <s v="NEO780 CE"/>
    <m/>
    <m/>
    <s v="C1"/>
    <s v="P1"/>
    <s v="BG"/>
    <n v="0"/>
    <n v="846"/>
    <s v="C1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15P1745"/>
    <s v="761 I2X"/>
    <m/>
    <m/>
    <s v="S2"/>
    <s v="P1"/>
    <s v="BG"/>
    <n v="30"/>
    <n v="862"/>
    <s v="S2"/>
    <n v="862"/>
    <n v="30"/>
    <s v="Cam.A"/>
    <s v="QD.67"/>
    <s v="F5"/>
    <s v="SIM"/>
    <n v="1"/>
    <d v="2026-07-30T00:00:00"/>
    <x v="3"/>
    <s v="SAMUEL"/>
    <s v="LUCAS"/>
    <s v="MARCELA"/>
  </r>
  <r>
    <x v="0"/>
    <s v="GO"/>
    <s v="0101"/>
    <n v="11"/>
    <x v="0"/>
    <s v="11715P1752"/>
    <s v="761 I2X"/>
    <m/>
    <m/>
    <s v="S2"/>
    <s v="P1"/>
    <s v="BG"/>
    <n v="30"/>
    <n v="851"/>
    <s v="S2"/>
    <s v="-"/>
    <n v="3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57P1805"/>
    <s v="NEO780 CE"/>
    <m/>
    <m/>
    <s v="C1"/>
    <s v="P1"/>
    <s v="BG"/>
    <n v="30"/>
    <n v="855"/>
    <s v="C1"/>
    <n v="855"/>
    <n v="30"/>
    <s v="Cam.A"/>
    <s v="QD.81"/>
    <s v="F3"/>
    <s v="SIM"/>
    <n v="1"/>
    <d v="2026-07-30T00:00:00"/>
    <x v="3"/>
    <s v="SAMUEL"/>
    <s v="LUCAS"/>
    <s v="MARCELA"/>
  </r>
  <r>
    <x v="0"/>
    <s v="GO"/>
    <s v="0101"/>
    <n v="11"/>
    <x v="0"/>
    <s v="11715P2750"/>
    <s v="761 I2X"/>
    <m/>
    <m/>
    <s v="S2"/>
    <s v="P2"/>
    <s v="BG"/>
    <n v="24"/>
    <n v="1012"/>
    <s v="S2"/>
    <n v="1012"/>
    <n v="24"/>
    <s v="Cam.A"/>
    <s v="QD.30"/>
    <s v="F1"/>
    <s v="SIM"/>
    <n v="1"/>
    <d v="2026-07-30T00:00:00"/>
    <x v="3"/>
    <s v="SAMUEL"/>
    <s v="LUCAS"/>
    <s v="MARCELA"/>
  </r>
  <r>
    <x v="0"/>
    <s v="GO"/>
    <s v="0101"/>
    <n v="11"/>
    <x v="0"/>
    <s v="11715P1751"/>
    <s v="761 I2X"/>
    <m/>
    <m/>
    <s v="S2"/>
    <s v="P1"/>
    <s v="BG"/>
    <n v="30"/>
    <n v="845"/>
    <s v="S2"/>
    <s v="-"/>
    <n v="3"/>
    <s v="-"/>
    <s v="-"/>
    <s v="-"/>
    <s v="NÃO"/>
    <n v="0"/>
    <d v="2026-07-30T00:00:00"/>
    <x v="3"/>
    <s v="SAMUEL"/>
    <s v="LUCAS"/>
    <s v="MARCELA"/>
  </r>
  <r>
    <x v="0"/>
    <s v="GO"/>
    <s v="0101"/>
    <n v="11"/>
    <x v="0"/>
    <s v="11715P1749"/>
    <s v="761 I2X"/>
    <m/>
    <m/>
    <s v="S2"/>
    <s v="P1"/>
    <s v="BG"/>
    <n v="30"/>
    <n v="839"/>
    <s v="S2"/>
    <s v="-"/>
    <n v="3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57P1803"/>
    <s v="NEO780 CE"/>
    <m/>
    <m/>
    <s v="C1"/>
    <s v="P1"/>
    <s v="BG"/>
    <n v="30"/>
    <n v="848"/>
    <s v="C1"/>
    <n v="851"/>
    <n v="30"/>
    <s v="Cam.A"/>
    <s v="QD.81"/>
    <s v="F2"/>
    <s v="SIM"/>
    <n v="1"/>
    <d v="2026-07-30T00:00:00"/>
    <x v="3"/>
    <s v="SAMUEL"/>
    <s v="LUCAS"/>
    <s v="MARCELA"/>
  </r>
  <r>
    <x v="0"/>
    <s v="GO"/>
    <s v="0101"/>
    <n v="11"/>
    <x v="0"/>
    <s v="11715P2756"/>
    <s v="761 I2X"/>
    <m/>
    <m/>
    <s v="S2"/>
    <s v="P2"/>
    <s v="BG"/>
    <n v="0"/>
    <n v="1033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57P1807"/>
    <s v="NEO780 CE"/>
    <m/>
    <m/>
    <s v="C1"/>
    <s v="P1"/>
    <s v="BG"/>
    <n v="30"/>
    <n v="846"/>
    <s v="C1"/>
    <n v="846"/>
    <n v="30"/>
    <s v="Cam.A"/>
    <s v="QD.81"/>
    <s v="F4"/>
    <s v="SIM"/>
    <n v="1"/>
    <d v="2026-07-30T00:00:00"/>
    <x v="3"/>
    <s v="SAMUEL"/>
    <s v="LUCAS"/>
    <s v="MARCELA"/>
  </r>
  <r>
    <x v="0"/>
    <s v="GO"/>
    <s v="0101"/>
    <n v="11"/>
    <x v="0"/>
    <s v="11715P2753"/>
    <s v="761 I2X"/>
    <m/>
    <m/>
    <s v="S2"/>
    <s v="P2"/>
    <s v="BG"/>
    <n v="24"/>
    <n v="1023"/>
    <s v="S2"/>
    <n v="1023"/>
    <n v="24"/>
    <s v="Cam.A"/>
    <s v="QD.29"/>
    <s v="F2"/>
    <s v="SIM"/>
    <n v="1"/>
    <d v="2026-07-30T00:00:00"/>
    <x v="3"/>
    <s v="SAMUEL"/>
    <s v="LUCAS"/>
    <s v="MARCELA"/>
  </r>
  <r>
    <x v="0"/>
    <s v="GO"/>
    <s v="0101"/>
    <n v="11"/>
    <x v="0"/>
    <s v="11715P1754"/>
    <s v="761 I2X"/>
    <m/>
    <m/>
    <s v="S2"/>
    <s v="P1"/>
    <s v="BG"/>
    <n v="30"/>
    <n v="857"/>
    <s v="S2"/>
    <s v="-"/>
    <n v="3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59P2408"/>
    <s v="NEO811 I2X"/>
    <m/>
    <m/>
    <s v="C1"/>
    <s v="P2"/>
    <s v="BG"/>
    <n v="5"/>
    <n v="809"/>
    <s v="C1"/>
    <n v="809"/>
    <n v="5"/>
    <s v="Cam.B"/>
    <s v="QD.84"/>
    <s v="F1"/>
    <s v="SIM"/>
    <n v="1"/>
    <d v="2026-07-30T00:00:00"/>
    <x v="3"/>
    <s v="SAMUEL"/>
    <s v="LUCAS"/>
    <s v="MARCELA"/>
  </r>
  <r>
    <x v="0"/>
    <s v="GO"/>
    <s v="0101"/>
    <n v="11"/>
    <x v="0"/>
    <s v="11757P2806"/>
    <s v="NEO780 CE"/>
    <m/>
    <m/>
    <s v="C1"/>
    <s v="P2"/>
    <s v="BG"/>
    <n v="24"/>
    <n v="1032"/>
    <s v="C1"/>
    <n v="1032"/>
    <n v="24"/>
    <s v="Cam.A"/>
    <s v="QD.82"/>
    <s v="F3"/>
    <s v="SIM"/>
    <n v="1"/>
    <d v="2026-07-30T00:00:00"/>
    <x v="3"/>
    <s v="SAMUEL"/>
    <s v="LUCAS"/>
    <s v="MARCELA"/>
  </r>
  <r>
    <x v="0"/>
    <s v="GO"/>
    <s v="0101"/>
    <n v="11"/>
    <x v="0"/>
    <s v="11715P1755"/>
    <s v="761 I2X"/>
    <m/>
    <m/>
    <s v="S2"/>
    <s v="P1"/>
    <s v="BG"/>
    <n v="0"/>
    <n v="864"/>
    <s v="S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57P2809"/>
    <s v="NEO780 CE"/>
    <m/>
    <m/>
    <s v="C1"/>
    <s v="P2"/>
    <s v="BG"/>
    <n v="3"/>
    <n v="1029"/>
    <s v="C1"/>
    <n v="1029"/>
    <n v="3"/>
    <s v="Cam.A"/>
    <s v="QD.82"/>
    <s v="F2"/>
    <s v="SIM"/>
    <n v="1"/>
    <d v="2026-07-30T00:00:00"/>
    <x v="3"/>
    <s v="SAMUEL"/>
    <s v="LUCAS"/>
    <s v="MARCELA"/>
  </r>
  <r>
    <x v="0"/>
    <s v="GO"/>
    <s v="0101"/>
    <n v="11"/>
    <x v="0"/>
    <s v="11759P1410"/>
    <s v="NEO811 I2X"/>
    <m/>
    <m/>
    <s v="C1"/>
    <s v="P1"/>
    <s v="BG"/>
    <n v="30"/>
    <n v="656"/>
    <s v="C1"/>
    <n v="656"/>
    <n v="30"/>
    <s v="Cam.B"/>
    <s v="QD.83"/>
    <s v="F2"/>
    <s v="SIM"/>
    <n v="1"/>
    <d v="2026-07-30T00:00:00"/>
    <x v="3"/>
    <s v="SAMUEL"/>
    <s v="LUCAS"/>
    <s v="MARCELA"/>
  </r>
  <r>
    <x v="0"/>
    <s v="GO"/>
    <s v="0101"/>
    <n v="11"/>
    <x v="0"/>
    <s v="11757P1810"/>
    <s v="NEO780 CE"/>
    <m/>
    <m/>
    <s v="C1"/>
    <s v="P1"/>
    <s v="BG"/>
    <n v="2"/>
    <n v="851"/>
    <s v="C1"/>
    <n v="851"/>
    <n v="2"/>
    <s v="Cam.A"/>
    <s v="QD.82"/>
    <s v="F5"/>
    <s v="SIM"/>
    <n v="1"/>
    <d v="2026-07-30T00:00:00"/>
    <x v="3"/>
    <s v="SAMUEL"/>
    <s v="LUCAS"/>
    <s v="MARCELA"/>
  </r>
  <r>
    <x v="0"/>
    <s v="GO"/>
    <s v="0101"/>
    <n v="11"/>
    <x v="0"/>
    <s v="11759P1409"/>
    <s v="NEO811 I2X"/>
    <m/>
    <m/>
    <s v="C1"/>
    <s v="P1"/>
    <s v="BG"/>
    <n v="30"/>
    <n v="652"/>
    <s v="C1"/>
    <n v="652"/>
    <n v="30"/>
    <s v="Cam.B"/>
    <s v="QD.83"/>
    <s v="F1"/>
    <s v="SIM"/>
    <n v="1"/>
    <d v="2026-07-30T00:00:00"/>
    <x v="3"/>
    <s v="SAMUEL"/>
    <s v="LUCAS"/>
    <s v="MARCELA"/>
  </r>
  <r>
    <x v="0"/>
    <s v="GO"/>
    <s v="0101"/>
    <n v="11"/>
    <x v="0"/>
    <s v="11757P1808"/>
    <s v="NEO780 CE"/>
    <m/>
    <m/>
    <s v="C1"/>
    <s v="P1"/>
    <s v="BG"/>
    <n v="30"/>
    <n v="850"/>
    <s v="C1"/>
    <n v="850"/>
    <n v="30"/>
    <s v="Cam.A"/>
    <s v="QD.81"/>
    <s v="F5"/>
    <s v="SIM"/>
    <n v="1"/>
    <d v="2026-07-30T00:00:00"/>
    <x v="3"/>
    <s v="SAMUEL"/>
    <s v="LUCAS"/>
    <s v="MARCELA"/>
  </r>
  <r>
    <x v="0"/>
    <s v="GO"/>
    <s v="0101"/>
    <n v="11"/>
    <x v="0"/>
    <s v="11740P1901"/>
    <s v="NEO771 I2X"/>
    <m/>
    <m/>
    <s v="C2"/>
    <s v="P1"/>
    <s v="BG"/>
    <n v="0"/>
    <n v="771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59P2413"/>
    <s v="NEO811 I2X"/>
    <m/>
    <m/>
    <s v="C1"/>
    <s v="P2"/>
    <s v="BG"/>
    <n v="30"/>
    <n v="826"/>
    <s v="C1"/>
    <n v="826"/>
    <n v="30"/>
    <s v="Cam.B"/>
    <s v="QD.84"/>
    <s v="F3"/>
    <s v="SIM"/>
    <n v="1"/>
    <d v="2026-07-30T00:00:00"/>
    <x v="3"/>
    <s v="SAMUEL"/>
    <s v="LUCAS"/>
    <s v="MARCELA"/>
  </r>
  <r>
    <x v="0"/>
    <s v="GO"/>
    <s v="0101"/>
    <n v="11"/>
    <x v="0"/>
    <s v="11759P1414"/>
    <s v="NEO811 I2X"/>
    <m/>
    <m/>
    <s v="C1"/>
    <s v="P1"/>
    <s v="BG"/>
    <n v="30"/>
    <n v="658"/>
    <s v="C1"/>
    <n v="658"/>
    <n v="30"/>
    <s v="Cam.B"/>
    <s v="QD.83"/>
    <s v="F4"/>
    <s v="SIM"/>
    <n v="1"/>
    <d v="2026-07-30T00:00:00"/>
    <x v="3"/>
    <s v="SAMUEL"/>
    <s v="LUCAS"/>
    <s v="MARCELA"/>
  </r>
  <r>
    <x v="0"/>
    <s v="GO"/>
    <s v="0101"/>
    <n v="11"/>
    <x v="0"/>
    <s v="11759P1412"/>
    <s v="NEO811 I2X"/>
    <m/>
    <m/>
    <s v="C1"/>
    <s v="P1"/>
    <s v="BG"/>
    <n v="30"/>
    <n v="656"/>
    <s v="C1"/>
    <n v="656"/>
    <n v="30"/>
    <s v="Cam.B"/>
    <s v="QD.83"/>
    <s v="F3"/>
    <s v="SIM"/>
    <n v="1"/>
    <d v="2026-07-30T00:00:00"/>
    <x v="3"/>
    <s v="SAMUEL"/>
    <s v="LUCAS"/>
    <s v="MARCELA"/>
  </r>
  <r>
    <x v="0"/>
    <s v="GO"/>
    <s v="0101"/>
    <n v="11"/>
    <x v="0"/>
    <s v="11759P2411"/>
    <s v="NEO811 I2X"/>
    <m/>
    <m/>
    <s v="C1"/>
    <s v="P2"/>
    <s v="BG"/>
    <n v="30"/>
    <n v="801"/>
    <s v="C1"/>
    <n v="801"/>
    <n v="30"/>
    <s v="Cam.B"/>
    <s v="QD.84"/>
    <s v="F2"/>
    <s v="SIM"/>
    <n v="1"/>
    <d v="2026-07-30T00:00:00"/>
    <x v="3"/>
    <s v="SAMUEL"/>
    <s v="LUCAS"/>
    <s v="MARCELA"/>
  </r>
  <r>
    <x v="0"/>
    <s v="GO"/>
    <s v="0101"/>
    <n v="11"/>
    <x v="0"/>
    <s v="11740P2904"/>
    <s v="NEO771 I2X"/>
    <m/>
    <m/>
    <s v="C2"/>
    <s v="P2"/>
    <s v="BG"/>
    <n v="0"/>
    <n v="870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1903"/>
    <s v="NEO771 I2X"/>
    <m/>
    <m/>
    <s v="C2"/>
    <s v="P1"/>
    <s v="BG"/>
    <n v="0"/>
    <n v="683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59P2416"/>
    <s v="NEO811 I2X"/>
    <m/>
    <m/>
    <s v="C1"/>
    <s v="P2"/>
    <s v="BG"/>
    <n v="1"/>
    <n v="794"/>
    <s v="C1"/>
    <n v="794"/>
    <n v="1"/>
    <s v="Cam.B"/>
    <s v="QD.84"/>
    <s v="F5"/>
    <s v="SIM"/>
    <n v="1"/>
    <d v="2026-07-30T00:00:00"/>
    <x v="3"/>
    <s v="SAMUEL"/>
    <s v="LUCAS"/>
    <s v="MARCELA"/>
  </r>
  <r>
    <x v="0"/>
    <s v="GO"/>
    <s v="0101"/>
    <n v="11"/>
    <x v="0"/>
    <s v="11759P1415"/>
    <s v="NEO811 I2X"/>
    <m/>
    <m/>
    <s v="C1"/>
    <s v="P1"/>
    <s v="BG"/>
    <n v="18"/>
    <n v="640"/>
    <s v="C1"/>
    <n v="640"/>
    <n v="18"/>
    <s v="Cam.B"/>
    <s v="QD.84"/>
    <s v="F4"/>
    <s v="SIM"/>
    <n v="1"/>
    <d v="2026-07-30T00:00:00"/>
    <x v="3"/>
    <s v="SAMUEL"/>
    <s v="LUCAS"/>
    <s v="MARCELA"/>
  </r>
  <r>
    <x v="0"/>
    <s v="GO"/>
    <s v="0101"/>
    <n v="11"/>
    <x v="0"/>
    <s v="11740P2902"/>
    <s v="NEO771 I2X"/>
    <m/>
    <m/>
    <s v="C2"/>
    <s v="P2"/>
    <s v="BG"/>
    <n v="0"/>
    <n v="941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3P2423"/>
    <s v="22213I2X"/>
    <m/>
    <m/>
    <s v="C2"/>
    <s v="P2"/>
    <s v="BG"/>
    <n v="27"/>
    <n v="929"/>
    <s v="C2"/>
    <n v="929"/>
    <n v="27"/>
    <s v="Cam.B"/>
    <s v="QD.86"/>
    <s v="F4"/>
    <s v="SIM"/>
    <n v="1"/>
    <d v="2026-07-30T00:00:00"/>
    <x v="3"/>
    <s v="SAMUEL"/>
    <s v="LUCAS"/>
    <s v="MARCELA"/>
  </r>
  <r>
    <x v="0"/>
    <s v="GO"/>
    <s v="0101"/>
    <n v="11"/>
    <x v="0"/>
    <s v="11740P2906"/>
    <s v="NEO771 I2X"/>
    <m/>
    <m/>
    <s v="C2"/>
    <s v="P2"/>
    <s v="BG"/>
    <n v="0"/>
    <n v="874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3P1420"/>
    <s v="22213I2X"/>
    <m/>
    <m/>
    <s v="C2"/>
    <s v="P1"/>
    <s v="BG"/>
    <n v="30"/>
    <n v="733"/>
    <s v="C2"/>
    <n v="733"/>
    <n v="30"/>
    <s v="Cam.B"/>
    <s v="QD.85"/>
    <s v="F2"/>
    <s v="SIM"/>
    <n v="1"/>
    <d v="2026-07-30T00:00:00"/>
    <x v="3"/>
    <s v="SAMUEL"/>
    <s v="LUCAS"/>
    <s v="MARCELA"/>
  </r>
  <r>
    <x v="0"/>
    <s v="GO"/>
    <s v="0101"/>
    <n v="11"/>
    <x v="0"/>
    <s v="11743P2419"/>
    <s v="22213I2X"/>
    <m/>
    <m/>
    <s v="C2"/>
    <s v="P2"/>
    <s v="BG"/>
    <n v="27"/>
    <n v="936"/>
    <s v="C2"/>
    <n v="936"/>
    <n v="27"/>
    <s v="Cam.B"/>
    <s v="QD.86"/>
    <s v="F2"/>
    <s v="SIM"/>
    <n v="1"/>
    <d v="2026-07-30T00:00:00"/>
    <x v="3"/>
    <s v="SAMUEL"/>
    <s v="LUCAS"/>
    <s v="MARCELA"/>
  </r>
  <r>
    <x v="0"/>
    <s v="GO"/>
    <s v="0101"/>
    <n v="11"/>
    <x v="0"/>
    <s v="11743P1417"/>
    <s v="22213I2X"/>
    <m/>
    <m/>
    <s v="C2"/>
    <s v="P1"/>
    <s v="BG"/>
    <n v="30"/>
    <n v="761"/>
    <s v="C2"/>
    <n v="761"/>
    <n v="30"/>
    <s v="Cam.B"/>
    <s v="QD.85"/>
    <s v="F1"/>
    <s v="SIM"/>
    <n v="1"/>
    <d v="2026-07-30T00:00:00"/>
    <x v="3"/>
    <s v="SAMUEL"/>
    <s v="LUCAS"/>
    <s v="MARCELA"/>
  </r>
  <r>
    <x v="0"/>
    <s v="GO"/>
    <s v="0101"/>
    <n v="11"/>
    <x v="0"/>
    <s v="11740P1905"/>
    <s v="NEO771 I2X"/>
    <m/>
    <m/>
    <s v="C2"/>
    <s v="P1"/>
    <s v="BG"/>
    <n v="0"/>
    <n v="688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3P2418"/>
    <s v="22213I2X"/>
    <m/>
    <m/>
    <s v="C2"/>
    <s v="P2"/>
    <s v="BG"/>
    <n v="27"/>
    <n v="953"/>
    <s v="C2"/>
    <n v="953"/>
    <n v="27"/>
    <s v="Cam.B"/>
    <s v="QD.86"/>
    <s v="F1"/>
    <s v="SIM"/>
    <n v="1"/>
    <d v="2026-07-30T00:00:00"/>
    <x v="3"/>
    <s v="SAMUEL"/>
    <s v="LUCAS"/>
    <s v="MARCELA"/>
  </r>
  <r>
    <x v="0"/>
    <s v="GO"/>
    <s v="0101"/>
    <n v="11"/>
    <x v="0"/>
    <s v="11740P1910"/>
    <s v="NEO771 I2X"/>
    <m/>
    <m/>
    <s v="C2"/>
    <s v="P1"/>
    <s v="BG"/>
    <n v="0"/>
    <n v="685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1911"/>
    <s v="NEO771 I2X"/>
    <m/>
    <m/>
    <s v="C2"/>
    <s v="P1"/>
    <s v="BG"/>
    <n v="0"/>
    <n v="680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2909"/>
    <s v="NEO771 I2X"/>
    <m/>
    <m/>
    <s v="C2"/>
    <s v="P2"/>
    <s v="BG"/>
    <n v="0"/>
    <n v="865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3P1424"/>
    <s v="22213I2X"/>
    <m/>
    <m/>
    <s v="C2"/>
    <s v="P1"/>
    <s v="BG"/>
    <n v="23"/>
    <n v="731"/>
    <s v="C2"/>
    <n v="731"/>
    <n v="23"/>
    <s v="Cam.B"/>
    <s v="QD.85"/>
    <s v="F4"/>
    <s v="SIM"/>
    <n v="1"/>
    <d v="2026-07-30T00:00:00"/>
    <x v="3"/>
    <s v="SAMUEL"/>
    <s v="LUCAS"/>
    <s v="MARCELA"/>
  </r>
  <r>
    <x v="0"/>
    <s v="GO"/>
    <s v="0101"/>
    <n v="11"/>
    <x v="0"/>
    <s v="11740P2908"/>
    <s v="NEO771 I2X"/>
    <m/>
    <m/>
    <s v="C2"/>
    <s v="P2"/>
    <s v="BG"/>
    <n v="0"/>
    <n v="874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1907"/>
    <s v="NEO771 I2X"/>
    <m/>
    <m/>
    <s v="C2"/>
    <s v="P1"/>
    <s v="BG"/>
    <n v="0"/>
    <n v="689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3P2421"/>
    <s v="22213I2X"/>
    <m/>
    <m/>
    <s v="C2"/>
    <s v="P2"/>
    <s v="BG"/>
    <n v="27"/>
    <n v="948"/>
    <s v="C2"/>
    <n v="948"/>
    <n v="27"/>
    <s v="Cam.B"/>
    <s v="QD.86"/>
    <s v="F3"/>
    <s v="SIM"/>
    <n v="1"/>
    <d v="2026-07-30T00:00:00"/>
    <x v="3"/>
    <s v="SAMUEL"/>
    <s v="LUCAS"/>
    <s v="MARCELA"/>
  </r>
  <r>
    <x v="0"/>
    <s v="GO"/>
    <s v="0101"/>
    <n v="11"/>
    <x v="0"/>
    <s v="11743P1422"/>
    <s v="22213I2X"/>
    <m/>
    <m/>
    <s v="C2"/>
    <s v="P1"/>
    <s v="BG"/>
    <n v="30"/>
    <n v="748"/>
    <s v="C2"/>
    <n v="748"/>
    <n v="30"/>
    <s v="Cam.B"/>
    <s v="QD.85"/>
    <s v="F3"/>
    <s v="SIM"/>
    <n v="1"/>
    <d v="2026-07-30T00:00:00"/>
    <x v="3"/>
    <s v="SAMUEL"/>
    <s v="LUCAS"/>
    <s v="MARCELA"/>
  </r>
  <r>
    <x v="0"/>
    <s v="GO"/>
    <s v="0101"/>
    <n v="11"/>
    <x v="0"/>
    <s v="11743P2425"/>
    <s v="22213I2X"/>
    <m/>
    <m/>
    <s v="C2"/>
    <s v="P2"/>
    <s v="BG"/>
    <n v="14"/>
    <n v="949"/>
    <s v="C2"/>
    <n v="949"/>
    <n v="14"/>
    <s v="Cam.B"/>
    <s v="QD.86"/>
    <s v="F5"/>
    <s v="SIM"/>
    <n v="1"/>
    <d v="2026-07-30T00:00:00"/>
    <x v="3"/>
    <s v="SAMUEL"/>
    <s v="LUCAS"/>
    <s v="MARCELA"/>
  </r>
  <r>
    <x v="0"/>
    <s v="GO"/>
    <s v="0101"/>
    <n v="11"/>
    <x v="0"/>
    <s v="11740P2912"/>
    <s v="NEO771 I2X"/>
    <m/>
    <m/>
    <s v="C2"/>
    <s v="P2"/>
    <s v="BG"/>
    <n v="0"/>
    <n v="872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264P1426"/>
    <s v="O820 IPRO"/>
    <m/>
    <m/>
    <s v="S1"/>
    <s v="P1"/>
    <s v="BG"/>
    <n v="27"/>
    <n v="967"/>
    <s v="S1"/>
    <n v="967"/>
    <n v="27"/>
    <s v="Cam.B"/>
    <s v="QD.99"/>
    <s v="F1"/>
    <s v="SIM"/>
    <n v="1"/>
    <d v="2026-07-30T00:00:00"/>
    <x v="3"/>
    <s v="SAMUEL"/>
    <s v="LUCAS"/>
    <s v="MARCELA"/>
  </r>
  <r>
    <x v="0"/>
    <s v="GO"/>
    <s v="0101"/>
    <n v="11"/>
    <x v="0"/>
    <s v="11740P2915"/>
    <s v="NEO771 I2X"/>
    <m/>
    <m/>
    <s v="C2"/>
    <s v="P2"/>
    <s v="BG"/>
    <n v="0"/>
    <n v="885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2914"/>
    <s v="NEO771 I2X"/>
    <m/>
    <m/>
    <s v="C2"/>
    <s v="P2"/>
    <s v="BG"/>
    <n v="0"/>
    <n v="878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1913"/>
    <s v="NEO771 I2X"/>
    <m/>
    <m/>
    <s v="C2"/>
    <s v="P1"/>
    <s v="BG"/>
    <n v="0"/>
    <n v="688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264P1428"/>
    <s v="O820 IPRO"/>
    <m/>
    <m/>
    <s v="S1"/>
    <s v="P1"/>
    <s v="BG"/>
    <n v="27"/>
    <n v="981"/>
    <s v="S1"/>
    <n v="981"/>
    <n v="27"/>
    <s v="Cam.B"/>
    <s v="QD.99"/>
    <s v="F2"/>
    <s v="SIM"/>
    <n v="1"/>
    <d v="2026-07-30T00:00:00"/>
    <x v="3"/>
    <s v="SAMUEL"/>
    <s v="LUCAS"/>
    <s v="MARCELA"/>
  </r>
  <r>
    <x v="0"/>
    <s v="GO"/>
    <s v="0101"/>
    <n v="11"/>
    <x v="0"/>
    <s v="11740P2917"/>
    <s v="NEO771 I2X"/>
    <m/>
    <m/>
    <s v="C2"/>
    <s v="P2"/>
    <s v="BG"/>
    <n v="0"/>
    <n v="871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264P2427"/>
    <s v="O820 IPRO"/>
    <m/>
    <m/>
    <s v="S1"/>
    <s v="P2"/>
    <s v="BG"/>
    <n v="0"/>
    <n v="1177"/>
    <s v="S1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1916"/>
    <s v="NEO771 I2X"/>
    <m/>
    <m/>
    <s v="C2"/>
    <s v="P1"/>
    <s v="BG"/>
    <n v="0"/>
    <n v="688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264P2431"/>
    <s v="O820 IPRO"/>
    <m/>
    <m/>
    <s v="S1"/>
    <s v="P2"/>
    <s v="BG"/>
    <n v="18"/>
    <n v="1182"/>
    <s v="S1"/>
    <n v="1002"/>
    <n v="18"/>
    <s v="Cam.B"/>
    <s v="QD.101"/>
    <s v="F1"/>
    <s v="SIM"/>
    <n v="1"/>
    <d v="2026-07-30T00:00:00"/>
    <x v="3"/>
    <s v="SAMUEL"/>
    <s v="LUCAS"/>
    <s v="MARCELA"/>
  </r>
  <r>
    <x v="0"/>
    <s v="GO"/>
    <s v="0101"/>
    <n v="11"/>
    <x v="0"/>
    <s v="11264P1432"/>
    <s v="O820 IPRO"/>
    <m/>
    <m/>
    <s v="S1"/>
    <s v="P1"/>
    <s v="BG"/>
    <n v="0"/>
    <n v="984"/>
    <s v="S1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1920"/>
    <s v="NEO771 I2X"/>
    <m/>
    <m/>
    <s v="C2"/>
    <s v="P1"/>
    <s v="BG"/>
    <n v="0"/>
    <n v="678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2921"/>
    <s v="NEO771 I2X"/>
    <m/>
    <m/>
    <s v="C2"/>
    <s v="P2"/>
    <s v="BG"/>
    <n v="0"/>
    <n v="878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264P2429"/>
    <s v="O820 IPRO"/>
    <m/>
    <m/>
    <s v="S1"/>
    <s v="P2"/>
    <s v="BG"/>
    <n v="18"/>
    <n v="1178"/>
    <s v="S1"/>
    <n v="1178"/>
    <n v="18"/>
    <s v="Cam.B"/>
    <s v="QD.101"/>
    <s v="F3"/>
    <s v="SIM"/>
    <n v="1"/>
    <d v="2026-07-30T00:00:00"/>
    <x v="3"/>
    <s v="SAMUEL"/>
    <s v="LUCAS"/>
    <s v="MARCELA"/>
  </r>
  <r>
    <x v="0"/>
    <s v="GO"/>
    <s v="0101"/>
    <n v="11"/>
    <x v="0"/>
    <s v="11264P1430"/>
    <s v="O820 IPRO"/>
    <m/>
    <m/>
    <s v="S1"/>
    <s v="P1"/>
    <s v="BG"/>
    <n v="27"/>
    <n v="995"/>
    <s v="S1"/>
    <n v="995"/>
    <n v="27"/>
    <s v="Cam.B"/>
    <s v="QD.99"/>
    <s v="F3"/>
    <s v="SIM"/>
    <n v="1"/>
    <d v="2026-07-30T00:00:00"/>
    <x v="3"/>
    <s v="SAMUEL"/>
    <s v="LUCAS"/>
    <s v="MARCELA"/>
  </r>
  <r>
    <x v="0"/>
    <s v="GO"/>
    <s v="0101"/>
    <n v="11"/>
    <x v="0"/>
    <s v="11740P1918"/>
    <s v="NEO771 I2X"/>
    <m/>
    <m/>
    <s v="C2"/>
    <s v="P1"/>
    <s v="BG"/>
    <n v="0"/>
    <n v="679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2919"/>
    <s v="NEO771 I2X"/>
    <m/>
    <m/>
    <s v="C2"/>
    <s v="P2"/>
    <s v="BG"/>
    <n v="0"/>
    <n v="879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264P2433"/>
    <s v="O820 IPRO"/>
    <m/>
    <m/>
    <s v="S1"/>
    <s v="P2"/>
    <s v="BG"/>
    <n v="0"/>
    <n v="1193"/>
    <s v="S1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264P1434"/>
    <s v="O820 IPRO"/>
    <m/>
    <m/>
    <s v="S1"/>
    <s v="P1"/>
    <s v="BG"/>
    <n v="11"/>
    <n v="1002"/>
    <s v="S1"/>
    <n v="1182"/>
    <n v="11"/>
    <s v="Cam.B"/>
    <s v="QD.101"/>
    <s v="F2"/>
    <s v="SIM"/>
    <n v="1"/>
    <d v="2026-07-30T00:00:00"/>
    <x v="3"/>
    <s v="SAMUEL"/>
    <s v="LUCAS"/>
    <s v="MARCELA"/>
  </r>
  <r>
    <x v="0"/>
    <s v="GO"/>
    <s v="0101"/>
    <n v="11"/>
    <x v="0"/>
    <s v="11740P2922"/>
    <s v="NEO771 I2X"/>
    <m/>
    <m/>
    <s v="C2"/>
    <s v="P2"/>
    <s v="BG"/>
    <n v="0"/>
    <n v="870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1925"/>
    <s v="NEO771 I2X"/>
    <m/>
    <m/>
    <s v="C2"/>
    <s v="P1"/>
    <s v="BG"/>
    <n v="0"/>
    <n v="673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1923"/>
    <s v="NEO771 I2X"/>
    <m/>
    <m/>
    <s v="C2"/>
    <s v="P1"/>
    <s v="BG"/>
    <n v="0"/>
    <n v="682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2924"/>
    <s v="NEO771 I2X"/>
    <m/>
    <m/>
    <s v="C2"/>
    <s v="P2"/>
    <s v="BG"/>
    <n v="0"/>
    <n v="874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2926"/>
    <s v="NEO771 I2X"/>
    <m/>
    <m/>
    <s v="C2"/>
    <s v="P2"/>
    <s v="BG"/>
    <n v="0"/>
    <n v="866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0P2927"/>
    <s v="NEO771 I2X"/>
    <m/>
    <m/>
    <s v="C2"/>
    <s v="P2"/>
    <s v="BG"/>
    <n v="0"/>
    <n v="881"/>
    <s v="C2"/>
    <s v="-"/>
    <n v="0"/>
    <s v="-"/>
    <s v="-"/>
    <s v="-"/>
    <s v="SIM"/>
    <n v="0"/>
    <d v="2026-07-30T00:00:00"/>
    <x v="3"/>
    <s v="SAMUEL"/>
    <s v="LUCAS"/>
    <s v="MARCELA"/>
  </r>
  <r>
    <x v="0"/>
    <s v="GO"/>
    <s v="0101"/>
    <n v="11"/>
    <x v="0"/>
    <s v="11741P1312"/>
    <s v="NEO801 CE"/>
    <m/>
    <m/>
    <s v="C2"/>
    <s v="P1"/>
    <s v="BG"/>
    <n v="30"/>
    <n v="668"/>
    <s v="C2"/>
    <n v="688"/>
    <n v="30"/>
    <s v="Cam.A"/>
    <s v="QD.46"/>
    <s v="F3"/>
    <s v="SIM"/>
    <n v="1"/>
    <d v="2026-07-30T00:00:00"/>
    <x v="3"/>
    <s v="SAMUEL"/>
    <s v="LUCAS"/>
    <s v="MARCELA"/>
  </r>
  <r>
    <x v="0"/>
    <s v="GO"/>
    <s v="0101"/>
    <n v="11"/>
    <x v="0"/>
    <s v="11741P1314"/>
    <s v="NEO801 CE"/>
    <m/>
    <m/>
    <s v="C2"/>
    <s v="P1"/>
    <s v="BG"/>
    <n v="30"/>
    <n v="673"/>
    <s v="C2"/>
    <n v="673"/>
    <n v="30"/>
    <s v="Cam.A"/>
    <s v="QD.46"/>
    <s v="F4"/>
    <s v="SIM"/>
    <n v="1"/>
    <d v="2026-07-30T00:00:00"/>
    <x v="3"/>
    <s v="SAMUEL"/>
    <s v="LUCAS"/>
    <s v="MARCELA"/>
  </r>
  <r>
    <x v="0"/>
    <s v="GO"/>
    <s v="0101"/>
    <n v="11"/>
    <x v="0"/>
    <s v="11741P1315"/>
    <s v="NEO801 CE"/>
    <m/>
    <m/>
    <s v="C2"/>
    <s v="P1"/>
    <s v="BG"/>
    <n v="30"/>
    <n v="669"/>
    <s v="C2"/>
    <n v="669"/>
    <n v="30"/>
    <s v="Cam.A"/>
    <s v="QD.46"/>
    <s v="F5"/>
    <s v="SIM"/>
    <n v="1"/>
    <d v="2026-07-30T00:00:00"/>
    <x v="3"/>
    <s v="SAMUEL"/>
    <s v="LUCAS"/>
    <s v="MARCELA"/>
  </r>
  <r>
    <x v="0"/>
    <s v="GO"/>
    <s v="0101"/>
    <n v="11"/>
    <x v="0"/>
    <s v="11741P1317"/>
    <s v="NEO801 CE"/>
    <m/>
    <m/>
    <s v="C2"/>
    <s v="P1"/>
    <s v="BG"/>
    <n v="30"/>
    <n v="676"/>
    <s v="C2"/>
    <n v="676"/>
    <n v="30"/>
    <s v="Cam.A"/>
    <s v="QD.46"/>
    <s v="F6"/>
    <s v="SIM"/>
    <n v="1"/>
    <d v="2026-07-30T00:00:00"/>
    <x v="3"/>
    <s v="SAMUEL"/>
    <s v="LUCAS"/>
    <s v="MARCELA"/>
  </r>
  <r>
    <x v="0"/>
    <s v="GO"/>
    <s v="0101"/>
    <n v="11"/>
    <x v="0"/>
    <s v="11741P1319"/>
    <s v="NEO801 CE"/>
    <m/>
    <m/>
    <s v="C2"/>
    <s v="P1"/>
    <s v="BG"/>
    <n v="30"/>
    <n v="667"/>
    <s v="C2"/>
    <n v="667"/>
    <n v="30"/>
    <s v="Cam.A"/>
    <s v="QD.46"/>
    <s v="F7"/>
    <s v="SIM"/>
    <n v="1"/>
    <d v="2026-07-30T00:00:00"/>
    <x v="3"/>
    <s v="SAMUEL"/>
    <s v="LUCAS"/>
    <s v="MARCELA"/>
  </r>
  <r>
    <x v="0"/>
    <s v="GO"/>
    <s v="0101"/>
    <n v="11"/>
    <x v="0"/>
    <s v="11741P1320"/>
    <s v="NEO801 CE"/>
    <m/>
    <m/>
    <s v="C2"/>
    <s v="P1"/>
    <s v="BG"/>
    <n v="30"/>
    <n v="680"/>
    <s v="C2"/>
    <n v="680"/>
    <n v="30"/>
    <s v="Cam.A"/>
    <s v="QD.44"/>
    <s v="F1"/>
    <s v="SIM"/>
    <n v="1"/>
    <d v="2026-07-30T00:00:00"/>
    <x v="3"/>
    <s v="SAMUEL"/>
    <s v="LUCAS"/>
    <s v="MARCELA"/>
  </r>
  <r>
    <x v="0"/>
    <s v="GO"/>
    <s v="0101"/>
    <n v="11"/>
    <x v="0"/>
    <s v="11741P1322"/>
    <s v="NEO801 CE"/>
    <m/>
    <m/>
    <s v="C2"/>
    <s v="P1"/>
    <s v="BG"/>
    <n v="30"/>
    <n v="703"/>
    <s v="C2"/>
    <n v="703"/>
    <n v="30"/>
    <s v="Cam.A"/>
    <s v="QD.44"/>
    <s v="F2"/>
    <s v="SIM"/>
    <n v="1"/>
    <d v="2026-07-30T00:00:00"/>
    <x v="3"/>
    <s v="SAMUEL"/>
    <s v="LUCAS"/>
    <s v="MARCELA"/>
  </r>
  <r>
    <x v="0"/>
    <s v="GO"/>
    <s v="0101"/>
    <n v="11"/>
    <x v="0"/>
    <s v="11741P1324"/>
    <s v="NEO801 CE"/>
    <m/>
    <m/>
    <s v="C2"/>
    <s v="P1"/>
    <s v="BG"/>
    <n v="11"/>
    <n v="702"/>
    <s v="C2"/>
    <n v="702"/>
    <n v="11"/>
    <s v="Cam.A"/>
    <s v="QD.44"/>
    <s v="F3"/>
    <s v="SIM"/>
    <n v="1"/>
    <d v="2026-07-30T00:00:00"/>
    <x v="3"/>
    <s v="SAMUEL"/>
    <s v="LUCAS"/>
    <s v="MARCELA"/>
  </r>
  <r>
    <x v="0"/>
    <s v="GO"/>
    <s v="0101"/>
    <n v="11"/>
    <x v="0"/>
    <s v="11741P2308"/>
    <s v="NEO801 CE"/>
    <m/>
    <m/>
    <s v="C2"/>
    <s v="P2"/>
    <s v="BG"/>
    <n v="30"/>
    <n v="884"/>
    <s v="C2"/>
    <n v="884"/>
    <n v="30"/>
    <s v="Cam.A"/>
    <s v="QD.45"/>
    <s v="F1"/>
    <s v="SIM"/>
    <n v="1"/>
    <d v="2026-07-30T00:00:00"/>
    <x v="3"/>
    <s v="SAMUEL"/>
    <s v="LUCAS"/>
    <s v="MARCELA"/>
  </r>
  <r>
    <x v="0"/>
    <s v="GO"/>
    <s v="0101"/>
    <n v="11"/>
    <x v="0"/>
    <s v="11741P2311"/>
    <s v="NEO801 CE"/>
    <m/>
    <m/>
    <s v="C2"/>
    <s v="P2"/>
    <s v="BG"/>
    <n v="30"/>
    <n v="859"/>
    <s v="C2"/>
    <n v="859"/>
    <n v="30"/>
    <s v="Cam.A"/>
    <s v="QD.45"/>
    <s v="F2"/>
    <s v="SIM"/>
    <n v="1"/>
    <d v="2026-07-30T00:00:00"/>
    <x v="3"/>
    <s v="SAMUEL"/>
    <s v="LUCAS"/>
    <s v="MARCELA"/>
  </r>
  <r>
    <x v="0"/>
    <s v="GO"/>
    <s v="0101"/>
    <n v="11"/>
    <x v="0"/>
    <s v="11741P2313"/>
    <s v="NEO801 CE"/>
    <m/>
    <m/>
    <s v="C2"/>
    <s v="P2"/>
    <s v="BG"/>
    <n v="30"/>
    <n v="868"/>
    <s v="C2"/>
    <n v="868"/>
    <n v="30"/>
    <s v="Cam.A"/>
    <s v="QD.45"/>
    <s v="F4"/>
    <s v="SIM"/>
    <n v="1"/>
    <d v="2026-07-30T00:00:00"/>
    <x v="3"/>
    <s v="SAMUEL"/>
    <s v="LUCAS"/>
    <s v="MARCELA"/>
  </r>
  <r>
    <x v="0"/>
    <s v="GO"/>
    <s v="0101"/>
    <n v="11"/>
    <x v="0"/>
    <s v="11741P2316"/>
    <s v="NEO801 CE"/>
    <m/>
    <m/>
    <s v="C2"/>
    <s v="P2"/>
    <s v="BG"/>
    <n v="30"/>
    <n v="861"/>
    <s v="C2"/>
    <n v="861"/>
    <n v="30"/>
    <s v="Cam.A"/>
    <s v="QD.45"/>
    <s v="F3"/>
    <s v="SIM"/>
    <n v="1"/>
    <d v="2026-07-30T00:00:00"/>
    <x v="3"/>
    <s v="SAMUEL"/>
    <s v="LUCAS"/>
    <s v="MARCELA"/>
  </r>
  <r>
    <x v="0"/>
    <s v="GO"/>
    <s v="0101"/>
    <n v="11"/>
    <x v="0"/>
    <s v="11741P2318"/>
    <s v="NEO801 CE"/>
    <m/>
    <m/>
    <s v="C2"/>
    <s v="P2"/>
    <s v="BG"/>
    <n v="30"/>
    <n v="869"/>
    <s v="C2"/>
    <n v="869"/>
    <n v="30"/>
    <s v="Cam.A"/>
    <s v="QD.45"/>
    <s v="F5"/>
    <s v="SIM"/>
    <n v="1"/>
    <d v="2026-07-30T00:00:00"/>
    <x v="3"/>
    <s v="SAMUEL"/>
    <s v="LUCAS"/>
    <s v="MARCELA"/>
  </r>
  <r>
    <x v="0"/>
    <s v="GO"/>
    <s v="0101"/>
    <n v="11"/>
    <x v="0"/>
    <s v="11741P2321"/>
    <s v="NEO801 CE"/>
    <m/>
    <m/>
    <s v="C2"/>
    <s v="P2"/>
    <s v="BG"/>
    <n v="30"/>
    <n v="880"/>
    <s v="C2"/>
    <n v="880"/>
    <n v="30"/>
    <s v="Cam.A"/>
    <s v="QD.45"/>
    <s v="F7"/>
    <s v="SIM"/>
    <n v="1"/>
    <d v="2026-07-30T00:00:00"/>
    <x v="3"/>
    <s v="SAMUEL"/>
    <s v="LUCAS"/>
    <s v="MARCELA"/>
  </r>
  <r>
    <x v="0"/>
    <s v="GO"/>
    <s v="0101"/>
    <n v="11"/>
    <x v="0"/>
    <s v="11741P2323"/>
    <s v="NEO801 CE"/>
    <m/>
    <m/>
    <s v="C2"/>
    <s v="P2"/>
    <s v="BG"/>
    <n v="30"/>
    <n v="884"/>
    <s v="C2"/>
    <n v="884"/>
    <n v="30"/>
    <s v="Cam.A"/>
    <s v="QD.45"/>
    <s v="F6"/>
    <s v="SIM"/>
    <n v="1"/>
    <d v="2026-07-30T00:00:00"/>
    <x v="3"/>
    <s v="SAMUEL"/>
    <s v="LUCAS"/>
    <s v="MARCELA"/>
  </r>
  <r>
    <x v="0"/>
    <s v="GO"/>
    <s v="0101"/>
    <n v="11"/>
    <x v="0"/>
    <s v="11741P2325"/>
    <s v="NEO801 CE"/>
    <m/>
    <m/>
    <s v="C2"/>
    <s v="P2"/>
    <s v="BG"/>
    <n v="21"/>
    <n v="884"/>
    <s v="C2"/>
    <n v="884"/>
    <n v="21"/>
    <s v="Cam.A"/>
    <s v="QD.44"/>
    <s v="F4"/>
    <s v="SIM"/>
    <n v="1"/>
    <d v="2026-07-30T00:00:00"/>
    <x v="3"/>
    <s v="SAMUEL"/>
    <s v="LUCAS"/>
    <s v="MARCELA"/>
  </r>
  <r>
    <x v="2"/>
    <m/>
    <m/>
    <m/>
    <x v="1"/>
    <m/>
    <m/>
    <m/>
    <m/>
    <m/>
    <m/>
    <m/>
    <n v="4306"/>
    <m/>
    <m/>
    <m/>
    <n v="4306"/>
    <m/>
    <m/>
    <m/>
    <s v="SIM"/>
    <n v="32"/>
    <d v="2026-04-29T00:00:00"/>
    <x v="0"/>
    <m/>
    <m/>
    <m/>
  </r>
  <r>
    <x v="2"/>
    <m/>
    <m/>
    <m/>
    <x v="0"/>
    <m/>
    <m/>
    <m/>
    <m/>
    <m/>
    <m/>
    <m/>
    <n v="17160"/>
    <m/>
    <m/>
    <m/>
    <n v="17160"/>
    <m/>
    <m/>
    <m/>
    <s v="SIM"/>
    <n v="627"/>
    <d v="2026-06-24T00:00:00"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E6144-616B-422C-8B2F-A2452540C8BD}" name="Tabela dinâmica3" cacheId="49" applyNumberFormats="0" applyBorderFormats="0" applyFontFormats="0" applyPatternFormats="0" applyAlignmentFormats="0" applyWidthHeightFormats="1" dataCaption="Valores" updatedVersion="8" minRefreshableVersion="3" colGrandTotals="0" itemPrintTitles="1" mergeItem="1" createdVersion="8" indent="0" compact="0" compactData="0" multipleFieldFilters="0" chartFormat="35" rowHeaderCaption="Mês" colHeaderCaption="Local">
  <location ref="B7:F14" firstHeaderRow="1" firstDataRow="3" firstDataCol="1" rowPageCount="1" colPageCount="1"/>
  <pivotFields count="28">
    <pivotField axis="axisCol" compact="0" outline="0" showAll="0" defaultSubtotal="0">
      <items count="6">
        <item x="0"/>
        <item x="1"/>
        <item m="1" x="5"/>
        <item h="1" x="2"/>
        <item m="1" x="3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3"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h="1" m="1" x="4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3"/>
  </rowFields>
  <rowItems count="5">
    <i>
      <x/>
    </i>
    <i>
      <x v="2"/>
    </i>
    <i>
      <x v="3"/>
    </i>
    <i>
      <x v="4"/>
    </i>
    <i t="grand">
      <x/>
    </i>
  </rowItems>
  <colFields count="2">
    <field x="0"/>
    <field x="-2"/>
  </colFields>
  <colItems count="4">
    <i>
      <x/>
      <x/>
    </i>
    <i r="1" i="1">
      <x v="1"/>
    </i>
    <i>
      <x v="1"/>
      <x/>
    </i>
    <i r="1" i="1">
      <x v="1"/>
    </i>
  </colItems>
  <pageFields count="1">
    <pageField fld="4" hier="-1"/>
  </pageFields>
  <dataFields count="2">
    <dataField name="Soma de N° Lotes" fld="21" baseField="0" baseItem="0"/>
    <dataField name="% Acuracidade" fld="27" baseField="12" baseItem="4" numFmtId="9"/>
  </dataFields>
  <chartFormats count="22">
    <chartFormat chart="0" format="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1"/>
          </reference>
          <reference field="23" count="1" selected="0">
            <x v="2"/>
          </reference>
        </references>
      </pivotArea>
    </chartFormat>
    <chartFormat chart="11" format="9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3" count="1" selected="0">
            <x v="2"/>
          </reference>
        </references>
      </pivotArea>
    </chartFormat>
    <chartFormat chart="11" format="11" series="1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3" count="1" selected="0">
            <x v="2"/>
          </reference>
        </references>
      </pivotArea>
    </chartFormat>
    <chartFormat chart="11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Medium10 2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ULTURA" xr10:uid="{B61CA893-DEF4-423D-9FDD-CA07F1AFB6A9}" sourceName="CULTURA">
  <pivotTables>
    <pivotTable tabId="3" name="Tabela dinâmica3"/>
  </pivotTables>
  <data>
    <tabular pivotCacheId="1377329988">
      <items count="3">
        <i x="1" s="1"/>
        <i x="0" s="1"/>
        <i x="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LTURA" xr10:uid="{17868D55-E38E-43C5-812A-5BBEE5541BCA}" cache="SegmentaçãodeDados_CULTURA" caption="CULTURA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2A42A7-2A51-48A7-8E70-DE49F04C42A1}" name="AUDITORIA" displayName="AUDITORIA" ref="A1:AA2555" totalsRowCount="1" headerRowDxfId="34" totalsRowDxfId="32" tableBorderDxfId="33">
  <autoFilter ref="A1:AA2554" xr:uid="{B62A42A7-2A51-48A7-8E70-DE49F04C42A1}">
    <filterColumn colId="5">
      <filters>
        <filter val="11715P1751"/>
        <filter val="11715P1752"/>
        <filter val="11715P1754"/>
      </filters>
    </filterColumn>
  </autoFilter>
  <tableColumns count="27">
    <tableColumn id="11" xr3:uid="{B0B85D34-F336-4482-BEDA-5AEB7C06EBBE}" name="LOCAL" totalsRowLabel="Total" dataDxfId="31"/>
    <tableColumn id="14" xr3:uid="{E15F85E3-19EC-4540-83E9-D09024D9B746}" name="UF" dataDxfId="30"/>
    <tableColumn id="13" xr3:uid="{A8E9B09A-FD81-409F-BEA0-25DE9C2471A0}" name="Filial" dataDxfId="29"/>
    <tableColumn id="1" xr3:uid="{59B4B62E-6EA3-4AA9-8EDD-99CD721429CA}" name="Deposito" dataDxfId="28"/>
    <tableColumn id="24" xr3:uid="{8BF89C9A-E4FF-4DD8-A142-370565D7B8CB}" name="CULTURA" dataDxfId="27"/>
    <tableColumn id="2" xr3:uid="{82A2D42B-785A-4F62-A7AA-3CDC351A39B9}" name="LOTE" dataDxfId="26"/>
    <tableColumn id="3" xr3:uid="{0DB71124-CD80-4964-808E-360CB83EAEC9}" name="CULTIVAR" dataDxfId="25"/>
    <tableColumn id="16" xr3:uid="{4A399B4C-ECE1-4D2F-B02E-89D35410EB94}" name="CÓD. PRODUTO" dataDxfId="24"/>
    <tableColumn id="15" xr3:uid="{E976E734-E21B-4B83-A5CA-27A6226FCA1D}" name="NOME PRODUTO ERP" dataDxfId="23"/>
    <tableColumn id="18" xr3:uid="{B81F06CD-1321-4DF6-83C0-C1C7C0AEE741}" name="CAT" dataDxfId="22"/>
    <tableColumn id="17" xr3:uid="{E2AEFE3B-A273-4AEF-9241-7C6358699358}" name="PEN." dataDxfId="21"/>
    <tableColumn id="23" xr3:uid="{86FEDC39-0476-493A-BA7F-C0CD8107674E}" name="UM" dataDxfId="20"/>
    <tableColumn id="4" xr3:uid="{73960359-A21D-4FEA-B6BE-8BC58D9B62FF}" name="QTD SISTEMA" totalsRowFunction="sum" dataDxfId="19" totalsRowDxfId="18"/>
    <tableColumn id="19" xr3:uid="{AEC37466-A04E-45B5-9F99-D4ECF4D6E15B}" name="PESO ETIQUETA" dataDxfId="17"/>
    <tableColumn id="22" xr3:uid="{9BD1D707-EE16-4DBA-A5C8-8039E3D7C9B7}" name="CAT. FÍS." dataDxfId="16"/>
    <tableColumn id="20" xr3:uid="{67AF8F6A-1C68-47D5-A75E-E82C96164E98}" name="ETIQUETA FÍSICA" dataDxfId="15"/>
    <tableColumn id="5" xr3:uid="{60B8EE71-71EC-497A-B1A4-B41235D1891B}" name="QTD FÍSICA" totalsRowFunction="sum" dataDxfId="14" totalsRowDxfId="13"/>
    <tableColumn id="26" xr3:uid="{16B6A381-79A7-49EF-8797-B46671B1E07A}" name="CÂMARA" dataDxfId="12" totalsRowDxfId="11"/>
    <tableColumn id="27" xr3:uid="{52801E1D-AE00-43DC-80DB-5DEFA36402B1}" name="QUADRA" dataDxfId="10" totalsRowDxfId="9"/>
    <tableColumn id="21" xr3:uid="{AD56B222-A69F-4F3A-BA98-B557F610D34C}" name="FILEIRA" dataDxfId="8" totalsRowDxfId="7"/>
    <tableColumn id="6" xr3:uid="{03B69F60-0F73-4F76-B51F-B584DCC7A5AC}" name="CONF.? (SIM/NÃO)" dataDxfId="6">
      <calculatedColumnFormula>IF(AUDITORIA[[#This Row],[QTD FÍSICA]]="","",IF(AND(AUDITORIA[[#This Row],[CAT]]=AUDITORIA[[#This Row],[CAT. FÍS.]],AUDITORIA[[#This Row],[QTD FÍSICA]]=AUDITORIA[[#This Row],[QTD SISTEMA]]),"SIM","NÃO"))</calculatedColumnFormula>
    </tableColumn>
    <tableColumn id="28" xr3:uid="{96031B86-B2E0-4595-8CEA-059C4995F47E}" name="N° Lotes" totalsRowFunction="sum" dataDxfId="5" totalsRowDxfId="4">
      <calculatedColumnFormula>IF(AUDITORIA[[#This Row],[CAT]]="",0,1)</calculatedColumnFormula>
    </tableColumn>
    <tableColumn id="8" xr3:uid="{F091D4DE-0CB8-4636-804B-CE9EB7AB769C}" name="DATA VERIFICAÇÃO" dataDxfId="3" totalsRowDxfId="2"/>
    <tableColumn id="12" xr3:uid="{112708BF-78F7-48F8-A0F9-8A36865FEF62}" name="MÊS" dataDxfId="1" totalsRowDxfId="0">
      <calculatedColumnFormula>UPPER(IF(AUDITORIA[[#This Row],[DATA VERIFICAÇÃO]]="","",TEXT(AUDITORIA[[#This Row],[DATA VERIFICAÇÃO]],"mmm")))</calculatedColumnFormula>
    </tableColumn>
    <tableColumn id="9" xr3:uid="{86C69F69-68C5-4900-B2FF-759A91ED30E0}" name="AUDITOR"/>
    <tableColumn id="10" xr3:uid="{2D2017E1-E3FB-4080-B0EC-6EE9132AF26E}" name="AUDITOR "/>
    <tableColumn id="7" xr3:uid="{ACA888E8-5B61-49E4-A38D-9470179A67B4}" name="RESPONSÁVEL UBS"/>
  </tableColumns>
  <tableStyleInfo name="TableStyleLight1 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4"/>
  <sheetViews>
    <sheetView showGridLines="0" tabSelected="1" topLeftCell="A4" zoomScale="80" zoomScaleNormal="80" workbookViewId="0">
      <selection activeCell="AC31" sqref="AC31"/>
    </sheetView>
  </sheetViews>
  <sheetFormatPr defaultRowHeight="14.4" x14ac:dyDescent="0.3"/>
  <cols>
    <col min="1" max="1" width="1.6640625" customWidth="1"/>
    <col min="7" max="7" width="0" hidden="1" customWidth="1"/>
    <col min="8" max="8" width="8.88671875" customWidth="1"/>
  </cols>
  <sheetData>
    <row r="1" spans="2:6" x14ac:dyDescent="0.3">
      <c r="B1" s="3" t="s">
        <v>5</v>
      </c>
    </row>
    <row r="2" spans="2:6" x14ac:dyDescent="0.3">
      <c r="B2" s="3" t="s">
        <v>6</v>
      </c>
    </row>
    <row r="3" spans="2:6" x14ac:dyDescent="0.3">
      <c r="B3" s="3" t="s">
        <v>7</v>
      </c>
    </row>
    <row r="4" spans="2:6" x14ac:dyDescent="0.3">
      <c r="B4" s="3"/>
    </row>
    <row r="5" spans="2:6" x14ac:dyDescent="0.3">
      <c r="B5" s="11" t="s">
        <v>744</v>
      </c>
      <c r="C5" t="s">
        <v>947</v>
      </c>
    </row>
    <row r="6" spans="2:6" x14ac:dyDescent="0.3">
      <c r="B6" s="3"/>
    </row>
    <row r="7" spans="2:6" x14ac:dyDescent="0.3">
      <c r="B7" s="4"/>
      <c r="C7" s="9" t="s">
        <v>3</v>
      </c>
      <c r="D7" s="9" t="s">
        <v>747</v>
      </c>
      <c r="E7" s="4"/>
      <c r="F7" s="4"/>
    </row>
    <row r="8" spans="2:6" x14ac:dyDescent="0.3">
      <c r="B8" s="4"/>
      <c r="C8" s="31" t="s">
        <v>279</v>
      </c>
      <c r="D8" s="32" t="s">
        <v>279</v>
      </c>
      <c r="E8" s="31" t="s">
        <v>0</v>
      </c>
      <c r="F8" s="32" t="s">
        <v>0</v>
      </c>
    </row>
    <row r="9" spans="2:6" ht="43.2" x14ac:dyDescent="0.3">
      <c r="B9" s="9" t="s">
        <v>25</v>
      </c>
      <c r="C9" s="10" t="s">
        <v>834</v>
      </c>
      <c r="D9" s="10" t="s">
        <v>4</v>
      </c>
      <c r="E9" s="10" t="s">
        <v>834</v>
      </c>
      <c r="F9" s="10" t="s">
        <v>4</v>
      </c>
    </row>
    <row r="10" spans="2:6" x14ac:dyDescent="0.3">
      <c r="B10" s="10" t="s">
        <v>604</v>
      </c>
      <c r="C10">
        <v>287</v>
      </c>
      <c r="D10" s="2">
        <v>1</v>
      </c>
      <c r="E10">
        <v>347</v>
      </c>
      <c r="F10" s="2">
        <v>1</v>
      </c>
    </row>
    <row r="11" spans="2:6" x14ac:dyDescent="0.3">
      <c r="B11" s="10" t="s">
        <v>829</v>
      </c>
      <c r="C11">
        <v>287</v>
      </c>
      <c r="D11" s="2">
        <v>1</v>
      </c>
      <c r="E11">
        <v>340</v>
      </c>
      <c r="F11" s="2">
        <v>1</v>
      </c>
    </row>
    <row r="12" spans="2:6" x14ac:dyDescent="0.3">
      <c r="B12" s="10" t="s">
        <v>841</v>
      </c>
      <c r="C12">
        <v>287</v>
      </c>
      <c r="D12" s="2">
        <v>1</v>
      </c>
      <c r="E12">
        <v>376</v>
      </c>
      <c r="F12" s="2">
        <v>0.9995146304257384</v>
      </c>
    </row>
    <row r="13" spans="2:6" x14ac:dyDescent="0.3">
      <c r="B13" s="10" t="s">
        <v>906</v>
      </c>
      <c r="C13">
        <v>204</v>
      </c>
      <c r="D13" s="2">
        <v>0.99501753090976197</v>
      </c>
      <c r="E13">
        <v>334</v>
      </c>
      <c r="F13" s="2">
        <v>1</v>
      </c>
    </row>
    <row r="14" spans="2:6" x14ac:dyDescent="0.3">
      <c r="B14" s="10" t="s">
        <v>1</v>
      </c>
      <c r="C14">
        <v>1065</v>
      </c>
      <c r="D14" s="2">
        <v>0.99904906138837035</v>
      </c>
      <c r="E14">
        <v>1397</v>
      </c>
      <c r="F14" s="2">
        <v>0.99984915418597131</v>
      </c>
    </row>
  </sheetData>
  <mergeCells count="2">
    <mergeCell ref="C8:D8"/>
    <mergeCell ref="E8:F8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CEE2-C27E-4405-A446-B1AF79B0E2F5}">
  <sheetPr codeName="Planilha2">
    <tabColor rgb="FFFFFF00"/>
    <pageSetUpPr fitToPage="1"/>
  </sheetPr>
  <dimension ref="A1:AA2558"/>
  <sheetViews>
    <sheetView showGridLines="0" zoomScale="110" zoomScaleNormal="110" workbookViewId="0">
      <pane ySplit="1" topLeftCell="A1944" activePane="bottomLeft" state="frozen"/>
      <selection activeCell="B5" sqref="B5"/>
      <selection pane="bottomLeft" activeCell="Q2477" sqref="Q2477"/>
    </sheetView>
  </sheetViews>
  <sheetFormatPr defaultRowHeight="14.4" x14ac:dyDescent="0.3"/>
  <cols>
    <col min="1" max="1" width="9" style="4" bestFit="1" customWidth="1"/>
    <col min="2" max="2" width="5.6640625" style="4" customWidth="1"/>
    <col min="3" max="3" width="6.6640625" style="4" customWidth="1"/>
    <col min="4" max="4" width="8.44140625" style="4" bestFit="1" customWidth="1"/>
    <col min="5" max="5" width="13.5546875" style="4" bestFit="1" customWidth="1"/>
    <col min="6" max="6" width="15.6640625" customWidth="1"/>
    <col min="7" max="7" width="24.109375" bestFit="1" customWidth="1"/>
    <col min="8" max="8" width="12.44140625" hidden="1" customWidth="1"/>
    <col min="9" max="9" width="28.88671875" hidden="1" customWidth="1"/>
    <col min="10" max="10" width="9.109375" style="4" bestFit="1" customWidth="1"/>
    <col min="11" max="11" width="9.88671875" style="4" bestFit="1" customWidth="1"/>
    <col min="12" max="12" width="8.44140625" style="4" bestFit="1" customWidth="1"/>
    <col min="13" max="13" width="15.44140625" bestFit="1" customWidth="1"/>
    <col min="14" max="14" width="12" bestFit="1" customWidth="1"/>
    <col min="15" max="15" width="6.6640625" customWidth="1"/>
    <col min="16" max="18" width="12.6640625" customWidth="1"/>
    <col min="19" max="19" width="8.6640625" customWidth="1"/>
    <col min="20" max="20" width="7.6640625" customWidth="1"/>
    <col min="21" max="22" width="10" customWidth="1"/>
    <col min="23" max="23" width="12.6640625" customWidth="1"/>
    <col min="24" max="24" width="10.5546875" bestFit="1" customWidth="1"/>
    <col min="25" max="28" width="20.6640625" customWidth="1"/>
    <col min="29" max="29" width="60.6640625" customWidth="1"/>
  </cols>
  <sheetData>
    <row r="1" spans="1:27" ht="28.8" x14ac:dyDescent="0.3">
      <c r="A1" s="12" t="s">
        <v>3</v>
      </c>
      <c r="B1" s="12" t="s">
        <v>12</v>
      </c>
      <c r="C1" s="12" t="s">
        <v>13</v>
      </c>
      <c r="D1" s="12" t="s">
        <v>14</v>
      </c>
      <c r="E1" s="12" t="s">
        <v>744</v>
      </c>
      <c r="F1" s="13" t="s">
        <v>15</v>
      </c>
      <c r="G1" s="13" t="s">
        <v>8</v>
      </c>
      <c r="H1" s="13" t="s">
        <v>26</v>
      </c>
      <c r="I1" s="13" t="s">
        <v>16</v>
      </c>
      <c r="J1" s="14" t="s">
        <v>22</v>
      </c>
      <c r="K1" s="14" t="s">
        <v>23</v>
      </c>
      <c r="L1" s="14" t="s">
        <v>741</v>
      </c>
      <c r="M1" s="13" t="s">
        <v>9</v>
      </c>
      <c r="N1" s="13" t="s">
        <v>2</v>
      </c>
      <c r="O1" s="13" t="s">
        <v>28</v>
      </c>
      <c r="P1" s="13" t="s">
        <v>27</v>
      </c>
      <c r="Q1" s="13" t="s">
        <v>10</v>
      </c>
      <c r="R1" s="13" t="s">
        <v>775</v>
      </c>
      <c r="S1" s="13" t="s">
        <v>776</v>
      </c>
      <c r="T1" s="13" t="s">
        <v>777</v>
      </c>
      <c r="U1" s="13" t="s">
        <v>24</v>
      </c>
      <c r="V1" s="13" t="s">
        <v>605</v>
      </c>
      <c r="W1" s="15" t="s">
        <v>11</v>
      </c>
      <c r="X1" s="15" t="s">
        <v>25</v>
      </c>
      <c r="Y1" s="13" t="s">
        <v>601</v>
      </c>
      <c r="Z1" s="13" t="s">
        <v>602</v>
      </c>
      <c r="AA1" s="13" t="s">
        <v>603</v>
      </c>
    </row>
    <row r="2" spans="1:27" ht="14.4" hidden="1" customHeight="1" x14ac:dyDescent="0.3">
      <c r="A2" s="4" t="s">
        <v>279</v>
      </c>
      <c r="B2" s="4" t="s">
        <v>17</v>
      </c>
      <c r="C2" s="16" t="s">
        <v>18</v>
      </c>
      <c r="D2" s="4">
        <v>11</v>
      </c>
      <c r="E2" s="4" t="s">
        <v>745</v>
      </c>
      <c r="F2" t="s">
        <v>541</v>
      </c>
      <c r="G2" t="s">
        <v>535</v>
      </c>
      <c r="H2" t="s">
        <v>536</v>
      </c>
      <c r="I2" t="s">
        <v>537</v>
      </c>
      <c r="J2" s="4" t="s">
        <v>88</v>
      </c>
      <c r="K2" s="4" t="s">
        <v>20</v>
      </c>
      <c r="L2" s="4" t="s">
        <v>742</v>
      </c>
      <c r="M2" s="17">
        <v>30</v>
      </c>
      <c r="N2" s="17">
        <v>761</v>
      </c>
      <c r="O2" s="18" t="s">
        <v>88</v>
      </c>
      <c r="P2" s="18">
        <v>761</v>
      </c>
      <c r="Q2" s="18">
        <v>30</v>
      </c>
      <c r="R2" s="18"/>
      <c r="S2" s="18"/>
      <c r="T2" s="18"/>
      <c r="U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" s="19">
        <f>IF(AUDITORIA[[#This Row],[CAT]]="",0,1)</f>
        <v>1</v>
      </c>
      <c r="W2" s="20">
        <v>46135</v>
      </c>
      <c r="X2" s="21" t="str">
        <f>UPPER(IF(AUDITORIA[[#This Row],[DATA VERIFICAÇÃO]]="","",TEXT(AUDITORIA[[#This Row],[DATA VERIFICAÇÃO]],"mmm")))</f>
        <v>ABR</v>
      </c>
      <c r="Y2" t="s">
        <v>598</v>
      </c>
      <c r="Z2" t="s">
        <v>599</v>
      </c>
      <c r="AA2" t="s">
        <v>600</v>
      </c>
    </row>
    <row r="3" spans="1:27" ht="14.4" hidden="1" customHeight="1" x14ac:dyDescent="0.3">
      <c r="A3" s="4" t="s">
        <v>279</v>
      </c>
      <c r="B3" s="4" t="s">
        <v>17</v>
      </c>
      <c r="C3" s="16" t="s">
        <v>18</v>
      </c>
      <c r="D3" s="4">
        <v>11</v>
      </c>
      <c r="E3" s="4" t="s">
        <v>745</v>
      </c>
      <c r="F3" t="s">
        <v>539</v>
      </c>
      <c r="G3" t="s">
        <v>535</v>
      </c>
      <c r="H3" t="s">
        <v>536</v>
      </c>
      <c r="I3" t="s">
        <v>537</v>
      </c>
      <c r="J3" s="4" t="s">
        <v>88</v>
      </c>
      <c r="K3" s="4" t="s">
        <v>20</v>
      </c>
      <c r="L3" s="4" t="s">
        <v>742</v>
      </c>
      <c r="M3" s="17">
        <v>30</v>
      </c>
      <c r="N3" s="17">
        <v>733</v>
      </c>
      <c r="O3" s="18" t="s">
        <v>88</v>
      </c>
      <c r="P3" s="18">
        <v>733</v>
      </c>
      <c r="Q3" s="18">
        <v>30</v>
      </c>
      <c r="R3" s="18"/>
      <c r="S3" s="18"/>
      <c r="T3" s="18"/>
      <c r="U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" s="19">
        <f>IF(AUDITORIA[[#This Row],[CAT]]="",0,1)</f>
        <v>1</v>
      </c>
      <c r="W3" s="20">
        <v>46135</v>
      </c>
      <c r="X3" s="21" t="str">
        <f>UPPER(IF(AUDITORIA[[#This Row],[DATA VERIFICAÇÃO]]="","",TEXT(AUDITORIA[[#This Row],[DATA VERIFICAÇÃO]],"mmm")))</f>
        <v>ABR</v>
      </c>
      <c r="Y3" t="s">
        <v>598</v>
      </c>
      <c r="Z3" t="s">
        <v>599</v>
      </c>
      <c r="AA3" t="s">
        <v>600</v>
      </c>
    </row>
    <row r="4" spans="1:27" ht="14.4" hidden="1" customHeight="1" x14ac:dyDescent="0.3">
      <c r="A4" s="4" t="s">
        <v>279</v>
      </c>
      <c r="B4" s="4" t="s">
        <v>17</v>
      </c>
      <c r="C4" s="16" t="s">
        <v>18</v>
      </c>
      <c r="D4" s="4">
        <v>11</v>
      </c>
      <c r="E4" s="4" t="s">
        <v>745</v>
      </c>
      <c r="F4" t="s">
        <v>551</v>
      </c>
      <c r="G4" t="s">
        <v>535</v>
      </c>
      <c r="H4" t="s">
        <v>536</v>
      </c>
      <c r="I4" t="s">
        <v>537</v>
      </c>
      <c r="J4" s="4" t="s">
        <v>88</v>
      </c>
      <c r="K4" s="4" t="s">
        <v>20</v>
      </c>
      <c r="L4" s="4" t="s">
        <v>742</v>
      </c>
      <c r="M4" s="17">
        <v>30</v>
      </c>
      <c r="N4" s="17">
        <v>748</v>
      </c>
      <c r="O4" s="18" t="s">
        <v>88</v>
      </c>
      <c r="P4" s="18">
        <v>748</v>
      </c>
      <c r="Q4" s="18">
        <v>30</v>
      </c>
      <c r="R4" s="18"/>
      <c r="S4" s="18"/>
      <c r="T4" s="18"/>
      <c r="U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" s="19">
        <f>IF(AUDITORIA[[#This Row],[CAT]]="",0,1)</f>
        <v>1</v>
      </c>
      <c r="W4" s="20">
        <v>46135</v>
      </c>
      <c r="X4" s="21" t="str">
        <f>UPPER(IF(AUDITORIA[[#This Row],[DATA VERIFICAÇÃO]]="","",TEXT(AUDITORIA[[#This Row],[DATA VERIFICAÇÃO]],"mmm")))</f>
        <v>ABR</v>
      </c>
      <c r="Y4" t="s">
        <v>598</v>
      </c>
      <c r="Z4" t="s">
        <v>599</v>
      </c>
      <c r="AA4" t="s">
        <v>600</v>
      </c>
    </row>
    <row r="5" spans="1:27" ht="14.4" hidden="1" customHeight="1" x14ac:dyDescent="0.3">
      <c r="A5" s="4" t="s">
        <v>279</v>
      </c>
      <c r="B5" s="4" t="s">
        <v>17</v>
      </c>
      <c r="C5" s="16" t="s">
        <v>18</v>
      </c>
      <c r="D5" s="4">
        <v>11</v>
      </c>
      <c r="E5" s="4" t="s">
        <v>745</v>
      </c>
      <c r="F5" t="s">
        <v>547</v>
      </c>
      <c r="G5" t="s">
        <v>535</v>
      </c>
      <c r="H5" t="s">
        <v>536</v>
      </c>
      <c r="I5" t="s">
        <v>537</v>
      </c>
      <c r="J5" s="4" t="s">
        <v>88</v>
      </c>
      <c r="K5" s="4" t="s">
        <v>20</v>
      </c>
      <c r="L5" s="4" t="s">
        <v>742</v>
      </c>
      <c r="M5" s="17">
        <v>23</v>
      </c>
      <c r="N5" s="17">
        <v>731</v>
      </c>
      <c r="O5" s="18" t="s">
        <v>88</v>
      </c>
      <c r="P5" s="18">
        <v>731</v>
      </c>
      <c r="Q5" s="18">
        <v>23</v>
      </c>
      <c r="R5" s="18"/>
      <c r="S5" s="18"/>
      <c r="T5" s="18"/>
      <c r="U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" s="19">
        <f>IF(AUDITORIA[[#This Row],[CAT]]="",0,1)</f>
        <v>1</v>
      </c>
      <c r="W5" s="20">
        <v>46135</v>
      </c>
      <c r="X5" s="21" t="str">
        <f>UPPER(IF(AUDITORIA[[#This Row],[DATA VERIFICAÇÃO]]="","",TEXT(AUDITORIA[[#This Row],[DATA VERIFICAÇÃO]],"mmm")))</f>
        <v>ABR</v>
      </c>
      <c r="Y5" t="s">
        <v>598</v>
      </c>
      <c r="Z5" t="s">
        <v>599</v>
      </c>
      <c r="AA5" t="s">
        <v>600</v>
      </c>
    </row>
    <row r="6" spans="1:27" ht="14.4" hidden="1" customHeight="1" x14ac:dyDescent="0.3">
      <c r="A6" s="4" t="s">
        <v>279</v>
      </c>
      <c r="B6" s="4" t="s">
        <v>17</v>
      </c>
      <c r="C6" s="16" t="s">
        <v>18</v>
      </c>
      <c r="D6" s="4">
        <v>11</v>
      </c>
      <c r="E6" s="4" t="s">
        <v>745</v>
      </c>
      <c r="F6" t="s">
        <v>543</v>
      </c>
      <c r="G6" t="s">
        <v>535</v>
      </c>
      <c r="H6" t="s">
        <v>536</v>
      </c>
      <c r="I6" t="s">
        <v>537</v>
      </c>
      <c r="J6" s="4" t="s">
        <v>88</v>
      </c>
      <c r="K6" s="4" t="s">
        <v>21</v>
      </c>
      <c r="L6" s="4" t="s">
        <v>742</v>
      </c>
      <c r="M6" s="17">
        <v>27</v>
      </c>
      <c r="N6" s="17">
        <v>953</v>
      </c>
      <c r="O6" s="18" t="s">
        <v>88</v>
      </c>
      <c r="P6" s="18">
        <v>953</v>
      </c>
      <c r="Q6" s="18">
        <v>27</v>
      </c>
      <c r="R6" s="18"/>
      <c r="S6" s="18"/>
      <c r="T6" s="18"/>
      <c r="U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" s="19">
        <f>IF(AUDITORIA[[#This Row],[CAT]]="",0,1)</f>
        <v>1</v>
      </c>
      <c r="W6" s="20">
        <v>46135</v>
      </c>
      <c r="X6" s="21" t="str">
        <f>UPPER(IF(AUDITORIA[[#This Row],[DATA VERIFICAÇÃO]]="","",TEXT(AUDITORIA[[#This Row],[DATA VERIFICAÇÃO]],"mmm")))</f>
        <v>ABR</v>
      </c>
      <c r="Y6" t="s">
        <v>598</v>
      </c>
      <c r="Z6" t="s">
        <v>599</v>
      </c>
      <c r="AA6" t="s">
        <v>600</v>
      </c>
    </row>
    <row r="7" spans="1:27" ht="14.4" hidden="1" customHeight="1" x14ac:dyDescent="0.3">
      <c r="A7" s="4" t="s">
        <v>279</v>
      </c>
      <c r="B7" s="4" t="s">
        <v>17</v>
      </c>
      <c r="C7" s="16" t="s">
        <v>18</v>
      </c>
      <c r="D7" s="4">
        <v>11</v>
      </c>
      <c r="E7" s="4" t="s">
        <v>745</v>
      </c>
      <c r="F7" t="s">
        <v>540</v>
      </c>
      <c r="G7" t="s">
        <v>535</v>
      </c>
      <c r="H7" t="s">
        <v>536</v>
      </c>
      <c r="I7" t="s">
        <v>537</v>
      </c>
      <c r="J7" s="4" t="s">
        <v>88</v>
      </c>
      <c r="K7" s="4" t="s">
        <v>21</v>
      </c>
      <c r="L7" s="4" t="s">
        <v>742</v>
      </c>
      <c r="M7" s="17">
        <v>27</v>
      </c>
      <c r="N7" s="17">
        <v>936</v>
      </c>
      <c r="O7" s="18" t="s">
        <v>88</v>
      </c>
      <c r="P7" s="18">
        <v>936</v>
      </c>
      <c r="Q7" s="18">
        <v>27</v>
      </c>
      <c r="R7" s="18"/>
      <c r="S7" s="18"/>
      <c r="T7" s="18"/>
      <c r="U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" s="19">
        <f>IF(AUDITORIA[[#This Row],[CAT]]="",0,1)</f>
        <v>1</v>
      </c>
      <c r="W7" s="20">
        <v>46135</v>
      </c>
      <c r="X7" s="21" t="str">
        <f>UPPER(IF(AUDITORIA[[#This Row],[DATA VERIFICAÇÃO]]="","",TEXT(AUDITORIA[[#This Row],[DATA VERIFICAÇÃO]],"mmm")))</f>
        <v>ABR</v>
      </c>
      <c r="Y7" t="s">
        <v>598</v>
      </c>
      <c r="Z7" t="s">
        <v>599</v>
      </c>
      <c r="AA7" t="s">
        <v>600</v>
      </c>
    </row>
    <row r="8" spans="1:27" ht="14.4" hidden="1" customHeight="1" x14ac:dyDescent="0.3">
      <c r="A8" s="4" t="s">
        <v>279</v>
      </c>
      <c r="B8" s="4" t="s">
        <v>17</v>
      </c>
      <c r="C8" s="16" t="s">
        <v>18</v>
      </c>
      <c r="D8" s="4">
        <v>11</v>
      </c>
      <c r="E8" s="4" t="s">
        <v>745</v>
      </c>
      <c r="F8" t="s">
        <v>550</v>
      </c>
      <c r="G8" t="s">
        <v>535</v>
      </c>
      <c r="H8" t="s">
        <v>536</v>
      </c>
      <c r="I8" t="s">
        <v>537</v>
      </c>
      <c r="J8" s="4" t="s">
        <v>88</v>
      </c>
      <c r="K8" s="4" t="s">
        <v>21</v>
      </c>
      <c r="L8" s="4" t="s">
        <v>742</v>
      </c>
      <c r="M8" s="17">
        <v>27</v>
      </c>
      <c r="N8" s="17">
        <v>948</v>
      </c>
      <c r="O8" s="18" t="s">
        <v>88</v>
      </c>
      <c r="P8" s="18">
        <v>948</v>
      </c>
      <c r="Q8" s="18">
        <v>27</v>
      </c>
      <c r="R8" s="18"/>
      <c r="S8" s="18"/>
      <c r="T8" s="18"/>
      <c r="U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" s="19">
        <f>IF(AUDITORIA[[#This Row],[CAT]]="",0,1)</f>
        <v>1</v>
      </c>
      <c r="W8" s="20">
        <v>46135</v>
      </c>
      <c r="X8" s="21" t="str">
        <f>UPPER(IF(AUDITORIA[[#This Row],[DATA VERIFICAÇÃO]]="","",TEXT(AUDITORIA[[#This Row],[DATA VERIFICAÇÃO]],"mmm")))</f>
        <v>ABR</v>
      </c>
      <c r="Y8" t="s">
        <v>598</v>
      </c>
      <c r="Z8" t="s">
        <v>599</v>
      </c>
      <c r="AA8" t="s">
        <v>600</v>
      </c>
    </row>
    <row r="9" spans="1:27" ht="14.4" hidden="1" customHeight="1" x14ac:dyDescent="0.3">
      <c r="A9" s="4" t="s">
        <v>279</v>
      </c>
      <c r="B9" s="4" t="s">
        <v>17</v>
      </c>
      <c r="C9" s="16" t="s">
        <v>18</v>
      </c>
      <c r="D9" s="4">
        <v>11</v>
      </c>
      <c r="E9" s="4" t="s">
        <v>745</v>
      </c>
      <c r="F9" t="s">
        <v>534</v>
      </c>
      <c r="G9" t="s">
        <v>535</v>
      </c>
      <c r="H9" t="s">
        <v>536</v>
      </c>
      <c r="I9" t="s">
        <v>537</v>
      </c>
      <c r="J9" s="4" t="s">
        <v>88</v>
      </c>
      <c r="K9" s="4" t="s">
        <v>21</v>
      </c>
      <c r="L9" s="4" t="s">
        <v>742</v>
      </c>
      <c r="M9" s="17">
        <v>27</v>
      </c>
      <c r="N9" s="17">
        <v>929</v>
      </c>
      <c r="O9" s="18" t="s">
        <v>88</v>
      </c>
      <c r="P9" s="18">
        <v>929</v>
      </c>
      <c r="Q9" s="18">
        <v>27</v>
      </c>
      <c r="R9" s="18"/>
      <c r="S9" s="18"/>
      <c r="T9" s="18"/>
      <c r="U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" s="19">
        <f>IF(AUDITORIA[[#This Row],[CAT]]="",0,1)</f>
        <v>1</v>
      </c>
      <c r="W9" s="20">
        <v>46135</v>
      </c>
      <c r="X9" s="21" t="str">
        <f>UPPER(IF(AUDITORIA[[#This Row],[DATA VERIFICAÇÃO]]="","",TEXT(AUDITORIA[[#This Row],[DATA VERIFICAÇÃO]],"mmm")))</f>
        <v>ABR</v>
      </c>
      <c r="Y9" t="s">
        <v>598</v>
      </c>
      <c r="Z9" t="s">
        <v>599</v>
      </c>
      <c r="AA9" t="s">
        <v>600</v>
      </c>
    </row>
    <row r="10" spans="1:27" ht="14.4" hidden="1" customHeight="1" x14ac:dyDescent="0.3">
      <c r="A10" s="4" t="s">
        <v>279</v>
      </c>
      <c r="B10" s="4" t="s">
        <v>17</v>
      </c>
      <c r="C10" s="16" t="s">
        <v>18</v>
      </c>
      <c r="D10" s="4">
        <v>11</v>
      </c>
      <c r="E10" s="4" t="s">
        <v>745</v>
      </c>
      <c r="F10" t="s">
        <v>552</v>
      </c>
      <c r="G10" t="s">
        <v>535</v>
      </c>
      <c r="H10" t="s">
        <v>536</v>
      </c>
      <c r="I10" t="s">
        <v>537</v>
      </c>
      <c r="J10" s="4" t="s">
        <v>88</v>
      </c>
      <c r="K10" s="4" t="s">
        <v>21</v>
      </c>
      <c r="L10" s="4" t="s">
        <v>742</v>
      </c>
      <c r="M10" s="17">
        <v>14</v>
      </c>
      <c r="N10" s="17">
        <v>949</v>
      </c>
      <c r="O10" s="18" t="s">
        <v>88</v>
      </c>
      <c r="P10" s="18">
        <v>949</v>
      </c>
      <c r="Q10" s="18">
        <v>14</v>
      </c>
      <c r="R10" s="18"/>
      <c r="S10" s="18"/>
      <c r="T10" s="18"/>
      <c r="U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" s="19">
        <f>IF(AUDITORIA[[#This Row],[CAT]]="",0,1)</f>
        <v>1</v>
      </c>
      <c r="W10" s="20">
        <v>46135</v>
      </c>
      <c r="X10" s="21" t="str">
        <f>UPPER(IF(AUDITORIA[[#This Row],[DATA VERIFICAÇÃO]]="","",TEXT(AUDITORIA[[#This Row],[DATA VERIFICAÇÃO]],"mmm")))</f>
        <v>ABR</v>
      </c>
      <c r="Y10" t="s">
        <v>598</v>
      </c>
      <c r="Z10" t="s">
        <v>599</v>
      </c>
      <c r="AA10" t="s">
        <v>600</v>
      </c>
    </row>
    <row r="11" spans="1:27" ht="14.4" hidden="1" customHeight="1" x14ac:dyDescent="0.3">
      <c r="A11" s="4" t="s">
        <v>279</v>
      </c>
      <c r="B11" s="4" t="s">
        <v>17</v>
      </c>
      <c r="C11" s="16" t="s">
        <v>18</v>
      </c>
      <c r="D11" s="4">
        <v>11</v>
      </c>
      <c r="E11" s="4" t="s">
        <v>745</v>
      </c>
      <c r="F11" t="s">
        <v>476</v>
      </c>
      <c r="G11" t="s">
        <v>442</v>
      </c>
      <c r="H11" t="s">
        <v>445</v>
      </c>
      <c r="I11" t="s">
        <v>443</v>
      </c>
      <c r="J11" s="4" t="s">
        <v>55</v>
      </c>
      <c r="K11" s="4" t="s">
        <v>20</v>
      </c>
      <c r="L11" s="4" t="s">
        <v>742</v>
      </c>
      <c r="M11" s="17">
        <v>30</v>
      </c>
      <c r="N11" s="17">
        <v>759</v>
      </c>
      <c r="O11" s="18" t="s">
        <v>55</v>
      </c>
      <c r="P11" s="18">
        <v>759</v>
      </c>
      <c r="Q11" s="18">
        <v>30</v>
      </c>
      <c r="R11" s="18"/>
      <c r="S11" s="18"/>
      <c r="T11" s="18"/>
      <c r="U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" s="19">
        <f>IF(AUDITORIA[[#This Row],[CAT]]="",0,1)</f>
        <v>1</v>
      </c>
      <c r="W11" s="20">
        <v>46135</v>
      </c>
      <c r="X11" s="21" t="str">
        <f>UPPER(IF(AUDITORIA[[#This Row],[DATA VERIFICAÇÃO]]="","",TEXT(AUDITORIA[[#This Row],[DATA VERIFICAÇÃO]],"mmm")))</f>
        <v>ABR</v>
      </c>
      <c r="Y11" t="s">
        <v>598</v>
      </c>
      <c r="Z11" t="s">
        <v>599</v>
      </c>
      <c r="AA11" t="s">
        <v>600</v>
      </c>
    </row>
    <row r="12" spans="1:27" ht="14.4" hidden="1" customHeight="1" x14ac:dyDescent="0.3">
      <c r="A12" s="4" t="s">
        <v>279</v>
      </c>
      <c r="B12" s="4" t="s">
        <v>17</v>
      </c>
      <c r="C12" s="16" t="s">
        <v>18</v>
      </c>
      <c r="D12" s="4">
        <v>11</v>
      </c>
      <c r="E12" s="4" t="s">
        <v>745</v>
      </c>
      <c r="F12" t="s">
        <v>474</v>
      </c>
      <c r="G12" t="s">
        <v>442</v>
      </c>
      <c r="H12" t="s">
        <v>445</v>
      </c>
      <c r="I12" t="s">
        <v>443</v>
      </c>
      <c r="J12" s="4" t="s">
        <v>55</v>
      </c>
      <c r="K12" s="4" t="s">
        <v>20</v>
      </c>
      <c r="L12" s="4" t="s">
        <v>742</v>
      </c>
      <c r="M12" s="17">
        <v>30</v>
      </c>
      <c r="N12" s="17">
        <v>742</v>
      </c>
      <c r="O12" s="18" t="s">
        <v>55</v>
      </c>
      <c r="P12" s="18">
        <v>742</v>
      </c>
      <c r="Q12" s="18">
        <v>30</v>
      </c>
      <c r="R12" s="18"/>
      <c r="S12" s="18"/>
      <c r="T12" s="18"/>
      <c r="U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" s="19">
        <f>IF(AUDITORIA[[#This Row],[CAT]]="",0,1)</f>
        <v>1</v>
      </c>
      <c r="W12" s="20">
        <v>46135</v>
      </c>
      <c r="X12" s="21" t="str">
        <f>UPPER(IF(AUDITORIA[[#This Row],[DATA VERIFICAÇÃO]]="","",TEXT(AUDITORIA[[#This Row],[DATA VERIFICAÇÃO]],"mmm")))</f>
        <v>ABR</v>
      </c>
      <c r="Y12" t="s">
        <v>598</v>
      </c>
      <c r="Z12" t="s">
        <v>599</v>
      </c>
      <c r="AA12" t="s">
        <v>600</v>
      </c>
    </row>
    <row r="13" spans="1:27" ht="14.4" hidden="1" customHeight="1" x14ac:dyDescent="0.3">
      <c r="A13" s="4" t="s">
        <v>279</v>
      </c>
      <c r="B13" s="4" t="s">
        <v>17</v>
      </c>
      <c r="C13" s="16" t="s">
        <v>18</v>
      </c>
      <c r="D13" s="4">
        <v>11</v>
      </c>
      <c r="E13" s="4" t="s">
        <v>745</v>
      </c>
      <c r="F13" t="s">
        <v>472</v>
      </c>
      <c r="G13" t="s">
        <v>442</v>
      </c>
      <c r="H13" t="s">
        <v>445</v>
      </c>
      <c r="I13" t="s">
        <v>443</v>
      </c>
      <c r="J13" s="4" t="s">
        <v>55</v>
      </c>
      <c r="K13" s="4" t="s">
        <v>20</v>
      </c>
      <c r="L13" s="4" t="s">
        <v>742</v>
      </c>
      <c r="M13" s="17">
        <v>30</v>
      </c>
      <c r="N13" s="17">
        <v>755</v>
      </c>
      <c r="O13" s="18" t="s">
        <v>55</v>
      </c>
      <c r="P13" s="18">
        <v>755</v>
      </c>
      <c r="Q13" s="18">
        <v>30</v>
      </c>
      <c r="R13" s="18"/>
      <c r="S13" s="18"/>
      <c r="T13" s="18"/>
      <c r="U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" s="19">
        <f>IF(AUDITORIA[[#This Row],[CAT]]="",0,1)</f>
        <v>1</v>
      </c>
      <c r="W13" s="20">
        <v>46135</v>
      </c>
      <c r="X13" s="21" t="str">
        <f>UPPER(IF(AUDITORIA[[#This Row],[DATA VERIFICAÇÃO]]="","",TEXT(AUDITORIA[[#This Row],[DATA VERIFICAÇÃO]],"mmm")))</f>
        <v>ABR</v>
      </c>
      <c r="Y13" t="s">
        <v>598</v>
      </c>
      <c r="Z13" t="s">
        <v>599</v>
      </c>
      <c r="AA13" t="s">
        <v>600</v>
      </c>
    </row>
    <row r="14" spans="1:27" ht="14.4" hidden="1" customHeight="1" x14ac:dyDescent="0.3">
      <c r="A14" s="4" t="s">
        <v>279</v>
      </c>
      <c r="B14" s="4" t="s">
        <v>17</v>
      </c>
      <c r="C14" s="16" t="s">
        <v>18</v>
      </c>
      <c r="D14" s="4">
        <v>11</v>
      </c>
      <c r="E14" s="4" t="s">
        <v>745</v>
      </c>
      <c r="F14" t="s">
        <v>471</v>
      </c>
      <c r="G14" t="s">
        <v>442</v>
      </c>
      <c r="H14" t="s">
        <v>445</v>
      </c>
      <c r="I14" t="s">
        <v>443</v>
      </c>
      <c r="J14" s="4" t="s">
        <v>55</v>
      </c>
      <c r="K14" s="4" t="s">
        <v>20</v>
      </c>
      <c r="L14" s="4" t="s">
        <v>742</v>
      </c>
      <c r="M14" s="17">
        <v>30</v>
      </c>
      <c r="N14" s="17">
        <v>755</v>
      </c>
      <c r="O14" s="18" t="s">
        <v>55</v>
      </c>
      <c r="P14" s="18">
        <v>755</v>
      </c>
      <c r="Q14" s="18">
        <v>30</v>
      </c>
      <c r="R14" s="18"/>
      <c r="S14" s="18"/>
      <c r="T14" s="18"/>
      <c r="U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" s="19">
        <f>IF(AUDITORIA[[#This Row],[CAT]]="",0,1)</f>
        <v>1</v>
      </c>
      <c r="W14" s="20">
        <v>46135</v>
      </c>
      <c r="X14" s="21" t="str">
        <f>UPPER(IF(AUDITORIA[[#This Row],[DATA VERIFICAÇÃO]]="","",TEXT(AUDITORIA[[#This Row],[DATA VERIFICAÇÃO]],"mmm")))</f>
        <v>ABR</v>
      </c>
      <c r="Y14" t="s">
        <v>598</v>
      </c>
      <c r="Z14" t="s">
        <v>599</v>
      </c>
      <c r="AA14" t="s">
        <v>600</v>
      </c>
    </row>
    <row r="15" spans="1:27" ht="14.4" hidden="1" customHeight="1" x14ac:dyDescent="0.3">
      <c r="A15" s="4" t="s">
        <v>279</v>
      </c>
      <c r="B15" s="4" t="s">
        <v>17</v>
      </c>
      <c r="C15" s="16" t="s">
        <v>18</v>
      </c>
      <c r="D15" s="4">
        <v>11</v>
      </c>
      <c r="E15" s="4" t="s">
        <v>745</v>
      </c>
      <c r="F15" t="s">
        <v>470</v>
      </c>
      <c r="G15" t="s">
        <v>442</v>
      </c>
      <c r="H15" t="s">
        <v>445</v>
      </c>
      <c r="I15" t="s">
        <v>443</v>
      </c>
      <c r="J15" s="4" t="s">
        <v>55</v>
      </c>
      <c r="K15" s="4" t="s">
        <v>20</v>
      </c>
      <c r="L15" s="4" t="s">
        <v>742</v>
      </c>
      <c r="M15" s="17">
        <v>30</v>
      </c>
      <c r="N15" s="17">
        <v>767</v>
      </c>
      <c r="O15" s="18" t="s">
        <v>55</v>
      </c>
      <c r="P15" s="18">
        <v>767</v>
      </c>
      <c r="Q15" s="18">
        <v>30</v>
      </c>
      <c r="R15" s="18"/>
      <c r="S15" s="18"/>
      <c r="T15" s="18"/>
      <c r="U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" s="19">
        <f>IF(AUDITORIA[[#This Row],[CAT]]="",0,1)</f>
        <v>1</v>
      </c>
      <c r="W15" s="20">
        <v>46135</v>
      </c>
      <c r="X15" s="21" t="str">
        <f>UPPER(IF(AUDITORIA[[#This Row],[DATA VERIFICAÇÃO]]="","",TEXT(AUDITORIA[[#This Row],[DATA VERIFICAÇÃO]],"mmm")))</f>
        <v>ABR</v>
      </c>
      <c r="Y15" t="s">
        <v>598</v>
      </c>
      <c r="Z15" t="s">
        <v>599</v>
      </c>
      <c r="AA15" t="s">
        <v>600</v>
      </c>
    </row>
    <row r="16" spans="1:27" ht="14.4" hidden="1" customHeight="1" x14ac:dyDescent="0.3">
      <c r="A16" s="4" t="s">
        <v>279</v>
      </c>
      <c r="B16" s="4" t="s">
        <v>17</v>
      </c>
      <c r="C16" s="16" t="s">
        <v>18</v>
      </c>
      <c r="D16" s="4">
        <v>11</v>
      </c>
      <c r="E16" s="4" t="s">
        <v>745</v>
      </c>
      <c r="F16" t="s">
        <v>467</v>
      </c>
      <c r="G16" t="s">
        <v>442</v>
      </c>
      <c r="H16" t="s">
        <v>445</v>
      </c>
      <c r="I16" t="s">
        <v>443</v>
      </c>
      <c r="J16" s="4" t="s">
        <v>55</v>
      </c>
      <c r="K16" s="4" t="s">
        <v>20</v>
      </c>
      <c r="L16" s="4" t="s">
        <v>742</v>
      </c>
      <c r="M16" s="17">
        <v>30</v>
      </c>
      <c r="N16" s="17">
        <v>746</v>
      </c>
      <c r="O16" s="18" t="s">
        <v>55</v>
      </c>
      <c r="P16" s="18">
        <v>746</v>
      </c>
      <c r="Q16" s="18">
        <v>30</v>
      </c>
      <c r="R16" s="18"/>
      <c r="S16" s="18"/>
      <c r="T16" s="18"/>
      <c r="U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" s="19">
        <f>IF(AUDITORIA[[#This Row],[CAT]]="",0,1)</f>
        <v>1</v>
      </c>
      <c r="W16" s="20">
        <v>46135</v>
      </c>
      <c r="X16" s="21" t="str">
        <f>UPPER(IF(AUDITORIA[[#This Row],[DATA VERIFICAÇÃO]]="","",TEXT(AUDITORIA[[#This Row],[DATA VERIFICAÇÃO]],"mmm")))</f>
        <v>ABR</v>
      </c>
      <c r="Y16" t="s">
        <v>598</v>
      </c>
      <c r="Z16" t="s">
        <v>599</v>
      </c>
      <c r="AA16" t="s">
        <v>600</v>
      </c>
    </row>
    <row r="17" spans="1:27" ht="14.4" hidden="1" customHeight="1" x14ac:dyDescent="0.3">
      <c r="A17" s="4" t="s">
        <v>279</v>
      </c>
      <c r="B17" s="4" t="s">
        <v>17</v>
      </c>
      <c r="C17" s="16" t="s">
        <v>18</v>
      </c>
      <c r="D17" s="4">
        <v>11</v>
      </c>
      <c r="E17" s="4" t="s">
        <v>745</v>
      </c>
      <c r="F17" t="s">
        <v>465</v>
      </c>
      <c r="G17" t="s">
        <v>442</v>
      </c>
      <c r="H17" t="s">
        <v>445</v>
      </c>
      <c r="I17" t="s">
        <v>443</v>
      </c>
      <c r="J17" s="4" t="s">
        <v>55</v>
      </c>
      <c r="K17" s="4" t="s">
        <v>20</v>
      </c>
      <c r="L17" s="4" t="s">
        <v>742</v>
      </c>
      <c r="M17" s="17">
        <v>30</v>
      </c>
      <c r="N17" s="17">
        <v>750</v>
      </c>
      <c r="O17" s="18" t="s">
        <v>55</v>
      </c>
      <c r="P17" s="18">
        <v>750</v>
      </c>
      <c r="Q17" s="18">
        <v>30</v>
      </c>
      <c r="R17" s="18"/>
      <c r="S17" s="18"/>
      <c r="T17" s="18"/>
      <c r="U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" s="19">
        <f>IF(AUDITORIA[[#This Row],[CAT]]="",0,1)</f>
        <v>1</v>
      </c>
      <c r="W17" s="20">
        <v>46135</v>
      </c>
      <c r="X17" s="21" t="str">
        <f>UPPER(IF(AUDITORIA[[#This Row],[DATA VERIFICAÇÃO]]="","",TEXT(AUDITORIA[[#This Row],[DATA VERIFICAÇÃO]],"mmm")))</f>
        <v>ABR</v>
      </c>
      <c r="Y17" t="s">
        <v>598</v>
      </c>
      <c r="Z17" t="s">
        <v>599</v>
      </c>
      <c r="AA17" t="s">
        <v>600</v>
      </c>
    </row>
    <row r="18" spans="1:27" ht="14.4" hidden="1" customHeight="1" x14ac:dyDescent="0.3">
      <c r="A18" s="4" t="s">
        <v>279</v>
      </c>
      <c r="B18" s="4" t="s">
        <v>17</v>
      </c>
      <c r="C18" s="16" t="s">
        <v>18</v>
      </c>
      <c r="D18" s="4">
        <v>11</v>
      </c>
      <c r="E18" s="4" t="s">
        <v>745</v>
      </c>
      <c r="F18" t="s">
        <v>461</v>
      </c>
      <c r="G18" t="s">
        <v>442</v>
      </c>
      <c r="H18" t="s">
        <v>445</v>
      </c>
      <c r="I18" t="s">
        <v>443</v>
      </c>
      <c r="J18" s="4" t="s">
        <v>55</v>
      </c>
      <c r="K18" s="4" t="s">
        <v>20</v>
      </c>
      <c r="L18" s="4" t="s">
        <v>742</v>
      </c>
      <c r="M18" s="17">
        <v>30</v>
      </c>
      <c r="N18" s="17">
        <v>765</v>
      </c>
      <c r="O18" s="18" t="s">
        <v>55</v>
      </c>
      <c r="P18" s="18">
        <v>765</v>
      </c>
      <c r="Q18" s="18">
        <v>30</v>
      </c>
      <c r="R18" s="18"/>
      <c r="S18" s="18"/>
      <c r="T18" s="18"/>
      <c r="U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" s="19">
        <f>IF(AUDITORIA[[#This Row],[CAT]]="",0,1)</f>
        <v>1</v>
      </c>
      <c r="W18" s="20">
        <v>46135</v>
      </c>
      <c r="X18" s="21" t="str">
        <f>UPPER(IF(AUDITORIA[[#This Row],[DATA VERIFICAÇÃO]]="","",TEXT(AUDITORIA[[#This Row],[DATA VERIFICAÇÃO]],"mmm")))</f>
        <v>ABR</v>
      </c>
      <c r="Y18" t="s">
        <v>598</v>
      </c>
      <c r="Z18" t="s">
        <v>599</v>
      </c>
      <c r="AA18" t="s">
        <v>600</v>
      </c>
    </row>
    <row r="19" spans="1:27" ht="14.4" hidden="1" customHeight="1" x14ac:dyDescent="0.3">
      <c r="A19" s="4" t="s">
        <v>279</v>
      </c>
      <c r="B19" s="4" t="s">
        <v>17</v>
      </c>
      <c r="C19" s="16" t="s">
        <v>18</v>
      </c>
      <c r="D19" s="4">
        <v>11</v>
      </c>
      <c r="E19" s="4" t="s">
        <v>745</v>
      </c>
      <c r="F19" t="s">
        <v>460</v>
      </c>
      <c r="G19" t="s">
        <v>442</v>
      </c>
      <c r="H19" t="s">
        <v>445</v>
      </c>
      <c r="I19" t="s">
        <v>443</v>
      </c>
      <c r="J19" s="4" t="s">
        <v>55</v>
      </c>
      <c r="K19" s="4" t="s">
        <v>20</v>
      </c>
      <c r="L19" s="4" t="s">
        <v>742</v>
      </c>
      <c r="M19" s="17">
        <v>30</v>
      </c>
      <c r="N19" s="17">
        <v>768</v>
      </c>
      <c r="O19" s="18" t="s">
        <v>55</v>
      </c>
      <c r="P19" s="18">
        <v>768</v>
      </c>
      <c r="Q19" s="18">
        <v>30</v>
      </c>
      <c r="R19" s="18"/>
      <c r="S19" s="18"/>
      <c r="T19" s="18"/>
      <c r="U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" s="19">
        <f>IF(AUDITORIA[[#This Row],[CAT]]="",0,1)</f>
        <v>1</v>
      </c>
      <c r="W19" s="20">
        <v>46135</v>
      </c>
      <c r="X19" s="21" t="str">
        <f>UPPER(IF(AUDITORIA[[#This Row],[DATA VERIFICAÇÃO]]="","",TEXT(AUDITORIA[[#This Row],[DATA VERIFICAÇÃO]],"mmm")))</f>
        <v>ABR</v>
      </c>
      <c r="Y19" t="s">
        <v>598</v>
      </c>
      <c r="Z19" t="s">
        <v>599</v>
      </c>
      <c r="AA19" t="s">
        <v>600</v>
      </c>
    </row>
    <row r="20" spans="1:27" ht="14.4" hidden="1" customHeight="1" x14ac:dyDescent="0.3">
      <c r="A20" s="4" t="s">
        <v>279</v>
      </c>
      <c r="B20" s="4" t="s">
        <v>17</v>
      </c>
      <c r="C20" s="16" t="s">
        <v>18</v>
      </c>
      <c r="D20" s="4">
        <v>11</v>
      </c>
      <c r="E20" s="4" t="s">
        <v>745</v>
      </c>
      <c r="F20" t="s">
        <v>458</v>
      </c>
      <c r="G20" t="s">
        <v>442</v>
      </c>
      <c r="H20" t="s">
        <v>445</v>
      </c>
      <c r="I20" t="s">
        <v>443</v>
      </c>
      <c r="J20" s="4" t="s">
        <v>55</v>
      </c>
      <c r="K20" s="4" t="s">
        <v>20</v>
      </c>
      <c r="L20" s="4" t="s">
        <v>742</v>
      </c>
      <c r="M20" s="17">
        <v>30</v>
      </c>
      <c r="N20" s="17">
        <v>763</v>
      </c>
      <c r="O20" s="18" t="s">
        <v>55</v>
      </c>
      <c r="P20" s="18">
        <v>763</v>
      </c>
      <c r="Q20" s="18">
        <v>30</v>
      </c>
      <c r="R20" s="18"/>
      <c r="S20" s="18"/>
      <c r="T20" s="18"/>
      <c r="U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" s="19">
        <f>IF(AUDITORIA[[#This Row],[CAT]]="",0,1)</f>
        <v>1</v>
      </c>
      <c r="W20" s="20">
        <v>46135</v>
      </c>
      <c r="X20" s="21" t="str">
        <f>UPPER(IF(AUDITORIA[[#This Row],[DATA VERIFICAÇÃO]]="","",TEXT(AUDITORIA[[#This Row],[DATA VERIFICAÇÃO]],"mmm")))</f>
        <v>ABR</v>
      </c>
      <c r="Y20" t="s">
        <v>598</v>
      </c>
      <c r="Z20" t="s">
        <v>599</v>
      </c>
      <c r="AA20" t="s">
        <v>600</v>
      </c>
    </row>
    <row r="21" spans="1:27" ht="14.4" hidden="1" customHeight="1" x14ac:dyDescent="0.3">
      <c r="A21" s="4" t="s">
        <v>279</v>
      </c>
      <c r="B21" s="4" t="s">
        <v>17</v>
      </c>
      <c r="C21" s="16" t="s">
        <v>18</v>
      </c>
      <c r="D21" s="4">
        <v>11</v>
      </c>
      <c r="E21" s="4" t="s">
        <v>745</v>
      </c>
      <c r="F21" t="s">
        <v>457</v>
      </c>
      <c r="G21" t="s">
        <v>442</v>
      </c>
      <c r="H21" t="s">
        <v>445</v>
      </c>
      <c r="I21" t="s">
        <v>443</v>
      </c>
      <c r="J21" s="4" t="s">
        <v>55</v>
      </c>
      <c r="K21" s="4" t="s">
        <v>20</v>
      </c>
      <c r="L21" s="4" t="s">
        <v>742</v>
      </c>
      <c r="M21" s="17">
        <v>30</v>
      </c>
      <c r="N21" s="17">
        <v>761</v>
      </c>
      <c r="O21" s="18" t="s">
        <v>55</v>
      </c>
      <c r="P21" s="18">
        <v>761</v>
      </c>
      <c r="Q21" s="18">
        <v>30</v>
      </c>
      <c r="R21" s="18"/>
      <c r="S21" s="18"/>
      <c r="T21" s="18"/>
      <c r="U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" s="19">
        <f>IF(AUDITORIA[[#This Row],[CAT]]="",0,1)</f>
        <v>1</v>
      </c>
      <c r="W21" s="20">
        <v>46135</v>
      </c>
      <c r="X21" s="21" t="str">
        <f>UPPER(IF(AUDITORIA[[#This Row],[DATA VERIFICAÇÃO]]="","",TEXT(AUDITORIA[[#This Row],[DATA VERIFICAÇÃO]],"mmm")))</f>
        <v>ABR</v>
      </c>
      <c r="Y21" t="s">
        <v>598</v>
      </c>
      <c r="Z21" t="s">
        <v>599</v>
      </c>
      <c r="AA21" t="s">
        <v>600</v>
      </c>
    </row>
    <row r="22" spans="1:27" ht="14.4" hidden="1" customHeight="1" x14ac:dyDescent="0.3">
      <c r="A22" s="4" t="s">
        <v>279</v>
      </c>
      <c r="B22" s="4" t="s">
        <v>17</v>
      </c>
      <c r="C22" s="16" t="s">
        <v>18</v>
      </c>
      <c r="D22" s="4">
        <v>11</v>
      </c>
      <c r="E22" s="4" t="s">
        <v>745</v>
      </c>
      <c r="F22" t="s">
        <v>455</v>
      </c>
      <c r="G22" t="s">
        <v>442</v>
      </c>
      <c r="H22" t="s">
        <v>445</v>
      </c>
      <c r="I22" t="s">
        <v>443</v>
      </c>
      <c r="J22" s="4" t="s">
        <v>55</v>
      </c>
      <c r="K22" s="4" t="s">
        <v>20</v>
      </c>
      <c r="L22" s="4" t="s">
        <v>742</v>
      </c>
      <c r="M22" s="17">
        <v>30</v>
      </c>
      <c r="N22" s="17">
        <v>757</v>
      </c>
      <c r="O22" s="18" t="s">
        <v>55</v>
      </c>
      <c r="P22" s="18">
        <v>757</v>
      </c>
      <c r="Q22" s="18">
        <v>30</v>
      </c>
      <c r="R22" s="18"/>
      <c r="S22" s="18"/>
      <c r="T22" s="18"/>
      <c r="U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" s="19">
        <f>IF(AUDITORIA[[#This Row],[CAT]]="",0,1)</f>
        <v>1</v>
      </c>
      <c r="W22" s="20">
        <v>46135</v>
      </c>
      <c r="X22" s="21" t="str">
        <f>UPPER(IF(AUDITORIA[[#This Row],[DATA VERIFICAÇÃO]]="","",TEXT(AUDITORIA[[#This Row],[DATA VERIFICAÇÃO]],"mmm")))</f>
        <v>ABR</v>
      </c>
      <c r="Y22" t="s">
        <v>598</v>
      </c>
      <c r="Z22" t="s">
        <v>599</v>
      </c>
      <c r="AA22" t="s">
        <v>600</v>
      </c>
    </row>
    <row r="23" spans="1:27" ht="14.4" hidden="1" customHeight="1" x14ac:dyDescent="0.3">
      <c r="A23" s="4" t="s">
        <v>279</v>
      </c>
      <c r="B23" s="4" t="s">
        <v>17</v>
      </c>
      <c r="C23" s="16" t="s">
        <v>18</v>
      </c>
      <c r="D23" s="4">
        <v>11</v>
      </c>
      <c r="E23" s="4" t="s">
        <v>745</v>
      </c>
      <c r="F23" t="s">
        <v>453</v>
      </c>
      <c r="G23" t="s">
        <v>442</v>
      </c>
      <c r="H23" t="s">
        <v>445</v>
      </c>
      <c r="I23" t="s">
        <v>443</v>
      </c>
      <c r="J23" s="4" t="s">
        <v>55</v>
      </c>
      <c r="K23" s="4" t="s">
        <v>20</v>
      </c>
      <c r="L23" s="4" t="s">
        <v>742</v>
      </c>
      <c r="M23" s="17">
        <v>30</v>
      </c>
      <c r="N23" s="17">
        <v>767</v>
      </c>
      <c r="O23" s="18" t="s">
        <v>55</v>
      </c>
      <c r="P23" s="18">
        <v>767</v>
      </c>
      <c r="Q23" s="18">
        <v>30</v>
      </c>
      <c r="R23" s="18"/>
      <c r="S23" s="18"/>
      <c r="T23" s="18"/>
      <c r="U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" s="19">
        <f>IF(AUDITORIA[[#This Row],[CAT]]="",0,1)</f>
        <v>1</v>
      </c>
      <c r="W23" s="20">
        <v>46135</v>
      </c>
      <c r="X23" s="21" t="str">
        <f>UPPER(IF(AUDITORIA[[#This Row],[DATA VERIFICAÇÃO]]="","",TEXT(AUDITORIA[[#This Row],[DATA VERIFICAÇÃO]],"mmm")))</f>
        <v>ABR</v>
      </c>
      <c r="Y23" t="s">
        <v>598</v>
      </c>
      <c r="Z23" t="s">
        <v>599</v>
      </c>
      <c r="AA23" t="s">
        <v>600</v>
      </c>
    </row>
    <row r="24" spans="1:27" ht="14.4" hidden="1" customHeight="1" x14ac:dyDescent="0.3">
      <c r="A24" s="4" t="s">
        <v>279</v>
      </c>
      <c r="B24" s="4" t="s">
        <v>17</v>
      </c>
      <c r="C24" s="16" t="s">
        <v>18</v>
      </c>
      <c r="D24" s="4">
        <v>11</v>
      </c>
      <c r="E24" s="4" t="s">
        <v>745</v>
      </c>
      <c r="F24" t="s">
        <v>452</v>
      </c>
      <c r="G24" t="s">
        <v>442</v>
      </c>
      <c r="H24" t="s">
        <v>445</v>
      </c>
      <c r="I24" t="s">
        <v>443</v>
      </c>
      <c r="J24" s="4" t="s">
        <v>55</v>
      </c>
      <c r="K24" s="4" t="s">
        <v>20</v>
      </c>
      <c r="L24" s="4" t="s">
        <v>742</v>
      </c>
      <c r="M24" s="17">
        <v>30</v>
      </c>
      <c r="N24" s="17">
        <v>750</v>
      </c>
      <c r="O24" s="18" t="s">
        <v>55</v>
      </c>
      <c r="P24" s="18">
        <v>750</v>
      </c>
      <c r="Q24" s="18">
        <v>30</v>
      </c>
      <c r="R24" s="18"/>
      <c r="S24" s="18"/>
      <c r="T24" s="18"/>
      <c r="U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" s="19">
        <f>IF(AUDITORIA[[#This Row],[CAT]]="",0,1)</f>
        <v>1</v>
      </c>
      <c r="W24" s="20">
        <v>46135</v>
      </c>
      <c r="X24" s="21" t="str">
        <f>UPPER(IF(AUDITORIA[[#This Row],[DATA VERIFICAÇÃO]]="","",TEXT(AUDITORIA[[#This Row],[DATA VERIFICAÇÃO]],"mmm")))</f>
        <v>ABR</v>
      </c>
      <c r="Y24" t="s">
        <v>598</v>
      </c>
      <c r="Z24" t="s">
        <v>599</v>
      </c>
      <c r="AA24" t="s">
        <v>600</v>
      </c>
    </row>
    <row r="25" spans="1:27" ht="14.4" hidden="1" customHeight="1" x14ac:dyDescent="0.3">
      <c r="A25" s="4" t="s">
        <v>279</v>
      </c>
      <c r="B25" s="4" t="s">
        <v>17</v>
      </c>
      <c r="C25" s="16" t="s">
        <v>18</v>
      </c>
      <c r="D25" s="4">
        <v>11</v>
      </c>
      <c r="E25" s="4" t="s">
        <v>745</v>
      </c>
      <c r="F25" t="s">
        <v>449</v>
      </c>
      <c r="G25" t="s">
        <v>442</v>
      </c>
      <c r="H25" t="s">
        <v>445</v>
      </c>
      <c r="I25" t="s">
        <v>443</v>
      </c>
      <c r="J25" s="4" t="s">
        <v>55</v>
      </c>
      <c r="K25" s="4" t="s">
        <v>20</v>
      </c>
      <c r="L25" s="4" t="s">
        <v>742</v>
      </c>
      <c r="M25" s="17">
        <v>30</v>
      </c>
      <c r="N25" s="17">
        <v>759</v>
      </c>
      <c r="O25" s="18" t="s">
        <v>55</v>
      </c>
      <c r="P25" s="18">
        <v>759</v>
      </c>
      <c r="Q25" s="18">
        <v>30</v>
      </c>
      <c r="R25" s="18"/>
      <c r="S25" s="18"/>
      <c r="T25" s="18"/>
      <c r="U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" s="19">
        <f>IF(AUDITORIA[[#This Row],[CAT]]="",0,1)</f>
        <v>1</v>
      </c>
      <c r="W25" s="20">
        <v>46135</v>
      </c>
      <c r="X25" s="21" t="str">
        <f>UPPER(IF(AUDITORIA[[#This Row],[DATA VERIFICAÇÃO]]="","",TEXT(AUDITORIA[[#This Row],[DATA VERIFICAÇÃO]],"mmm")))</f>
        <v>ABR</v>
      </c>
      <c r="Y25" t="s">
        <v>598</v>
      </c>
      <c r="Z25" t="s">
        <v>599</v>
      </c>
      <c r="AA25" t="s">
        <v>600</v>
      </c>
    </row>
    <row r="26" spans="1:27" ht="14.4" hidden="1" customHeight="1" x14ac:dyDescent="0.3">
      <c r="A26" s="4" t="s">
        <v>279</v>
      </c>
      <c r="B26" s="4" t="s">
        <v>17</v>
      </c>
      <c r="C26" s="16" t="s">
        <v>18</v>
      </c>
      <c r="D26" s="4">
        <v>11</v>
      </c>
      <c r="E26" s="4" t="s">
        <v>745</v>
      </c>
      <c r="F26" t="s">
        <v>441</v>
      </c>
      <c r="G26" t="s">
        <v>442</v>
      </c>
      <c r="H26" t="s">
        <v>427</v>
      </c>
      <c r="I26" t="s">
        <v>443</v>
      </c>
      <c r="J26" s="4" t="s">
        <v>55</v>
      </c>
      <c r="K26" s="4" t="s">
        <v>20</v>
      </c>
      <c r="L26" s="4" t="s">
        <v>742</v>
      </c>
      <c r="M26" s="17">
        <v>8</v>
      </c>
      <c r="N26" s="17">
        <v>766</v>
      </c>
      <c r="O26" s="18" t="s">
        <v>55</v>
      </c>
      <c r="P26" s="18">
        <v>766</v>
      </c>
      <c r="Q26" s="18">
        <v>8</v>
      </c>
      <c r="R26" s="18"/>
      <c r="S26" s="18"/>
      <c r="T26" s="18"/>
      <c r="U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6" s="19">
        <f>IF(AUDITORIA[[#This Row],[CAT]]="",0,1)</f>
        <v>1</v>
      </c>
      <c r="W26" s="20">
        <v>46135</v>
      </c>
      <c r="X26" s="21" t="str">
        <f>UPPER(IF(AUDITORIA[[#This Row],[DATA VERIFICAÇÃO]]="","",TEXT(AUDITORIA[[#This Row],[DATA VERIFICAÇÃO]],"mmm")))</f>
        <v>ABR</v>
      </c>
      <c r="Y26" t="s">
        <v>598</v>
      </c>
      <c r="Z26" t="s">
        <v>599</v>
      </c>
      <c r="AA26" t="s">
        <v>600</v>
      </c>
    </row>
    <row r="27" spans="1:27" ht="14.4" hidden="1" customHeight="1" x14ac:dyDescent="0.3">
      <c r="A27" s="4" t="s">
        <v>279</v>
      </c>
      <c r="B27" s="4" t="s">
        <v>17</v>
      </c>
      <c r="C27" s="16" t="s">
        <v>18</v>
      </c>
      <c r="D27" s="4">
        <v>11</v>
      </c>
      <c r="E27" s="4" t="s">
        <v>745</v>
      </c>
      <c r="F27" t="s">
        <v>475</v>
      </c>
      <c r="G27" t="s">
        <v>442</v>
      </c>
      <c r="H27" t="s">
        <v>445</v>
      </c>
      <c r="I27" t="s">
        <v>443</v>
      </c>
      <c r="J27" s="4" t="s">
        <v>55</v>
      </c>
      <c r="K27" s="4" t="s">
        <v>21</v>
      </c>
      <c r="L27" s="4" t="s">
        <v>742</v>
      </c>
      <c r="M27" s="17">
        <v>27</v>
      </c>
      <c r="N27" s="17">
        <v>915</v>
      </c>
      <c r="O27" s="18" t="s">
        <v>55</v>
      </c>
      <c r="P27" s="18">
        <v>915</v>
      </c>
      <c r="Q27" s="18">
        <v>27</v>
      </c>
      <c r="R27" s="18"/>
      <c r="S27" s="18"/>
      <c r="T27" s="18"/>
      <c r="U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7" s="19">
        <f>IF(AUDITORIA[[#This Row],[CAT]]="",0,1)</f>
        <v>1</v>
      </c>
      <c r="W27" s="20">
        <v>46135</v>
      </c>
      <c r="X27" s="21" t="str">
        <f>UPPER(IF(AUDITORIA[[#This Row],[DATA VERIFICAÇÃO]]="","",TEXT(AUDITORIA[[#This Row],[DATA VERIFICAÇÃO]],"mmm")))</f>
        <v>ABR</v>
      </c>
      <c r="Y27" t="s">
        <v>598</v>
      </c>
      <c r="Z27" t="s">
        <v>599</v>
      </c>
      <c r="AA27" t="s">
        <v>600</v>
      </c>
    </row>
    <row r="28" spans="1:27" ht="14.4" hidden="1" customHeight="1" x14ac:dyDescent="0.3">
      <c r="A28" s="4" t="s">
        <v>279</v>
      </c>
      <c r="B28" s="4" t="s">
        <v>17</v>
      </c>
      <c r="C28" s="16" t="s">
        <v>18</v>
      </c>
      <c r="D28" s="4">
        <v>11</v>
      </c>
      <c r="E28" s="4" t="s">
        <v>745</v>
      </c>
      <c r="F28" t="s">
        <v>473</v>
      </c>
      <c r="G28" t="s">
        <v>442</v>
      </c>
      <c r="H28" t="s">
        <v>445</v>
      </c>
      <c r="I28" t="s">
        <v>443</v>
      </c>
      <c r="J28" s="4" t="s">
        <v>55</v>
      </c>
      <c r="K28" s="4" t="s">
        <v>21</v>
      </c>
      <c r="L28" s="4" t="s">
        <v>742</v>
      </c>
      <c r="M28" s="17">
        <v>30</v>
      </c>
      <c r="N28" s="17">
        <v>898</v>
      </c>
      <c r="O28" s="18" t="s">
        <v>55</v>
      </c>
      <c r="P28" s="18">
        <v>898</v>
      </c>
      <c r="Q28" s="18">
        <v>30</v>
      </c>
      <c r="R28" s="18"/>
      <c r="S28" s="18"/>
      <c r="T28" s="18"/>
      <c r="U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8" s="19">
        <f>IF(AUDITORIA[[#This Row],[CAT]]="",0,1)</f>
        <v>1</v>
      </c>
      <c r="W28" s="20">
        <v>46135</v>
      </c>
      <c r="X28" s="21" t="str">
        <f>UPPER(IF(AUDITORIA[[#This Row],[DATA VERIFICAÇÃO]]="","",TEXT(AUDITORIA[[#This Row],[DATA VERIFICAÇÃO]],"mmm")))</f>
        <v>ABR</v>
      </c>
      <c r="Y28" t="s">
        <v>598</v>
      </c>
      <c r="Z28" t="s">
        <v>599</v>
      </c>
      <c r="AA28" t="s">
        <v>600</v>
      </c>
    </row>
    <row r="29" spans="1:27" ht="14.4" hidden="1" customHeight="1" x14ac:dyDescent="0.3">
      <c r="A29" s="4" t="s">
        <v>279</v>
      </c>
      <c r="B29" s="4" t="s">
        <v>17</v>
      </c>
      <c r="C29" s="16" t="s">
        <v>18</v>
      </c>
      <c r="D29" s="4">
        <v>11</v>
      </c>
      <c r="E29" s="4" t="s">
        <v>745</v>
      </c>
      <c r="F29" t="s">
        <v>469</v>
      </c>
      <c r="G29" t="s">
        <v>442</v>
      </c>
      <c r="H29" t="s">
        <v>445</v>
      </c>
      <c r="I29" t="s">
        <v>443</v>
      </c>
      <c r="J29" s="4" t="s">
        <v>55</v>
      </c>
      <c r="K29" s="4" t="s">
        <v>21</v>
      </c>
      <c r="L29" s="4" t="s">
        <v>742</v>
      </c>
      <c r="M29" s="17">
        <v>27</v>
      </c>
      <c r="N29" s="17">
        <v>909</v>
      </c>
      <c r="O29" s="18" t="s">
        <v>55</v>
      </c>
      <c r="P29" s="18">
        <v>909</v>
      </c>
      <c r="Q29" s="18">
        <v>27</v>
      </c>
      <c r="R29" s="18"/>
      <c r="S29" s="18"/>
      <c r="T29" s="18"/>
      <c r="U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9" s="19">
        <f>IF(AUDITORIA[[#This Row],[CAT]]="",0,1)</f>
        <v>1</v>
      </c>
      <c r="W29" s="20">
        <v>46135</v>
      </c>
      <c r="X29" s="21" t="str">
        <f>UPPER(IF(AUDITORIA[[#This Row],[DATA VERIFICAÇÃO]]="","",TEXT(AUDITORIA[[#This Row],[DATA VERIFICAÇÃO]],"mmm")))</f>
        <v>ABR</v>
      </c>
      <c r="Y29" t="s">
        <v>598</v>
      </c>
      <c r="Z29" t="s">
        <v>599</v>
      </c>
      <c r="AA29" t="s">
        <v>600</v>
      </c>
    </row>
    <row r="30" spans="1:27" ht="14.4" hidden="1" customHeight="1" x14ac:dyDescent="0.3">
      <c r="A30" s="4" t="s">
        <v>279</v>
      </c>
      <c r="B30" s="4" t="s">
        <v>17</v>
      </c>
      <c r="C30" s="16" t="s">
        <v>18</v>
      </c>
      <c r="D30" s="4">
        <v>11</v>
      </c>
      <c r="E30" s="4" t="s">
        <v>745</v>
      </c>
      <c r="F30" t="s">
        <v>464</v>
      </c>
      <c r="G30" t="s">
        <v>442</v>
      </c>
      <c r="H30" t="s">
        <v>445</v>
      </c>
      <c r="I30" t="s">
        <v>443</v>
      </c>
      <c r="J30" s="4" t="s">
        <v>55</v>
      </c>
      <c r="K30" s="4" t="s">
        <v>21</v>
      </c>
      <c r="L30" s="4" t="s">
        <v>742</v>
      </c>
      <c r="M30" s="17">
        <v>27</v>
      </c>
      <c r="N30" s="17">
        <v>916</v>
      </c>
      <c r="O30" s="18" t="s">
        <v>55</v>
      </c>
      <c r="P30" s="18">
        <v>916</v>
      </c>
      <c r="Q30" s="18">
        <v>27</v>
      </c>
      <c r="R30" s="18"/>
      <c r="S30" s="18"/>
      <c r="T30" s="18"/>
      <c r="U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0" s="19">
        <f>IF(AUDITORIA[[#This Row],[CAT]]="",0,1)</f>
        <v>1</v>
      </c>
      <c r="W30" s="20">
        <v>46135</v>
      </c>
      <c r="X30" s="21" t="str">
        <f>UPPER(IF(AUDITORIA[[#This Row],[DATA VERIFICAÇÃO]]="","",TEXT(AUDITORIA[[#This Row],[DATA VERIFICAÇÃO]],"mmm")))</f>
        <v>ABR</v>
      </c>
      <c r="Y30" t="s">
        <v>598</v>
      </c>
      <c r="Z30" t="s">
        <v>599</v>
      </c>
      <c r="AA30" t="s">
        <v>600</v>
      </c>
    </row>
    <row r="31" spans="1:27" ht="14.4" hidden="1" customHeight="1" x14ac:dyDescent="0.3">
      <c r="A31" s="4" t="s">
        <v>279</v>
      </c>
      <c r="B31" s="4" t="s">
        <v>17</v>
      </c>
      <c r="C31" s="16" t="s">
        <v>18</v>
      </c>
      <c r="D31" s="4">
        <v>11</v>
      </c>
      <c r="E31" s="4" t="s">
        <v>745</v>
      </c>
      <c r="F31" t="s">
        <v>459</v>
      </c>
      <c r="G31" t="s">
        <v>442</v>
      </c>
      <c r="H31" t="s">
        <v>445</v>
      </c>
      <c r="I31" t="s">
        <v>443</v>
      </c>
      <c r="J31" s="4" t="s">
        <v>55</v>
      </c>
      <c r="K31" s="4" t="s">
        <v>21</v>
      </c>
      <c r="L31" s="4" t="s">
        <v>742</v>
      </c>
      <c r="M31" s="17">
        <v>27</v>
      </c>
      <c r="N31" s="17">
        <v>929</v>
      </c>
      <c r="O31" s="18" t="s">
        <v>55</v>
      </c>
      <c r="P31" s="18">
        <v>929</v>
      </c>
      <c r="Q31" s="18">
        <v>27</v>
      </c>
      <c r="R31" s="18"/>
      <c r="S31" s="18"/>
      <c r="T31" s="18"/>
      <c r="U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1" s="19">
        <f>IF(AUDITORIA[[#This Row],[CAT]]="",0,1)</f>
        <v>1</v>
      </c>
      <c r="W31" s="20">
        <v>46135</v>
      </c>
      <c r="X31" s="21" t="str">
        <f>UPPER(IF(AUDITORIA[[#This Row],[DATA VERIFICAÇÃO]]="","",TEXT(AUDITORIA[[#This Row],[DATA VERIFICAÇÃO]],"mmm")))</f>
        <v>ABR</v>
      </c>
      <c r="Y31" t="s">
        <v>598</v>
      </c>
      <c r="Z31" t="s">
        <v>599</v>
      </c>
      <c r="AA31" t="s">
        <v>600</v>
      </c>
    </row>
    <row r="32" spans="1:27" ht="14.4" hidden="1" customHeight="1" x14ac:dyDescent="0.3">
      <c r="A32" s="4" t="s">
        <v>279</v>
      </c>
      <c r="B32" s="4" t="s">
        <v>17</v>
      </c>
      <c r="C32" s="16" t="s">
        <v>18</v>
      </c>
      <c r="D32" s="4">
        <v>11</v>
      </c>
      <c r="E32" s="4" t="s">
        <v>745</v>
      </c>
      <c r="F32" t="s">
        <v>456</v>
      </c>
      <c r="G32" t="s">
        <v>442</v>
      </c>
      <c r="H32" t="s">
        <v>445</v>
      </c>
      <c r="I32" t="s">
        <v>443</v>
      </c>
      <c r="J32" s="4" t="s">
        <v>55</v>
      </c>
      <c r="K32" s="4" t="s">
        <v>21</v>
      </c>
      <c r="L32" s="4" t="s">
        <v>742</v>
      </c>
      <c r="M32" s="17">
        <v>27</v>
      </c>
      <c r="N32" s="17">
        <v>914</v>
      </c>
      <c r="O32" s="18" t="s">
        <v>55</v>
      </c>
      <c r="P32" s="18">
        <v>914</v>
      </c>
      <c r="Q32" s="18">
        <v>27</v>
      </c>
      <c r="R32" s="18"/>
      <c r="S32" s="18"/>
      <c r="T32" s="18"/>
      <c r="U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2" s="19">
        <f>IF(AUDITORIA[[#This Row],[CAT]]="",0,1)</f>
        <v>1</v>
      </c>
      <c r="W32" s="20">
        <v>46135</v>
      </c>
      <c r="X32" s="21" t="str">
        <f>UPPER(IF(AUDITORIA[[#This Row],[DATA VERIFICAÇÃO]]="","",TEXT(AUDITORIA[[#This Row],[DATA VERIFICAÇÃO]],"mmm")))</f>
        <v>ABR</v>
      </c>
      <c r="Y32" t="s">
        <v>598</v>
      </c>
      <c r="Z32" t="s">
        <v>599</v>
      </c>
      <c r="AA32" t="s">
        <v>600</v>
      </c>
    </row>
    <row r="33" spans="1:27" ht="14.4" hidden="1" customHeight="1" x14ac:dyDescent="0.3">
      <c r="A33" s="4" t="s">
        <v>279</v>
      </c>
      <c r="B33" s="4" t="s">
        <v>17</v>
      </c>
      <c r="C33" s="16" t="s">
        <v>18</v>
      </c>
      <c r="D33" s="4">
        <v>11</v>
      </c>
      <c r="E33" s="4" t="s">
        <v>745</v>
      </c>
      <c r="F33" t="s">
        <v>454</v>
      </c>
      <c r="G33" t="s">
        <v>442</v>
      </c>
      <c r="H33" t="s">
        <v>445</v>
      </c>
      <c r="I33" t="s">
        <v>443</v>
      </c>
      <c r="J33" s="4" t="s">
        <v>55</v>
      </c>
      <c r="K33" s="4" t="s">
        <v>21</v>
      </c>
      <c r="L33" s="4" t="s">
        <v>742</v>
      </c>
      <c r="M33" s="17">
        <v>30</v>
      </c>
      <c r="N33" s="17">
        <v>891</v>
      </c>
      <c r="O33" s="18" t="s">
        <v>55</v>
      </c>
      <c r="P33" s="18">
        <v>891</v>
      </c>
      <c r="Q33" s="18">
        <v>30</v>
      </c>
      <c r="R33" s="18"/>
      <c r="S33" s="18"/>
      <c r="T33" s="18"/>
      <c r="U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3" s="19">
        <f>IF(AUDITORIA[[#This Row],[CAT]]="",0,1)</f>
        <v>1</v>
      </c>
      <c r="W33" s="20">
        <v>46135</v>
      </c>
      <c r="X33" s="21" t="str">
        <f>UPPER(IF(AUDITORIA[[#This Row],[DATA VERIFICAÇÃO]]="","",TEXT(AUDITORIA[[#This Row],[DATA VERIFICAÇÃO]],"mmm")))</f>
        <v>ABR</v>
      </c>
      <c r="Y33" t="s">
        <v>598</v>
      </c>
      <c r="Z33" t="s">
        <v>599</v>
      </c>
      <c r="AA33" t="s">
        <v>600</v>
      </c>
    </row>
    <row r="34" spans="1:27" ht="14.4" hidden="1" customHeight="1" x14ac:dyDescent="0.3">
      <c r="A34" s="4" t="s">
        <v>279</v>
      </c>
      <c r="B34" s="4" t="s">
        <v>17</v>
      </c>
      <c r="C34" s="16" t="s">
        <v>18</v>
      </c>
      <c r="D34" s="4">
        <v>11</v>
      </c>
      <c r="E34" s="4" t="s">
        <v>745</v>
      </c>
      <c r="F34" t="s">
        <v>450</v>
      </c>
      <c r="G34" t="s">
        <v>442</v>
      </c>
      <c r="H34" t="s">
        <v>445</v>
      </c>
      <c r="I34" t="s">
        <v>443</v>
      </c>
      <c r="J34" s="4" t="s">
        <v>55</v>
      </c>
      <c r="K34" s="4" t="s">
        <v>21</v>
      </c>
      <c r="L34" s="4" t="s">
        <v>742</v>
      </c>
      <c r="M34" s="17">
        <v>27</v>
      </c>
      <c r="N34" s="17">
        <v>920</v>
      </c>
      <c r="O34" s="18" t="s">
        <v>55</v>
      </c>
      <c r="P34" s="18">
        <v>920</v>
      </c>
      <c r="Q34" s="18">
        <v>27</v>
      </c>
      <c r="R34" s="18"/>
      <c r="S34" s="18"/>
      <c r="T34" s="18"/>
      <c r="U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4" s="19">
        <f>IF(AUDITORIA[[#This Row],[CAT]]="",0,1)</f>
        <v>1</v>
      </c>
      <c r="W34" s="20">
        <v>46135</v>
      </c>
      <c r="X34" s="21" t="str">
        <f>UPPER(IF(AUDITORIA[[#This Row],[DATA VERIFICAÇÃO]]="","",TEXT(AUDITORIA[[#This Row],[DATA VERIFICAÇÃO]],"mmm")))</f>
        <v>ABR</v>
      </c>
      <c r="Y34" t="s">
        <v>598</v>
      </c>
      <c r="Z34" t="s">
        <v>599</v>
      </c>
      <c r="AA34" t="s">
        <v>600</v>
      </c>
    </row>
    <row r="35" spans="1:27" ht="14.4" hidden="1" customHeight="1" x14ac:dyDescent="0.3">
      <c r="A35" s="4" t="s">
        <v>279</v>
      </c>
      <c r="B35" s="4" t="s">
        <v>17</v>
      </c>
      <c r="C35" s="16" t="s">
        <v>18</v>
      </c>
      <c r="D35" s="4">
        <v>11</v>
      </c>
      <c r="E35" s="4" t="s">
        <v>745</v>
      </c>
      <c r="F35" t="s">
        <v>444</v>
      </c>
      <c r="G35" t="s">
        <v>442</v>
      </c>
      <c r="H35" t="s">
        <v>445</v>
      </c>
      <c r="I35" t="s">
        <v>443</v>
      </c>
      <c r="J35" s="4" t="s">
        <v>55</v>
      </c>
      <c r="K35" s="4" t="s">
        <v>21</v>
      </c>
      <c r="L35" s="4" t="s">
        <v>742</v>
      </c>
      <c r="M35" s="17">
        <v>7</v>
      </c>
      <c r="N35" s="17">
        <v>908</v>
      </c>
      <c r="O35" s="18" t="s">
        <v>55</v>
      </c>
      <c r="P35" s="18">
        <v>908</v>
      </c>
      <c r="Q35" s="18">
        <v>7</v>
      </c>
      <c r="R35" s="18"/>
      <c r="S35" s="18"/>
      <c r="T35" s="18"/>
      <c r="U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5" s="19">
        <f>IF(AUDITORIA[[#This Row],[CAT]]="",0,1)</f>
        <v>1</v>
      </c>
      <c r="W35" s="20">
        <v>46135</v>
      </c>
      <c r="X35" s="21" t="str">
        <f>UPPER(IF(AUDITORIA[[#This Row],[DATA VERIFICAÇÃO]]="","",TEXT(AUDITORIA[[#This Row],[DATA VERIFICAÇÃO]],"mmm")))</f>
        <v>ABR</v>
      </c>
      <c r="Y35" t="s">
        <v>598</v>
      </c>
      <c r="Z35" t="s">
        <v>599</v>
      </c>
      <c r="AA35" t="s">
        <v>600</v>
      </c>
    </row>
    <row r="36" spans="1:27" ht="14.4" hidden="1" customHeight="1" x14ac:dyDescent="0.3">
      <c r="A36" s="4" t="s">
        <v>279</v>
      </c>
      <c r="B36" s="4" t="s">
        <v>17</v>
      </c>
      <c r="C36" s="16" t="s">
        <v>18</v>
      </c>
      <c r="D36" s="4">
        <v>11</v>
      </c>
      <c r="E36" s="4" t="s">
        <v>745</v>
      </c>
      <c r="F36" t="s">
        <v>494</v>
      </c>
      <c r="G36" t="s">
        <v>399</v>
      </c>
      <c r="H36" t="s">
        <v>400</v>
      </c>
      <c r="I36" t="s">
        <v>401</v>
      </c>
      <c r="J36" s="4" t="s">
        <v>88</v>
      </c>
      <c r="K36" s="4" t="s">
        <v>20</v>
      </c>
      <c r="L36" s="4" t="s">
        <v>742</v>
      </c>
      <c r="M36" s="17">
        <v>30</v>
      </c>
      <c r="N36" s="17">
        <v>835</v>
      </c>
      <c r="O36" s="18" t="s">
        <v>88</v>
      </c>
      <c r="P36" s="18">
        <v>835</v>
      </c>
      <c r="Q36" s="18">
        <v>30</v>
      </c>
      <c r="R36" s="18"/>
      <c r="S36" s="18"/>
      <c r="T36" s="18"/>
      <c r="U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6" s="19">
        <f>IF(AUDITORIA[[#This Row],[CAT]]="",0,1)</f>
        <v>1</v>
      </c>
      <c r="W36" s="20">
        <v>46135</v>
      </c>
      <c r="X36" s="21" t="str">
        <f>UPPER(IF(AUDITORIA[[#This Row],[DATA VERIFICAÇÃO]]="","",TEXT(AUDITORIA[[#This Row],[DATA VERIFICAÇÃO]],"mmm")))</f>
        <v>ABR</v>
      </c>
      <c r="Y36" t="s">
        <v>598</v>
      </c>
      <c r="Z36" t="s">
        <v>599</v>
      </c>
      <c r="AA36" t="s">
        <v>600</v>
      </c>
    </row>
    <row r="37" spans="1:27" ht="14.4" hidden="1" customHeight="1" x14ac:dyDescent="0.3">
      <c r="A37" s="4" t="s">
        <v>279</v>
      </c>
      <c r="B37" s="4" t="s">
        <v>17</v>
      </c>
      <c r="C37" s="16" t="s">
        <v>18</v>
      </c>
      <c r="D37" s="4">
        <v>11</v>
      </c>
      <c r="E37" s="4" t="s">
        <v>745</v>
      </c>
      <c r="F37" t="s">
        <v>492</v>
      </c>
      <c r="G37" t="s">
        <v>399</v>
      </c>
      <c r="H37" t="s">
        <v>400</v>
      </c>
      <c r="I37" t="s">
        <v>401</v>
      </c>
      <c r="J37" s="4" t="s">
        <v>88</v>
      </c>
      <c r="K37" s="4" t="s">
        <v>20</v>
      </c>
      <c r="L37" s="4" t="s">
        <v>742</v>
      </c>
      <c r="M37" s="17">
        <v>30</v>
      </c>
      <c r="N37" s="17">
        <v>828</v>
      </c>
      <c r="O37" s="18" t="s">
        <v>88</v>
      </c>
      <c r="P37" s="18">
        <v>828</v>
      </c>
      <c r="Q37" s="18">
        <v>30</v>
      </c>
      <c r="R37" s="18"/>
      <c r="S37" s="18"/>
      <c r="T37" s="18"/>
      <c r="U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7" s="19">
        <f>IF(AUDITORIA[[#This Row],[CAT]]="",0,1)</f>
        <v>1</v>
      </c>
      <c r="W37" s="20">
        <v>46135</v>
      </c>
      <c r="X37" s="21" t="str">
        <f>UPPER(IF(AUDITORIA[[#This Row],[DATA VERIFICAÇÃO]]="","",TEXT(AUDITORIA[[#This Row],[DATA VERIFICAÇÃO]],"mmm")))</f>
        <v>ABR</v>
      </c>
      <c r="Y37" t="s">
        <v>598</v>
      </c>
      <c r="Z37" t="s">
        <v>599</v>
      </c>
      <c r="AA37" t="s">
        <v>600</v>
      </c>
    </row>
    <row r="38" spans="1:27" ht="14.4" hidden="1" customHeight="1" x14ac:dyDescent="0.3">
      <c r="A38" s="4" t="s">
        <v>279</v>
      </c>
      <c r="B38" s="4" t="s">
        <v>17</v>
      </c>
      <c r="C38" s="16" t="s">
        <v>18</v>
      </c>
      <c r="D38" s="4">
        <v>11</v>
      </c>
      <c r="E38" s="4" t="s">
        <v>745</v>
      </c>
      <c r="F38" t="s">
        <v>491</v>
      </c>
      <c r="G38" t="s">
        <v>399</v>
      </c>
      <c r="H38" t="s">
        <v>400</v>
      </c>
      <c r="I38" t="s">
        <v>401</v>
      </c>
      <c r="J38" s="4" t="s">
        <v>88</v>
      </c>
      <c r="K38" s="4" t="s">
        <v>20</v>
      </c>
      <c r="L38" s="4" t="s">
        <v>742</v>
      </c>
      <c r="M38" s="17">
        <v>30</v>
      </c>
      <c r="N38" s="17">
        <v>812</v>
      </c>
      <c r="O38" s="18" t="s">
        <v>88</v>
      </c>
      <c r="P38" s="18">
        <v>812</v>
      </c>
      <c r="Q38" s="18">
        <v>30</v>
      </c>
      <c r="R38" s="18"/>
      <c r="S38" s="18"/>
      <c r="T38" s="18"/>
      <c r="U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8" s="19">
        <f>IF(AUDITORIA[[#This Row],[CAT]]="",0,1)</f>
        <v>1</v>
      </c>
      <c r="W38" s="20">
        <v>46135</v>
      </c>
      <c r="X38" s="21" t="str">
        <f>UPPER(IF(AUDITORIA[[#This Row],[DATA VERIFICAÇÃO]]="","",TEXT(AUDITORIA[[#This Row],[DATA VERIFICAÇÃO]],"mmm")))</f>
        <v>ABR</v>
      </c>
      <c r="Y38" t="s">
        <v>598</v>
      </c>
      <c r="Z38" t="s">
        <v>599</v>
      </c>
      <c r="AA38" t="s">
        <v>600</v>
      </c>
    </row>
    <row r="39" spans="1:27" ht="14.4" hidden="1" customHeight="1" x14ac:dyDescent="0.3">
      <c r="A39" s="4" t="s">
        <v>279</v>
      </c>
      <c r="B39" s="4" t="s">
        <v>17</v>
      </c>
      <c r="C39" s="16" t="s">
        <v>18</v>
      </c>
      <c r="D39" s="4">
        <v>11</v>
      </c>
      <c r="E39" s="4" t="s">
        <v>745</v>
      </c>
      <c r="F39" t="s">
        <v>489</v>
      </c>
      <c r="G39" t="s">
        <v>399</v>
      </c>
      <c r="H39" t="s">
        <v>400</v>
      </c>
      <c r="I39" t="s">
        <v>401</v>
      </c>
      <c r="J39" s="4" t="s">
        <v>88</v>
      </c>
      <c r="K39" s="4" t="s">
        <v>20</v>
      </c>
      <c r="L39" s="4" t="s">
        <v>742</v>
      </c>
      <c r="M39" s="17">
        <v>30</v>
      </c>
      <c r="N39" s="17">
        <v>801</v>
      </c>
      <c r="O39" s="18" t="s">
        <v>88</v>
      </c>
      <c r="P39" s="18">
        <v>801</v>
      </c>
      <c r="Q39" s="18">
        <v>30</v>
      </c>
      <c r="R39" s="18"/>
      <c r="S39" s="18"/>
      <c r="T39" s="18"/>
      <c r="U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9" s="19">
        <f>IF(AUDITORIA[[#This Row],[CAT]]="",0,1)</f>
        <v>1</v>
      </c>
      <c r="W39" s="20">
        <v>46135</v>
      </c>
      <c r="X39" s="21" t="str">
        <f>UPPER(IF(AUDITORIA[[#This Row],[DATA VERIFICAÇÃO]]="","",TEXT(AUDITORIA[[#This Row],[DATA VERIFICAÇÃO]],"mmm")))</f>
        <v>ABR</v>
      </c>
      <c r="Y39" t="s">
        <v>598</v>
      </c>
      <c r="Z39" t="s">
        <v>599</v>
      </c>
      <c r="AA39" t="s">
        <v>600</v>
      </c>
    </row>
    <row r="40" spans="1:27" ht="14.4" hidden="1" customHeight="1" x14ac:dyDescent="0.3">
      <c r="A40" s="4" t="s">
        <v>279</v>
      </c>
      <c r="B40" s="4" t="s">
        <v>17</v>
      </c>
      <c r="C40" s="16" t="s">
        <v>18</v>
      </c>
      <c r="D40" s="4">
        <v>11</v>
      </c>
      <c r="E40" s="4" t="s">
        <v>745</v>
      </c>
      <c r="F40" t="s">
        <v>487</v>
      </c>
      <c r="G40" t="s">
        <v>399</v>
      </c>
      <c r="H40" t="s">
        <v>400</v>
      </c>
      <c r="I40" t="s">
        <v>401</v>
      </c>
      <c r="J40" s="4" t="s">
        <v>88</v>
      </c>
      <c r="K40" s="4" t="s">
        <v>20</v>
      </c>
      <c r="L40" s="4" t="s">
        <v>742</v>
      </c>
      <c r="M40" s="17">
        <v>30</v>
      </c>
      <c r="N40" s="17">
        <v>821</v>
      </c>
      <c r="O40" s="18" t="s">
        <v>88</v>
      </c>
      <c r="P40" s="18">
        <v>821</v>
      </c>
      <c r="Q40" s="18">
        <v>30</v>
      </c>
      <c r="R40" s="18"/>
      <c r="S40" s="18"/>
      <c r="T40" s="18"/>
      <c r="U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0" s="19">
        <f>IF(AUDITORIA[[#This Row],[CAT]]="",0,1)</f>
        <v>1</v>
      </c>
      <c r="W40" s="20">
        <v>46135</v>
      </c>
      <c r="X40" s="21" t="str">
        <f>UPPER(IF(AUDITORIA[[#This Row],[DATA VERIFICAÇÃO]]="","",TEXT(AUDITORIA[[#This Row],[DATA VERIFICAÇÃO]],"mmm")))</f>
        <v>ABR</v>
      </c>
      <c r="Y40" t="s">
        <v>598</v>
      </c>
      <c r="Z40" t="s">
        <v>599</v>
      </c>
      <c r="AA40" t="s">
        <v>600</v>
      </c>
    </row>
    <row r="41" spans="1:27" ht="14.4" hidden="1" customHeight="1" x14ac:dyDescent="0.3">
      <c r="A41" s="4" t="s">
        <v>279</v>
      </c>
      <c r="B41" s="4" t="s">
        <v>17</v>
      </c>
      <c r="C41" s="16" t="s">
        <v>18</v>
      </c>
      <c r="D41" s="4">
        <v>11</v>
      </c>
      <c r="E41" s="4" t="s">
        <v>745</v>
      </c>
      <c r="F41" t="s">
        <v>486</v>
      </c>
      <c r="G41" t="s">
        <v>399</v>
      </c>
      <c r="H41" t="s">
        <v>400</v>
      </c>
      <c r="I41" t="s">
        <v>401</v>
      </c>
      <c r="J41" s="4" t="s">
        <v>88</v>
      </c>
      <c r="K41" s="4" t="s">
        <v>20</v>
      </c>
      <c r="L41" s="4" t="s">
        <v>742</v>
      </c>
      <c r="M41" s="17">
        <v>30</v>
      </c>
      <c r="N41" s="17">
        <v>827</v>
      </c>
      <c r="O41" s="18" t="s">
        <v>88</v>
      </c>
      <c r="P41" s="18">
        <v>827</v>
      </c>
      <c r="Q41" s="18">
        <v>30</v>
      </c>
      <c r="R41" s="18"/>
      <c r="S41" s="18"/>
      <c r="T41" s="18"/>
      <c r="U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1" s="19">
        <f>IF(AUDITORIA[[#This Row],[CAT]]="",0,1)</f>
        <v>1</v>
      </c>
      <c r="W41" s="20">
        <v>46135</v>
      </c>
      <c r="X41" s="21" t="str">
        <f>UPPER(IF(AUDITORIA[[#This Row],[DATA VERIFICAÇÃO]]="","",TEXT(AUDITORIA[[#This Row],[DATA VERIFICAÇÃO]],"mmm")))</f>
        <v>ABR</v>
      </c>
      <c r="Y41" t="s">
        <v>598</v>
      </c>
      <c r="Z41" t="s">
        <v>599</v>
      </c>
      <c r="AA41" t="s">
        <v>600</v>
      </c>
    </row>
    <row r="42" spans="1:27" ht="14.4" hidden="1" customHeight="1" x14ac:dyDescent="0.3">
      <c r="A42" s="4" t="s">
        <v>279</v>
      </c>
      <c r="B42" s="4" t="s">
        <v>17</v>
      </c>
      <c r="C42" s="16" t="s">
        <v>18</v>
      </c>
      <c r="D42" s="4">
        <v>11</v>
      </c>
      <c r="E42" s="4" t="s">
        <v>745</v>
      </c>
      <c r="F42" t="s">
        <v>485</v>
      </c>
      <c r="G42" t="s">
        <v>399</v>
      </c>
      <c r="H42" t="s">
        <v>400</v>
      </c>
      <c r="I42" t="s">
        <v>401</v>
      </c>
      <c r="J42" s="4" t="s">
        <v>88</v>
      </c>
      <c r="K42" s="4" t="s">
        <v>20</v>
      </c>
      <c r="L42" s="4" t="s">
        <v>742</v>
      </c>
      <c r="M42" s="17">
        <v>30</v>
      </c>
      <c r="N42" s="17">
        <v>813</v>
      </c>
      <c r="O42" s="18" t="s">
        <v>88</v>
      </c>
      <c r="P42" s="18">
        <v>813</v>
      </c>
      <c r="Q42" s="18">
        <v>30</v>
      </c>
      <c r="R42" s="18"/>
      <c r="S42" s="18"/>
      <c r="T42" s="18"/>
      <c r="U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2" s="19">
        <f>IF(AUDITORIA[[#This Row],[CAT]]="",0,1)</f>
        <v>1</v>
      </c>
      <c r="W42" s="20">
        <v>46135</v>
      </c>
      <c r="X42" s="21" t="str">
        <f>UPPER(IF(AUDITORIA[[#This Row],[DATA VERIFICAÇÃO]]="","",TEXT(AUDITORIA[[#This Row],[DATA VERIFICAÇÃO]],"mmm")))</f>
        <v>ABR</v>
      </c>
      <c r="Y42" t="s">
        <v>598</v>
      </c>
      <c r="Z42" t="s">
        <v>599</v>
      </c>
      <c r="AA42" t="s">
        <v>600</v>
      </c>
    </row>
    <row r="43" spans="1:27" ht="14.4" hidden="1" customHeight="1" x14ac:dyDescent="0.3">
      <c r="A43" s="4" t="s">
        <v>279</v>
      </c>
      <c r="B43" s="4" t="s">
        <v>17</v>
      </c>
      <c r="C43" s="16" t="s">
        <v>18</v>
      </c>
      <c r="D43" s="4">
        <v>11</v>
      </c>
      <c r="E43" s="4" t="s">
        <v>745</v>
      </c>
      <c r="F43" t="s">
        <v>484</v>
      </c>
      <c r="G43" t="s">
        <v>399</v>
      </c>
      <c r="H43" t="s">
        <v>400</v>
      </c>
      <c r="I43" t="s">
        <v>401</v>
      </c>
      <c r="J43" s="4" t="s">
        <v>88</v>
      </c>
      <c r="K43" s="4" t="s">
        <v>20</v>
      </c>
      <c r="L43" s="4" t="s">
        <v>742</v>
      </c>
      <c r="M43" s="17">
        <v>30</v>
      </c>
      <c r="N43" s="17">
        <v>804</v>
      </c>
      <c r="O43" s="18" t="s">
        <v>88</v>
      </c>
      <c r="P43" s="18">
        <v>804</v>
      </c>
      <c r="Q43" s="18">
        <v>30</v>
      </c>
      <c r="R43" s="18"/>
      <c r="S43" s="18"/>
      <c r="T43" s="18"/>
      <c r="U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3" s="19">
        <f>IF(AUDITORIA[[#This Row],[CAT]]="",0,1)</f>
        <v>1</v>
      </c>
      <c r="W43" s="20">
        <v>46135</v>
      </c>
      <c r="X43" s="21" t="str">
        <f>UPPER(IF(AUDITORIA[[#This Row],[DATA VERIFICAÇÃO]]="","",TEXT(AUDITORIA[[#This Row],[DATA VERIFICAÇÃO]],"mmm")))</f>
        <v>ABR</v>
      </c>
      <c r="Y43" t="s">
        <v>598</v>
      </c>
      <c r="Z43" t="s">
        <v>599</v>
      </c>
      <c r="AA43" t="s">
        <v>600</v>
      </c>
    </row>
    <row r="44" spans="1:27" ht="14.4" hidden="1" customHeight="1" x14ac:dyDescent="0.3">
      <c r="A44" s="4" t="s">
        <v>279</v>
      </c>
      <c r="B44" s="4" t="s">
        <v>17</v>
      </c>
      <c r="C44" s="16" t="s">
        <v>18</v>
      </c>
      <c r="D44" s="4">
        <v>11</v>
      </c>
      <c r="E44" s="4" t="s">
        <v>745</v>
      </c>
      <c r="F44" t="s">
        <v>477</v>
      </c>
      <c r="G44" t="s">
        <v>399</v>
      </c>
      <c r="H44" t="s">
        <v>400</v>
      </c>
      <c r="I44" t="s">
        <v>401</v>
      </c>
      <c r="J44" s="4" t="s">
        <v>88</v>
      </c>
      <c r="K44" s="4" t="s">
        <v>20</v>
      </c>
      <c r="L44" s="4" t="s">
        <v>742</v>
      </c>
      <c r="M44" s="17">
        <v>29</v>
      </c>
      <c r="N44" s="17">
        <v>842</v>
      </c>
      <c r="O44" s="18" t="s">
        <v>88</v>
      </c>
      <c r="P44" s="18">
        <v>842</v>
      </c>
      <c r="Q44" s="18">
        <v>29</v>
      </c>
      <c r="R44" s="18"/>
      <c r="S44" s="18"/>
      <c r="T44" s="18"/>
      <c r="U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4" s="19">
        <f>IF(AUDITORIA[[#This Row],[CAT]]="",0,1)</f>
        <v>1</v>
      </c>
      <c r="W44" s="20">
        <v>46135</v>
      </c>
      <c r="X44" s="21" t="str">
        <f>UPPER(IF(AUDITORIA[[#This Row],[DATA VERIFICAÇÃO]]="","",TEXT(AUDITORIA[[#This Row],[DATA VERIFICAÇÃO]],"mmm")))</f>
        <v>ABR</v>
      </c>
      <c r="Y44" t="s">
        <v>598</v>
      </c>
      <c r="Z44" t="s">
        <v>599</v>
      </c>
      <c r="AA44" t="s">
        <v>600</v>
      </c>
    </row>
    <row r="45" spans="1:27" ht="14.4" hidden="1" customHeight="1" x14ac:dyDescent="0.3">
      <c r="A45" s="4" t="s">
        <v>279</v>
      </c>
      <c r="B45" s="4" t="s">
        <v>17</v>
      </c>
      <c r="C45" s="16" t="s">
        <v>18</v>
      </c>
      <c r="D45" s="4">
        <v>11</v>
      </c>
      <c r="E45" s="4" t="s">
        <v>745</v>
      </c>
      <c r="F45" t="s">
        <v>405</v>
      </c>
      <c r="G45" t="s">
        <v>399</v>
      </c>
      <c r="H45" t="s">
        <v>400</v>
      </c>
      <c r="I45" t="s">
        <v>401</v>
      </c>
      <c r="J45" s="4" t="s">
        <v>88</v>
      </c>
      <c r="K45" s="4" t="s">
        <v>20</v>
      </c>
      <c r="L45" s="4" t="s">
        <v>742</v>
      </c>
      <c r="M45" s="17">
        <v>30</v>
      </c>
      <c r="N45" s="17">
        <v>830</v>
      </c>
      <c r="O45" s="18" t="s">
        <v>88</v>
      </c>
      <c r="P45" s="18">
        <v>830</v>
      </c>
      <c r="Q45" s="18">
        <v>30</v>
      </c>
      <c r="R45" s="18"/>
      <c r="S45" s="18"/>
      <c r="T45" s="18"/>
      <c r="U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5" s="19">
        <f>IF(AUDITORIA[[#This Row],[CAT]]="",0,1)</f>
        <v>1</v>
      </c>
      <c r="W45" s="20">
        <v>46135</v>
      </c>
      <c r="X45" s="21" t="str">
        <f>UPPER(IF(AUDITORIA[[#This Row],[DATA VERIFICAÇÃO]]="","",TEXT(AUDITORIA[[#This Row],[DATA VERIFICAÇÃO]],"mmm")))</f>
        <v>ABR</v>
      </c>
      <c r="Y45" t="s">
        <v>598</v>
      </c>
      <c r="Z45" t="s">
        <v>599</v>
      </c>
      <c r="AA45" t="s">
        <v>600</v>
      </c>
    </row>
    <row r="46" spans="1:27" ht="14.4" hidden="1" customHeight="1" x14ac:dyDescent="0.3">
      <c r="A46" s="4" t="s">
        <v>279</v>
      </c>
      <c r="B46" s="4" t="s">
        <v>17</v>
      </c>
      <c r="C46" s="16" t="s">
        <v>18</v>
      </c>
      <c r="D46" s="4">
        <v>11</v>
      </c>
      <c r="E46" s="4" t="s">
        <v>745</v>
      </c>
      <c r="F46" t="s">
        <v>406</v>
      </c>
      <c r="G46" t="s">
        <v>399</v>
      </c>
      <c r="H46" t="s">
        <v>400</v>
      </c>
      <c r="I46" t="s">
        <v>401</v>
      </c>
      <c r="J46" s="4" t="s">
        <v>88</v>
      </c>
      <c r="K46" s="4" t="s">
        <v>20</v>
      </c>
      <c r="L46" s="4" t="s">
        <v>742</v>
      </c>
      <c r="M46" s="17">
        <v>30</v>
      </c>
      <c r="N46" s="17">
        <v>834</v>
      </c>
      <c r="O46" s="18" t="s">
        <v>88</v>
      </c>
      <c r="P46" s="18">
        <v>834</v>
      </c>
      <c r="Q46" s="18">
        <v>30</v>
      </c>
      <c r="R46" s="18"/>
      <c r="S46" s="18"/>
      <c r="T46" s="18"/>
      <c r="U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6" s="19">
        <f>IF(AUDITORIA[[#This Row],[CAT]]="",0,1)</f>
        <v>1</v>
      </c>
      <c r="W46" s="20">
        <v>46135</v>
      </c>
      <c r="X46" s="21" t="str">
        <f>UPPER(IF(AUDITORIA[[#This Row],[DATA VERIFICAÇÃO]]="","",TEXT(AUDITORIA[[#This Row],[DATA VERIFICAÇÃO]],"mmm")))</f>
        <v>ABR</v>
      </c>
      <c r="Y46" t="s">
        <v>598</v>
      </c>
      <c r="Z46" t="s">
        <v>599</v>
      </c>
      <c r="AA46" t="s">
        <v>600</v>
      </c>
    </row>
    <row r="47" spans="1:27" ht="14.4" hidden="1" customHeight="1" x14ac:dyDescent="0.3">
      <c r="A47" s="4" t="s">
        <v>279</v>
      </c>
      <c r="B47" s="4" t="s">
        <v>17</v>
      </c>
      <c r="C47" s="16" t="s">
        <v>18</v>
      </c>
      <c r="D47" s="4">
        <v>11</v>
      </c>
      <c r="E47" s="4" t="s">
        <v>745</v>
      </c>
      <c r="F47" t="s">
        <v>416</v>
      </c>
      <c r="G47" t="s">
        <v>399</v>
      </c>
      <c r="H47" t="s">
        <v>400</v>
      </c>
      <c r="I47" t="s">
        <v>401</v>
      </c>
      <c r="J47" s="4" t="s">
        <v>88</v>
      </c>
      <c r="K47" s="4" t="s">
        <v>20</v>
      </c>
      <c r="L47" s="4" t="s">
        <v>742</v>
      </c>
      <c r="M47" s="17">
        <v>30</v>
      </c>
      <c r="N47" s="17">
        <v>822</v>
      </c>
      <c r="O47" s="18" t="s">
        <v>88</v>
      </c>
      <c r="P47" s="18">
        <v>822</v>
      </c>
      <c r="Q47" s="18">
        <v>30</v>
      </c>
      <c r="R47" s="18"/>
      <c r="S47" s="18"/>
      <c r="T47" s="18"/>
      <c r="U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7" s="19">
        <f>IF(AUDITORIA[[#This Row],[CAT]]="",0,1)</f>
        <v>1</v>
      </c>
      <c r="W47" s="20">
        <v>46135</v>
      </c>
      <c r="X47" s="21" t="str">
        <f>UPPER(IF(AUDITORIA[[#This Row],[DATA VERIFICAÇÃO]]="","",TEXT(AUDITORIA[[#This Row],[DATA VERIFICAÇÃO]],"mmm")))</f>
        <v>ABR</v>
      </c>
      <c r="Y47" t="s">
        <v>598</v>
      </c>
      <c r="Z47" t="s">
        <v>599</v>
      </c>
      <c r="AA47" t="s">
        <v>600</v>
      </c>
    </row>
    <row r="48" spans="1:27" ht="14.4" hidden="1" customHeight="1" x14ac:dyDescent="0.3">
      <c r="A48" s="4" t="s">
        <v>279</v>
      </c>
      <c r="B48" s="4" t="s">
        <v>17</v>
      </c>
      <c r="C48" s="16" t="s">
        <v>18</v>
      </c>
      <c r="D48" s="4">
        <v>11</v>
      </c>
      <c r="E48" s="4" t="s">
        <v>745</v>
      </c>
      <c r="F48" t="s">
        <v>407</v>
      </c>
      <c r="G48" t="s">
        <v>399</v>
      </c>
      <c r="H48" t="s">
        <v>400</v>
      </c>
      <c r="I48" t="s">
        <v>401</v>
      </c>
      <c r="J48" s="4" t="s">
        <v>88</v>
      </c>
      <c r="K48" s="4" t="s">
        <v>20</v>
      </c>
      <c r="L48" s="4" t="s">
        <v>742</v>
      </c>
      <c r="M48" s="17">
        <v>30</v>
      </c>
      <c r="N48" s="17">
        <v>836</v>
      </c>
      <c r="O48" s="18" t="s">
        <v>88</v>
      </c>
      <c r="P48" s="18">
        <v>836</v>
      </c>
      <c r="Q48" s="18">
        <v>30</v>
      </c>
      <c r="R48" s="18"/>
      <c r="S48" s="18"/>
      <c r="T48" s="18"/>
      <c r="U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8" s="19">
        <f>IF(AUDITORIA[[#This Row],[CAT]]="",0,1)</f>
        <v>1</v>
      </c>
      <c r="W48" s="20">
        <v>46135</v>
      </c>
      <c r="X48" s="21" t="str">
        <f>UPPER(IF(AUDITORIA[[#This Row],[DATA VERIFICAÇÃO]]="","",TEXT(AUDITORIA[[#This Row],[DATA VERIFICAÇÃO]],"mmm")))</f>
        <v>ABR</v>
      </c>
      <c r="Y48" t="s">
        <v>598</v>
      </c>
      <c r="Z48" t="s">
        <v>599</v>
      </c>
      <c r="AA48" t="s">
        <v>600</v>
      </c>
    </row>
    <row r="49" spans="1:27" ht="14.4" hidden="1" customHeight="1" x14ac:dyDescent="0.3">
      <c r="A49" s="4" t="s">
        <v>279</v>
      </c>
      <c r="B49" s="4" t="s">
        <v>17</v>
      </c>
      <c r="C49" s="16" t="s">
        <v>18</v>
      </c>
      <c r="D49" s="4">
        <v>11</v>
      </c>
      <c r="E49" s="4" t="s">
        <v>745</v>
      </c>
      <c r="F49" t="s">
        <v>398</v>
      </c>
      <c r="G49" t="s">
        <v>399</v>
      </c>
      <c r="H49" t="s">
        <v>400</v>
      </c>
      <c r="I49" t="s">
        <v>401</v>
      </c>
      <c r="J49" s="4" t="s">
        <v>88</v>
      </c>
      <c r="K49" s="4" t="s">
        <v>20</v>
      </c>
      <c r="L49" s="4" t="s">
        <v>742</v>
      </c>
      <c r="M49" s="17">
        <v>2</v>
      </c>
      <c r="N49" s="17">
        <v>835</v>
      </c>
      <c r="O49" s="18" t="s">
        <v>88</v>
      </c>
      <c r="P49" s="18">
        <v>835</v>
      </c>
      <c r="Q49" s="18">
        <v>2</v>
      </c>
      <c r="R49" s="18"/>
      <c r="S49" s="18"/>
      <c r="T49" s="18"/>
      <c r="U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9" s="19">
        <f>IF(AUDITORIA[[#This Row],[CAT]]="",0,1)</f>
        <v>1</v>
      </c>
      <c r="W49" s="20">
        <v>46135</v>
      </c>
      <c r="X49" s="21" t="str">
        <f>UPPER(IF(AUDITORIA[[#This Row],[DATA VERIFICAÇÃO]]="","",TEXT(AUDITORIA[[#This Row],[DATA VERIFICAÇÃO]],"mmm")))</f>
        <v>ABR</v>
      </c>
      <c r="Y49" t="s">
        <v>598</v>
      </c>
      <c r="Z49" t="s">
        <v>599</v>
      </c>
      <c r="AA49" t="s">
        <v>600</v>
      </c>
    </row>
    <row r="50" spans="1:27" ht="14.4" hidden="1" customHeight="1" x14ac:dyDescent="0.3">
      <c r="A50" s="4" t="s">
        <v>279</v>
      </c>
      <c r="B50" s="4" t="s">
        <v>17</v>
      </c>
      <c r="C50" s="16" t="s">
        <v>18</v>
      </c>
      <c r="D50" s="4">
        <v>11</v>
      </c>
      <c r="E50" s="4" t="s">
        <v>745</v>
      </c>
      <c r="F50" t="s">
        <v>493</v>
      </c>
      <c r="G50" t="s">
        <v>399</v>
      </c>
      <c r="H50" t="s">
        <v>400</v>
      </c>
      <c r="I50" t="s">
        <v>401</v>
      </c>
      <c r="J50" s="4" t="s">
        <v>88</v>
      </c>
      <c r="K50" s="4" t="s">
        <v>21</v>
      </c>
      <c r="L50" s="4" t="s">
        <v>742</v>
      </c>
      <c r="M50" s="17">
        <v>24</v>
      </c>
      <c r="N50" s="17">
        <v>1035</v>
      </c>
      <c r="O50" s="18" t="s">
        <v>88</v>
      </c>
      <c r="P50" s="18">
        <v>1035</v>
      </c>
      <c r="Q50" s="18">
        <v>24</v>
      </c>
      <c r="R50" s="18"/>
      <c r="S50" s="18"/>
      <c r="T50" s="18"/>
      <c r="U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0" s="19">
        <f>IF(AUDITORIA[[#This Row],[CAT]]="",0,1)</f>
        <v>1</v>
      </c>
      <c r="W50" s="20">
        <v>46135</v>
      </c>
      <c r="X50" s="21" t="str">
        <f>UPPER(IF(AUDITORIA[[#This Row],[DATA VERIFICAÇÃO]]="","",TEXT(AUDITORIA[[#This Row],[DATA VERIFICAÇÃO]],"mmm")))</f>
        <v>ABR</v>
      </c>
      <c r="Y50" t="s">
        <v>598</v>
      </c>
      <c r="Z50" t="s">
        <v>599</v>
      </c>
      <c r="AA50" t="s">
        <v>600</v>
      </c>
    </row>
    <row r="51" spans="1:27" ht="14.4" hidden="1" customHeight="1" x14ac:dyDescent="0.3">
      <c r="A51" s="4" t="s">
        <v>279</v>
      </c>
      <c r="B51" s="4" t="s">
        <v>17</v>
      </c>
      <c r="C51" s="16" t="s">
        <v>18</v>
      </c>
      <c r="D51" s="4">
        <v>11</v>
      </c>
      <c r="E51" s="4" t="s">
        <v>745</v>
      </c>
      <c r="F51" t="s">
        <v>490</v>
      </c>
      <c r="G51" t="s">
        <v>399</v>
      </c>
      <c r="H51" t="s">
        <v>400</v>
      </c>
      <c r="I51" t="s">
        <v>401</v>
      </c>
      <c r="J51" s="4" t="s">
        <v>88</v>
      </c>
      <c r="K51" s="4" t="s">
        <v>21</v>
      </c>
      <c r="L51" s="4" t="s">
        <v>742</v>
      </c>
      <c r="M51" s="17">
        <v>24</v>
      </c>
      <c r="N51" s="17">
        <v>1010</v>
      </c>
      <c r="O51" s="18" t="s">
        <v>88</v>
      </c>
      <c r="P51" s="18">
        <v>1010</v>
      </c>
      <c r="Q51" s="18">
        <v>24</v>
      </c>
      <c r="R51" s="18"/>
      <c r="S51" s="18"/>
      <c r="T51" s="18"/>
      <c r="U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1" s="19">
        <f>IF(AUDITORIA[[#This Row],[CAT]]="",0,1)</f>
        <v>1</v>
      </c>
      <c r="W51" s="20">
        <v>46135</v>
      </c>
      <c r="X51" s="21" t="str">
        <f>UPPER(IF(AUDITORIA[[#This Row],[DATA VERIFICAÇÃO]]="","",TEXT(AUDITORIA[[#This Row],[DATA VERIFICAÇÃO]],"mmm")))</f>
        <v>ABR</v>
      </c>
      <c r="Y51" t="s">
        <v>598</v>
      </c>
      <c r="Z51" t="s">
        <v>599</v>
      </c>
      <c r="AA51" t="s">
        <v>600</v>
      </c>
    </row>
    <row r="52" spans="1:27" ht="14.4" hidden="1" customHeight="1" x14ac:dyDescent="0.3">
      <c r="A52" s="4" t="s">
        <v>279</v>
      </c>
      <c r="B52" s="4" t="s">
        <v>17</v>
      </c>
      <c r="C52" s="16" t="s">
        <v>18</v>
      </c>
      <c r="D52" s="4">
        <v>11</v>
      </c>
      <c r="E52" s="4" t="s">
        <v>745</v>
      </c>
      <c r="F52" t="s">
        <v>488</v>
      </c>
      <c r="G52" t="s">
        <v>399</v>
      </c>
      <c r="H52" t="s">
        <v>400</v>
      </c>
      <c r="I52" t="s">
        <v>401</v>
      </c>
      <c r="J52" s="4" t="s">
        <v>88</v>
      </c>
      <c r="K52" s="4" t="s">
        <v>21</v>
      </c>
      <c r="L52" s="4" t="s">
        <v>742</v>
      </c>
      <c r="M52" s="17">
        <v>24</v>
      </c>
      <c r="N52" s="17">
        <v>1010</v>
      </c>
      <c r="O52" s="18" t="s">
        <v>88</v>
      </c>
      <c r="P52" s="18">
        <v>1010</v>
      </c>
      <c r="Q52" s="18">
        <v>24</v>
      </c>
      <c r="R52" s="18"/>
      <c r="S52" s="18"/>
      <c r="T52" s="18"/>
      <c r="U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2" s="19">
        <f>IF(AUDITORIA[[#This Row],[CAT]]="",0,1)</f>
        <v>1</v>
      </c>
      <c r="W52" s="20">
        <v>46135</v>
      </c>
      <c r="X52" s="21" t="str">
        <f>UPPER(IF(AUDITORIA[[#This Row],[DATA VERIFICAÇÃO]]="","",TEXT(AUDITORIA[[#This Row],[DATA VERIFICAÇÃO]],"mmm")))</f>
        <v>ABR</v>
      </c>
      <c r="Y52" t="s">
        <v>598</v>
      </c>
      <c r="Z52" t="s">
        <v>599</v>
      </c>
      <c r="AA52" t="s">
        <v>600</v>
      </c>
    </row>
    <row r="53" spans="1:27" ht="14.4" hidden="1" customHeight="1" x14ac:dyDescent="0.3">
      <c r="A53" s="4" t="s">
        <v>279</v>
      </c>
      <c r="B53" s="4" t="s">
        <v>17</v>
      </c>
      <c r="C53" s="16" t="s">
        <v>18</v>
      </c>
      <c r="D53" s="4">
        <v>11</v>
      </c>
      <c r="E53" s="4" t="s">
        <v>745</v>
      </c>
      <c r="F53" t="s">
        <v>424</v>
      </c>
      <c r="G53" t="s">
        <v>399</v>
      </c>
      <c r="H53" t="s">
        <v>400</v>
      </c>
      <c r="I53" t="s">
        <v>401</v>
      </c>
      <c r="J53" s="4" t="s">
        <v>88</v>
      </c>
      <c r="K53" s="4" t="s">
        <v>21</v>
      </c>
      <c r="L53" s="4" t="s">
        <v>742</v>
      </c>
      <c r="M53" s="17">
        <v>24</v>
      </c>
      <c r="N53" s="17">
        <v>1021</v>
      </c>
      <c r="O53" s="18" t="s">
        <v>88</v>
      </c>
      <c r="P53" s="18">
        <v>1021</v>
      </c>
      <c r="Q53" s="18">
        <v>24</v>
      </c>
      <c r="R53" s="18"/>
      <c r="S53" s="18"/>
      <c r="T53" s="18"/>
      <c r="U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3" s="19">
        <f>IF(AUDITORIA[[#This Row],[CAT]]="",0,1)</f>
        <v>1</v>
      </c>
      <c r="W53" s="20">
        <v>46135</v>
      </c>
      <c r="X53" s="21" t="str">
        <f>UPPER(IF(AUDITORIA[[#This Row],[DATA VERIFICAÇÃO]]="","",TEXT(AUDITORIA[[#This Row],[DATA VERIFICAÇÃO]],"mmm")))</f>
        <v>ABR</v>
      </c>
      <c r="Y53" t="s">
        <v>598</v>
      </c>
      <c r="Z53" t="s">
        <v>599</v>
      </c>
      <c r="AA53" t="s">
        <v>600</v>
      </c>
    </row>
    <row r="54" spans="1:27" ht="14.4" hidden="1" customHeight="1" x14ac:dyDescent="0.3">
      <c r="A54" s="4" t="s">
        <v>279</v>
      </c>
      <c r="B54" s="4" t="s">
        <v>17</v>
      </c>
      <c r="C54" s="16" t="s">
        <v>18</v>
      </c>
      <c r="D54" s="4">
        <v>11</v>
      </c>
      <c r="E54" s="4" t="s">
        <v>745</v>
      </c>
      <c r="F54" t="s">
        <v>423</v>
      </c>
      <c r="G54" t="s">
        <v>399</v>
      </c>
      <c r="H54" t="s">
        <v>400</v>
      </c>
      <c r="I54" t="s">
        <v>401</v>
      </c>
      <c r="J54" s="4" t="s">
        <v>88</v>
      </c>
      <c r="K54" s="4" t="s">
        <v>21</v>
      </c>
      <c r="L54" s="4" t="s">
        <v>742</v>
      </c>
      <c r="M54" s="17">
        <v>24</v>
      </c>
      <c r="N54" s="17">
        <v>1019</v>
      </c>
      <c r="O54" s="18" t="s">
        <v>88</v>
      </c>
      <c r="P54" s="18">
        <v>1019</v>
      </c>
      <c r="Q54" s="18">
        <v>24</v>
      </c>
      <c r="R54" s="18"/>
      <c r="S54" s="18"/>
      <c r="T54" s="18"/>
      <c r="U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4" s="19">
        <f>IF(AUDITORIA[[#This Row],[CAT]]="",0,1)</f>
        <v>1</v>
      </c>
      <c r="W54" s="20">
        <v>46135</v>
      </c>
      <c r="X54" s="21" t="str">
        <f>UPPER(IF(AUDITORIA[[#This Row],[DATA VERIFICAÇÃO]]="","",TEXT(AUDITORIA[[#This Row],[DATA VERIFICAÇÃO]],"mmm")))</f>
        <v>ABR</v>
      </c>
      <c r="Y54" t="s">
        <v>598</v>
      </c>
      <c r="Z54" t="s">
        <v>599</v>
      </c>
      <c r="AA54" t="s">
        <v>600</v>
      </c>
    </row>
    <row r="55" spans="1:27" ht="14.4" hidden="1" customHeight="1" x14ac:dyDescent="0.3">
      <c r="A55" s="4" t="s">
        <v>279</v>
      </c>
      <c r="B55" s="4" t="s">
        <v>17</v>
      </c>
      <c r="C55" s="16" t="s">
        <v>18</v>
      </c>
      <c r="D55" s="4">
        <v>11</v>
      </c>
      <c r="E55" s="4" t="s">
        <v>745</v>
      </c>
      <c r="F55" t="s">
        <v>422</v>
      </c>
      <c r="G55" t="s">
        <v>399</v>
      </c>
      <c r="H55" t="s">
        <v>400</v>
      </c>
      <c r="I55" t="s">
        <v>401</v>
      </c>
      <c r="J55" s="4" t="s">
        <v>88</v>
      </c>
      <c r="K55" s="4" t="s">
        <v>21</v>
      </c>
      <c r="L55" s="4" t="s">
        <v>742</v>
      </c>
      <c r="M55" s="17">
        <v>24</v>
      </c>
      <c r="N55" s="17">
        <v>1056</v>
      </c>
      <c r="O55" s="18" t="s">
        <v>88</v>
      </c>
      <c r="P55" s="18">
        <v>1056</v>
      </c>
      <c r="Q55" s="18">
        <v>24</v>
      </c>
      <c r="R55" s="18"/>
      <c r="S55" s="18"/>
      <c r="T55" s="18"/>
      <c r="U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5" s="19">
        <f>IF(AUDITORIA[[#This Row],[CAT]]="",0,1)</f>
        <v>1</v>
      </c>
      <c r="W55" s="20">
        <v>46135</v>
      </c>
      <c r="X55" s="21" t="str">
        <f>UPPER(IF(AUDITORIA[[#This Row],[DATA VERIFICAÇÃO]]="","",TEXT(AUDITORIA[[#This Row],[DATA VERIFICAÇÃO]],"mmm")))</f>
        <v>ABR</v>
      </c>
      <c r="Y55" t="s">
        <v>598</v>
      </c>
      <c r="Z55" t="s">
        <v>599</v>
      </c>
      <c r="AA55" t="s">
        <v>600</v>
      </c>
    </row>
    <row r="56" spans="1:27" ht="14.4" hidden="1" customHeight="1" x14ac:dyDescent="0.3">
      <c r="A56" s="4" t="s">
        <v>279</v>
      </c>
      <c r="B56" s="4" t="s">
        <v>17</v>
      </c>
      <c r="C56" s="16" t="s">
        <v>18</v>
      </c>
      <c r="D56" s="4">
        <v>11</v>
      </c>
      <c r="E56" s="4" t="s">
        <v>745</v>
      </c>
      <c r="F56" t="s">
        <v>421</v>
      </c>
      <c r="G56" t="s">
        <v>399</v>
      </c>
      <c r="H56" t="s">
        <v>400</v>
      </c>
      <c r="I56" t="s">
        <v>401</v>
      </c>
      <c r="J56" s="4" t="s">
        <v>88</v>
      </c>
      <c r="K56" s="4" t="s">
        <v>21</v>
      </c>
      <c r="L56" s="4" t="s">
        <v>742</v>
      </c>
      <c r="M56" s="17">
        <v>24</v>
      </c>
      <c r="N56" s="17">
        <v>1065</v>
      </c>
      <c r="O56" s="18" t="s">
        <v>88</v>
      </c>
      <c r="P56" s="18">
        <v>1065</v>
      </c>
      <c r="Q56" s="18">
        <v>24</v>
      </c>
      <c r="R56" s="18"/>
      <c r="S56" s="18"/>
      <c r="T56" s="18"/>
      <c r="U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6" s="19">
        <f>IF(AUDITORIA[[#This Row],[CAT]]="",0,1)</f>
        <v>1</v>
      </c>
      <c r="W56" s="20">
        <v>46135</v>
      </c>
      <c r="X56" s="21" t="str">
        <f>UPPER(IF(AUDITORIA[[#This Row],[DATA VERIFICAÇÃO]]="","",TEXT(AUDITORIA[[#This Row],[DATA VERIFICAÇÃO]],"mmm")))</f>
        <v>ABR</v>
      </c>
      <c r="Y56" t="s">
        <v>598</v>
      </c>
      <c r="Z56" t="s">
        <v>599</v>
      </c>
      <c r="AA56" t="s">
        <v>600</v>
      </c>
    </row>
    <row r="57" spans="1:27" ht="14.4" hidden="1" customHeight="1" x14ac:dyDescent="0.3">
      <c r="A57" s="4" t="s">
        <v>279</v>
      </c>
      <c r="B57" s="4" t="s">
        <v>17</v>
      </c>
      <c r="C57" s="16" t="s">
        <v>18</v>
      </c>
      <c r="D57" s="4">
        <v>11</v>
      </c>
      <c r="E57" s="4" t="s">
        <v>745</v>
      </c>
      <c r="F57" t="s">
        <v>420</v>
      </c>
      <c r="G57" t="s">
        <v>399</v>
      </c>
      <c r="H57" t="s">
        <v>400</v>
      </c>
      <c r="I57" t="s">
        <v>401</v>
      </c>
      <c r="J57" s="4" t="s">
        <v>88</v>
      </c>
      <c r="K57" s="4" t="s">
        <v>21</v>
      </c>
      <c r="L57" s="4" t="s">
        <v>742</v>
      </c>
      <c r="M57" s="17">
        <v>24</v>
      </c>
      <c r="N57" s="17">
        <v>1007</v>
      </c>
      <c r="O57" s="18" t="s">
        <v>88</v>
      </c>
      <c r="P57" s="18">
        <v>1007</v>
      </c>
      <c r="Q57" s="18">
        <v>24</v>
      </c>
      <c r="R57" s="18"/>
      <c r="S57" s="18"/>
      <c r="T57" s="18"/>
      <c r="U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7" s="19">
        <f>IF(AUDITORIA[[#This Row],[CAT]]="",0,1)</f>
        <v>1</v>
      </c>
      <c r="W57" s="20">
        <v>46135</v>
      </c>
      <c r="X57" s="21" t="str">
        <f>UPPER(IF(AUDITORIA[[#This Row],[DATA VERIFICAÇÃO]]="","",TEXT(AUDITORIA[[#This Row],[DATA VERIFICAÇÃO]],"mmm")))</f>
        <v>ABR</v>
      </c>
      <c r="Y57" t="s">
        <v>598</v>
      </c>
      <c r="Z57" t="s">
        <v>599</v>
      </c>
      <c r="AA57" t="s">
        <v>600</v>
      </c>
    </row>
    <row r="58" spans="1:27" ht="14.4" hidden="1" customHeight="1" x14ac:dyDescent="0.3">
      <c r="A58" s="4" t="s">
        <v>279</v>
      </c>
      <c r="B58" s="4" t="s">
        <v>17</v>
      </c>
      <c r="C58" s="16" t="s">
        <v>18</v>
      </c>
      <c r="D58" s="4">
        <v>11</v>
      </c>
      <c r="E58" s="4" t="s">
        <v>745</v>
      </c>
      <c r="F58" t="s">
        <v>419</v>
      </c>
      <c r="G58" t="s">
        <v>399</v>
      </c>
      <c r="H58" t="s">
        <v>400</v>
      </c>
      <c r="I58" t="s">
        <v>401</v>
      </c>
      <c r="J58" s="4" t="s">
        <v>88</v>
      </c>
      <c r="K58" s="4" t="s">
        <v>21</v>
      </c>
      <c r="L58" s="4" t="s">
        <v>742</v>
      </c>
      <c r="M58" s="17">
        <v>24</v>
      </c>
      <c r="N58" s="17">
        <v>1042</v>
      </c>
      <c r="O58" s="18" t="s">
        <v>88</v>
      </c>
      <c r="P58" s="18">
        <v>1042</v>
      </c>
      <c r="Q58" s="18">
        <v>24</v>
      </c>
      <c r="R58" s="18"/>
      <c r="S58" s="18"/>
      <c r="T58" s="18"/>
      <c r="U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8" s="19">
        <f>IF(AUDITORIA[[#This Row],[CAT]]="",0,1)</f>
        <v>1</v>
      </c>
      <c r="W58" s="20">
        <v>46135</v>
      </c>
      <c r="X58" s="21" t="str">
        <f>UPPER(IF(AUDITORIA[[#This Row],[DATA VERIFICAÇÃO]]="","",TEXT(AUDITORIA[[#This Row],[DATA VERIFICAÇÃO]],"mmm")))</f>
        <v>ABR</v>
      </c>
      <c r="Y58" t="s">
        <v>598</v>
      </c>
      <c r="Z58" t="s">
        <v>599</v>
      </c>
      <c r="AA58" t="s">
        <v>600</v>
      </c>
    </row>
    <row r="59" spans="1:27" ht="14.4" hidden="1" customHeight="1" x14ac:dyDescent="0.3">
      <c r="A59" s="4" t="s">
        <v>279</v>
      </c>
      <c r="B59" s="4" t="s">
        <v>17</v>
      </c>
      <c r="C59" s="16" t="s">
        <v>18</v>
      </c>
      <c r="D59" s="4">
        <v>11</v>
      </c>
      <c r="E59" s="4" t="s">
        <v>745</v>
      </c>
      <c r="F59" t="s">
        <v>415</v>
      </c>
      <c r="G59" t="s">
        <v>399</v>
      </c>
      <c r="H59" t="s">
        <v>400</v>
      </c>
      <c r="I59" t="s">
        <v>401</v>
      </c>
      <c r="J59" s="4" t="s">
        <v>88</v>
      </c>
      <c r="K59" s="4" t="s">
        <v>21</v>
      </c>
      <c r="L59" s="4" t="s">
        <v>742</v>
      </c>
      <c r="M59" s="17">
        <v>24</v>
      </c>
      <c r="N59" s="17">
        <v>1034</v>
      </c>
      <c r="O59" s="18" t="s">
        <v>88</v>
      </c>
      <c r="P59" s="18">
        <v>1034</v>
      </c>
      <c r="Q59" s="18">
        <v>24</v>
      </c>
      <c r="R59" s="18"/>
      <c r="S59" s="18"/>
      <c r="T59" s="18"/>
      <c r="U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9" s="19">
        <f>IF(AUDITORIA[[#This Row],[CAT]]="",0,1)</f>
        <v>1</v>
      </c>
      <c r="W59" s="20">
        <v>46135</v>
      </c>
      <c r="X59" s="21" t="str">
        <f>UPPER(IF(AUDITORIA[[#This Row],[DATA VERIFICAÇÃO]]="","",TEXT(AUDITORIA[[#This Row],[DATA VERIFICAÇÃO]],"mmm")))</f>
        <v>ABR</v>
      </c>
      <c r="Y59" t="s">
        <v>598</v>
      </c>
      <c r="Z59" t="s">
        <v>599</v>
      </c>
      <c r="AA59" t="s">
        <v>600</v>
      </c>
    </row>
    <row r="60" spans="1:27" ht="14.4" hidden="1" customHeight="1" x14ac:dyDescent="0.3">
      <c r="A60" s="4" t="s">
        <v>279</v>
      </c>
      <c r="B60" s="4" t="s">
        <v>17</v>
      </c>
      <c r="C60" s="16" t="s">
        <v>18</v>
      </c>
      <c r="D60" s="4">
        <v>11</v>
      </c>
      <c r="E60" s="4" t="s">
        <v>745</v>
      </c>
      <c r="F60" t="s">
        <v>408</v>
      </c>
      <c r="G60" t="s">
        <v>399</v>
      </c>
      <c r="H60" t="s">
        <v>400</v>
      </c>
      <c r="I60" t="s">
        <v>401</v>
      </c>
      <c r="J60" s="4" t="s">
        <v>88</v>
      </c>
      <c r="K60" s="4" t="s">
        <v>21</v>
      </c>
      <c r="L60" s="4" t="s">
        <v>742</v>
      </c>
      <c r="M60" s="17">
        <v>24</v>
      </c>
      <c r="N60" s="17">
        <v>1078</v>
      </c>
      <c r="O60" s="18" t="s">
        <v>88</v>
      </c>
      <c r="P60" s="18">
        <v>1078</v>
      </c>
      <c r="Q60" s="18">
        <v>24</v>
      </c>
      <c r="R60" s="18"/>
      <c r="S60" s="18"/>
      <c r="T60" s="18"/>
      <c r="U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0" s="19">
        <f>IF(AUDITORIA[[#This Row],[CAT]]="",0,1)</f>
        <v>1</v>
      </c>
      <c r="W60" s="20">
        <v>46135</v>
      </c>
      <c r="X60" s="21" t="str">
        <f>UPPER(IF(AUDITORIA[[#This Row],[DATA VERIFICAÇÃO]]="","",TEXT(AUDITORIA[[#This Row],[DATA VERIFICAÇÃO]],"mmm")))</f>
        <v>ABR</v>
      </c>
      <c r="Y60" t="s">
        <v>598</v>
      </c>
      <c r="Z60" t="s">
        <v>599</v>
      </c>
      <c r="AA60" t="s">
        <v>600</v>
      </c>
    </row>
    <row r="61" spans="1:27" ht="14.4" hidden="1" customHeight="1" x14ac:dyDescent="0.3">
      <c r="A61" s="4" t="s">
        <v>279</v>
      </c>
      <c r="B61" s="4" t="s">
        <v>17</v>
      </c>
      <c r="C61" s="16" t="s">
        <v>18</v>
      </c>
      <c r="D61" s="4">
        <v>11</v>
      </c>
      <c r="E61" s="4" t="s">
        <v>745</v>
      </c>
      <c r="F61" t="s">
        <v>403</v>
      </c>
      <c r="G61" t="s">
        <v>399</v>
      </c>
      <c r="H61" t="s">
        <v>400</v>
      </c>
      <c r="I61" t="s">
        <v>401</v>
      </c>
      <c r="J61" s="4" t="s">
        <v>88</v>
      </c>
      <c r="K61" s="4" t="s">
        <v>21</v>
      </c>
      <c r="L61" s="4" t="s">
        <v>742</v>
      </c>
      <c r="M61" s="17">
        <v>24</v>
      </c>
      <c r="N61" s="17">
        <v>1050</v>
      </c>
      <c r="O61" s="18" t="s">
        <v>88</v>
      </c>
      <c r="P61" s="18">
        <v>1050</v>
      </c>
      <c r="Q61" s="18">
        <v>24</v>
      </c>
      <c r="R61" s="18"/>
      <c r="S61" s="18"/>
      <c r="T61" s="18"/>
      <c r="U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1" s="19">
        <f>IF(AUDITORIA[[#This Row],[CAT]]="",0,1)</f>
        <v>1</v>
      </c>
      <c r="W61" s="20">
        <v>46135</v>
      </c>
      <c r="X61" s="21" t="str">
        <f>UPPER(IF(AUDITORIA[[#This Row],[DATA VERIFICAÇÃO]]="","",TEXT(AUDITORIA[[#This Row],[DATA VERIFICAÇÃO]],"mmm")))</f>
        <v>ABR</v>
      </c>
      <c r="Y61" t="s">
        <v>598</v>
      </c>
      <c r="Z61" t="s">
        <v>599</v>
      </c>
      <c r="AA61" t="s">
        <v>600</v>
      </c>
    </row>
    <row r="62" spans="1:27" ht="14.4" hidden="1" customHeight="1" x14ac:dyDescent="0.3">
      <c r="A62" s="4" t="s">
        <v>279</v>
      </c>
      <c r="B62" s="4" t="s">
        <v>17</v>
      </c>
      <c r="C62" s="16" t="s">
        <v>18</v>
      </c>
      <c r="D62" s="4">
        <v>11</v>
      </c>
      <c r="E62" s="4" t="s">
        <v>745</v>
      </c>
      <c r="F62" t="s">
        <v>402</v>
      </c>
      <c r="G62" t="s">
        <v>399</v>
      </c>
      <c r="H62" t="s">
        <v>400</v>
      </c>
      <c r="I62" t="s">
        <v>401</v>
      </c>
      <c r="J62" s="4" t="s">
        <v>88</v>
      </c>
      <c r="K62" s="4" t="s">
        <v>21</v>
      </c>
      <c r="L62" s="4" t="s">
        <v>742</v>
      </c>
      <c r="M62" s="17">
        <v>21</v>
      </c>
      <c r="N62" s="17">
        <v>1029</v>
      </c>
      <c r="O62" s="18" t="s">
        <v>88</v>
      </c>
      <c r="P62" s="18">
        <v>1029</v>
      </c>
      <c r="Q62" s="18">
        <v>21</v>
      </c>
      <c r="R62" s="18"/>
      <c r="S62" s="18"/>
      <c r="T62" s="18"/>
      <c r="U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2" s="19">
        <f>IF(AUDITORIA[[#This Row],[CAT]]="",0,1)</f>
        <v>1</v>
      </c>
      <c r="W62" s="20">
        <v>46135</v>
      </c>
      <c r="X62" s="21" t="str">
        <f>UPPER(IF(AUDITORIA[[#This Row],[DATA VERIFICAÇÃO]]="","",TEXT(AUDITORIA[[#This Row],[DATA VERIFICAÇÃO]],"mmm")))</f>
        <v>ABR</v>
      </c>
      <c r="Y62" t="s">
        <v>598</v>
      </c>
      <c r="Z62" t="s">
        <v>599</v>
      </c>
      <c r="AA62" t="s">
        <v>600</v>
      </c>
    </row>
    <row r="63" spans="1:27" ht="14.4" hidden="1" customHeight="1" x14ac:dyDescent="0.3">
      <c r="A63" s="4" t="s">
        <v>279</v>
      </c>
      <c r="B63" s="4" t="s">
        <v>17</v>
      </c>
      <c r="C63" s="16" t="s">
        <v>18</v>
      </c>
      <c r="D63" s="4">
        <v>11</v>
      </c>
      <c r="E63" s="4" t="s">
        <v>745</v>
      </c>
      <c r="F63" t="s">
        <v>451</v>
      </c>
      <c r="G63" t="s">
        <v>434</v>
      </c>
      <c r="H63" t="s">
        <v>435</v>
      </c>
      <c r="I63" t="s">
        <v>436</v>
      </c>
      <c r="J63" s="4" t="s">
        <v>31</v>
      </c>
      <c r="K63" s="4" t="s">
        <v>20</v>
      </c>
      <c r="L63" s="4" t="s">
        <v>742</v>
      </c>
      <c r="M63" s="17">
        <v>24</v>
      </c>
      <c r="N63" s="17">
        <v>1050</v>
      </c>
      <c r="O63" s="18" t="s">
        <v>31</v>
      </c>
      <c r="P63" s="18">
        <v>1050</v>
      </c>
      <c r="Q63" s="18">
        <v>24</v>
      </c>
      <c r="R63" s="18"/>
      <c r="S63" s="18"/>
      <c r="T63" s="18"/>
      <c r="U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3" s="19">
        <f>IF(AUDITORIA[[#This Row],[CAT]]="",0,1)</f>
        <v>1</v>
      </c>
      <c r="W63" s="20">
        <v>46135</v>
      </c>
      <c r="X63" s="21" t="str">
        <f>UPPER(IF(AUDITORIA[[#This Row],[DATA VERIFICAÇÃO]]="","",TEXT(AUDITORIA[[#This Row],[DATA VERIFICAÇÃO]],"mmm")))</f>
        <v>ABR</v>
      </c>
      <c r="Y63" t="s">
        <v>598</v>
      </c>
      <c r="Z63" t="s">
        <v>599</v>
      </c>
      <c r="AA63" t="s">
        <v>600</v>
      </c>
    </row>
    <row r="64" spans="1:27" ht="14.4" hidden="1" customHeight="1" x14ac:dyDescent="0.3">
      <c r="A64" s="4" t="s">
        <v>279</v>
      </c>
      <c r="B64" s="4" t="s">
        <v>17</v>
      </c>
      <c r="C64" s="16" t="s">
        <v>18</v>
      </c>
      <c r="D64" s="4">
        <v>11</v>
      </c>
      <c r="E64" s="4" t="s">
        <v>745</v>
      </c>
      <c r="F64" t="s">
        <v>447</v>
      </c>
      <c r="G64" t="s">
        <v>434</v>
      </c>
      <c r="H64" t="s">
        <v>435</v>
      </c>
      <c r="I64" t="s">
        <v>436</v>
      </c>
      <c r="J64" s="4" t="s">
        <v>31</v>
      </c>
      <c r="K64" s="4" t="s">
        <v>20</v>
      </c>
      <c r="L64" s="4" t="s">
        <v>742</v>
      </c>
      <c r="M64" s="17">
        <v>24</v>
      </c>
      <c r="N64" s="17">
        <v>1031</v>
      </c>
      <c r="O64" s="18" t="s">
        <v>31</v>
      </c>
      <c r="P64" s="18">
        <v>1031</v>
      </c>
      <c r="Q64" s="18">
        <v>24</v>
      </c>
      <c r="R64" s="18"/>
      <c r="S64" s="18"/>
      <c r="T64" s="18"/>
      <c r="U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4" s="19">
        <f>IF(AUDITORIA[[#This Row],[CAT]]="",0,1)</f>
        <v>1</v>
      </c>
      <c r="W64" s="20">
        <v>46135</v>
      </c>
      <c r="X64" s="21" t="str">
        <f>UPPER(IF(AUDITORIA[[#This Row],[DATA VERIFICAÇÃO]]="","",TEXT(AUDITORIA[[#This Row],[DATA VERIFICAÇÃO]],"mmm")))</f>
        <v>ABR</v>
      </c>
      <c r="Y64" t="s">
        <v>598</v>
      </c>
      <c r="Z64" t="s">
        <v>599</v>
      </c>
      <c r="AA64" t="s">
        <v>600</v>
      </c>
    </row>
    <row r="65" spans="1:27" ht="14.4" hidden="1" customHeight="1" x14ac:dyDescent="0.3">
      <c r="A65" s="4" t="s">
        <v>279</v>
      </c>
      <c r="B65" s="4" t="s">
        <v>17</v>
      </c>
      <c r="C65" s="16" t="s">
        <v>18</v>
      </c>
      <c r="D65" s="4">
        <v>11</v>
      </c>
      <c r="E65" s="4" t="s">
        <v>745</v>
      </c>
      <c r="F65" t="s">
        <v>440</v>
      </c>
      <c r="G65" t="s">
        <v>434</v>
      </c>
      <c r="H65" t="s">
        <v>435</v>
      </c>
      <c r="I65" t="s">
        <v>436</v>
      </c>
      <c r="J65" s="4" t="s">
        <v>31</v>
      </c>
      <c r="K65" s="4" t="s">
        <v>20</v>
      </c>
      <c r="L65" s="4" t="s">
        <v>742</v>
      </c>
      <c r="M65" s="17">
        <v>24</v>
      </c>
      <c r="N65" s="17">
        <v>1029</v>
      </c>
      <c r="O65" s="18" t="s">
        <v>31</v>
      </c>
      <c r="P65" s="18">
        <v>1029</v>
      </c>
      <c r="Q65" s="18">
        <v>24</v>
      </c>
      <c r="R65" s="18"/>
      <c r="S65" s="18"/>
      <c r="T65" s="18"/>
      <c r="U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5" s="19">
        <f>IF(AUDITORIA[[#This Row],[CAT]]="",0,1)</f>
        <v>1</v>
      </c>
      <c r="W65" s="20">
        <v>46135</v>
      </c>
      <c r="X65" s="21" t="str">
        <f>UPPER(IF(AUDITORIA[[#This Row],[DATA VERIFICAÇÃO]]="","",TEXT(AUDITORIA[[#This Row],[DATA VERIFICAÇÃO]],"mmm")))</f>
        <v>ABR</v>
      </c>
      <c r="Y65" t="s">
        <v>598</v>
      </c>
      <c r="Z65" t="s">
        <v>599</v>
      </c>
      <c r="AA65" t="s">
        <v>600</v>
      </c>
    </row>
    <row r="66" spans="1:27" ht="14.4" hidden="1" customHeight="1" x14ac:dyDescent="0.3">
      <c r="A66" s="4" t="s">
        <v>279</v>
      </c>
      <c r="B66" s="4" t="s">
        <v>17</v>
      </c>
      <c r="C66" s="16" t="s">
        <v>18</v>
      </c>
      <c r="D66" s="4">
        <v>11</v>
      </c>
      <c r="E66" s="4" t="s">
        <v>745</v>
      </c>
      <c r="F66" t="s">
        <v>433</v>
      </c>
      <c r="G66" t="s">
        <v>434</v>
      </c>
      <c r="H66" t="s">
        <v>435</v>
      </c>
      <c r="I66" t="s">
        <v>436</v>
      </c>
      <c r="J66" s="4" t="s">
        <v>31</v>
      </c>
      <c r="K66" s="4" t="s">
        <v>20</v>
      </c>
      <c r="L66" s="4" t="s">
        <v>742</v>
      </c>
      <c r="M66" s="17">
        <v>14</v>
      </c>
      <c r="N66" s="17">
        <v>1033</v>
      </c>
      <c r="O66" s="18" t="s">
        <v>31</v>
      </c>
      <c r="P66" s="18">
        <v>1033</v>
      </c>
      <c r="Q66" s="18">
        <v>14</v>
      </c>
      <c r="R66" s="18"/>
      <c r="S66" s="18"/>
      <c r="T66" s="18"/>
      <c r="U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6" s="19">
        <f>IF(AUDITORIA[[#This Row],[CAT]]="",0,1)</f>
        <v>1</v>
      </c>
      <c r="W66" s="20">
        <v>46135</v>
      </c>
      <c r="X66" s="21" t="str">
        <f>UPPER(IF(AUDITORIA[[#This Row],[DATA VERIFICAÇÃO]]="","",TEXT(AUDITORIA[[#This Row],[DATA VERIFICAÇÃO]],"mmm")))</f>
        <v>ABR</v>
      </c>
      <c r="Y66" t="s">
        <v>598</v>
      </c>
      <c r="Z66" t="s">
        <v>599</v>
      </c>
      <c r="AA66" t="s">
        <v>600</v>
      </c>
    </row>
    <row r="67" spans="1:27" ht="14.4" hidden="1" customHeight="1" x14ac:dyDescent="0.3">
      <c r="A67" s="4" t="s">
        <v>279</v>
      </c>
      <c r="B67" s="4" t="s">
        <v>17</v>
      </c>
      <c r="C67" s="16" t="s">
        <v>18</v>
      </c>
      <c r="D67" s="4">
        <v>11</v>
      </c>
      <c r="E67" s="4" t="s">
        <v>745</v>
      </c>
      <c r="F67" t="s">
        <v>448</v>
      </c>
      <c r="G67" t="s">
        <v>434</v>
      </c>
      <c r="H67" t="s">
        <v>435</v>
      </c>
      <c r="I67" t="s">
        <v>436</v>
      </c>
      <c r="J67" s="4" t="s">
        <v>31</v>
      </c>
      <c r="K67" s="4" t="s">
        <v>21</v>
      </c>
      <c r="L67" s="4" t="s">
        <v>742</v>
      </c>
      <c r="M67" s="17">
        <v>18</v>
      </c>
      <c r="N67" s="17">
        <v>1203</v>
      </c>
      <c r="O67" s="18" t="s">
        <v>31</v>
      </c>
      <c r="P67" s="18">
        <v>1203</v>
      </c>
      <c r="Q67" s="18">
        <v>18</v>
      </c>
      <c r="R67" s="18"/>
      <c r="S67" s="18"/>
      <c r="T67" s="18"/>
      <c r="U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7" s="19">
        <f>IF(AUDITORIA[[#This Row],[CAT]]="",0,1)</f>
        <v>1</v>
      </c>
      <c r="W67" s="20">
        <v>46135</v>
      </c>
      <c r="X67" s="21" t="str">
        <f>UPPER(IF(AUDITORIA[[#This Row],[DATA VERIFICAÇÃO]]="","",TEXT(AUDITORIA[[#This Row],[DATA VERIFICAÇÃO]],"mmm")))</f>
        <v>ABR</v>
      </c>
      <c r="Y67" t="s">
        <v>598</v>
      </c>
      <c r="Z67" t="s">
        <v>599</v>
      </c>
      <c r="AA67" t="s">
        <v>600</v>
      </c>
    </row>
    <row r="68" spans="1:27" ht="14.4" hidden="1" customHeight="1" x14ac:dyDescent="0.3">
      <c r="A68" s="4" t="s">
        <v>279</v>
      </c>
      <c r="B68" s="4" t="s">
        <v>17</v>
      </c>
      <c r="C68" s="16" t="s">
        <v>18</v>
      </c>
      <c r="D68" s="4">
        <v>11</v>
      </c>
      <c r="E68" s="4" t="s">
        <v>745</v>
      </c>
      <c r="F68" t="s">
        <v>446</v>
      </c>
      <c r="G68" t="s">
        <v>434</v>
      </c>
      <c r="H68" t="s">
        <v>435</v>
      </c>
      <c r="I68" t="s">
        <v>436</v>
      </c>
      <c r="J68" s="4" t="s">
        <v>31</v>
      </c>
      <c r="K68" s="4" t="s">
        <v>21</v>
      </c>
      <c r="L68" s="4" t="s">
        <v>742</v>
      </c>
      <c r="M68" s="17">
        <v>18</v>
      </c>
      <c r="N68" s="17">
        <v>1201</v>
      </c>
      <c r="O68" s="18" t="s">
        <v>31</v>
      </c>
      <c r="P68" s="18">
        <v>1201</v>
      </c>
      <c r="Q68" s="18">
        <v>18</v>
      </c>
      <c r="R68" s="18"/>
      <c r="S68" s="18"/>
      <c r="T68" s="18"/>
      <c r="U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8" s="19">
        <f>IF(AUDITORIA[[#This Row],[CAT]]="",0,1)</f>
        <v>1</v>
      </c>
      <c r="W68" s="20">
        <v>46135</v>
      </c>
      <c r="X68" s="21" t="str">
        <f>UPPER(IF(AUDITORIA[[#This Row],[DATA VERIFICAÇÃO]]="","",TEXT(AUDITORIA[[#This Row],[DATA VERIFICAÇÃO]],"mmm")))</f>
        <v>ABR</v>
      </c>
      <c r="Y68" t="s">
        <v>598</v>
      </c>
      <c r="Z68" t="s">
        <v>599</v>
      </c>
      <c r="AA68" t="s">
        <v>600</v>
      </c>
    </row>
    <row r="69" spans="1:27" ht="14.4" hidden="1" customHeight="1" x14ac:dyDescent="0.3">
      <c r="A69" s="4" t="s">
        <v>279</v>
      </c>
      <c r="B69" s="4" t="s">
        <v>17</v>
      </c>
      <c r="C69" s="16" t="s">
        <v>18</v>
      </c>
      <c r="D69" s="4">
        <v>11</v>
      </c>
      <c r="E69" s="4" t="s">
        <v>745</v>
      </c>
      <c r="F69" t="s">
        <v>437</v>
      </c>
      <c r="G69" t="s">
        <v>434</v>
      </c>
      <c r="H69" t="s">
        <v>435</v>
      </c>
      <c r="I69" t="s">
        <v>436</v>
      </c>
      <c r="J69" s="4" t="s">
        <v>31</v>
      </c>
      <c r="K69" s="4" t="s">
        <v>21</v>
      </c>
      <c r="L69" s="4" t="s">
        <v>742</v>
      </c>
      <c r="M69" s="17">
        <v>9</v>
      </c>
      <c r="N69" s="17">
        <v>1200</v>
      </c>
      <c r="O69" s="18" t="s">
        <v>31</v>
      </c>
      <c r="P69" s="18">
        <v>1200</v>
      </c>
      <c r="Q69" s="18">
        <v>9</v>
      </c>
      <c r="R69" s="18"/>
      <c r="S69" s="18"/>
      <c r="T69" s="18"/>
      <c r="U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9" s="19">
        <f>IF(AUDITORIA[[#This Row],[CAT]]="",0,1)</f>
        <v>1</v>
      </c>
      <c r="W69" s="20">
        <v>46135</v>
      </c>
      <c r="X69" s="21" t="str">
        <f>UPPER(IF(AUDITORIA[[#This Row],[DATA VERIFICAÇÃO]]="","",TEXT(AUDITORIA[[#This Row],[DATA VERIFICAÇÃO]],"mmm")))</f>
        <v>ABR</v>
      </c>
      <c r="Y69" t="s">
        <v>598</v>
      </c>
      <c r="Z69" t="s">
        <v>599</v>
      </c>
      <c r="AA69" t="s">
        <v>600</v>
      </c>
    </row>
    <row r="70" spans="1:27" ht="14.4" hidden="1" customHeight="1" x14ac:dyDescent="0.3">
      <c r="A70" s="4" t="s">
        <v>279</v>
      </c>
      <c r="B70" s="4" t="s">
        <v>17</v>
      </c>
      <c r="C70" s="16" t="s">
        <v>18</v>
      </c>
      <c r="D70" s="4">
        <v>11</v>
      </c>
      <c r="E70" s="4" t="s">
        <v>745</v>
      </c>
      <c r="F70" t="s">
        <v>364</v>
      </c>
      <c r="G70" t="s">
        <v>106</v>
      </c>
      <c r="H70" t="s">
        <v>107</v>
      </c>
      <c r="I70" t="s">
        <v>108</v>
      </c>
      <c r="J70" s="4" t="s">
        <v>19</v>
      </c>
      <c r="K70" s="4" t="s">
        <v>20</v>
      </c>
      <c r="L70" s="4" t="s">
        <v>742</v>
      </c>
      <c r="M70" s="17">
        <v>30</v>
      </c>
      <c r="N70" s="17">
        <v>846</v>
      </c>
      <c r="O70" s="18" t="s">
        <v>19</v>
      </c>
      <c r="P70" s="18">
        <v>846</v>
      </c>
      <c r="Q70" s="18">
        <v>30</v>
      </c>
      <c r="R70" s="18"/>
      <c r="S70" s="18"/>
      <c r="T70" s="18"/>
      <c r="U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0" s="19">
        <f>IF(AUDITORIA[[#This Row],[CAT]]="",0,1)</f>
        <v>1</v>
      </c>
      <c r="W70" s="20">
        <v>46135</v>
      </c>
      <c r="X70" s="21" t="str">
        <f>UPPER(IF(AUDITORIA[[#This Row],[DATA VERIFICAÇÃO]]="","",TEXT(AUDITORIA[[#This Row],[DATA VERIFICAÇÃO]],"mmm")))</f>
        <v>ABR</v>
      </c>
      <c r="Y70" t="s">
        <v>598</v>
      </c>
      <c r="Z70" t="s">
        <v>599</v>
      </c>
      <c r="AA70" t="s">
        <v>600</v>
      </c>
    </row>
    <row r="71" spans="1:27" ht="14.4" hidden="1" customHeight="1" x14ac:dyDescent="0.3">
      <c r="A71" s="4" t="s">
        <v>279</v>
      </c>
      <c r="B71" s="4" t="s">
        <v>17</v>
      </c>
      <c r="C71" s="16" t="s">
        <v>18</v>
      </c>
      <c r="D71" s="4">
        <v>11</v>
      </c>
      <c r="E71" s="4" t="s">
        <v>745</v>
      </c>
      <c r="F71" t="s">
        <v>363</v>
      </c>
      <c r="G71" t="s">
        <v>106</v>
      </c>
      <c r="H71" t="s">
        <v>107</v>
      </c>
      <c r="I71" t="s">
        <v>108</v>
      </c>
      <c r="J71" s="4" t="s">
        <v>19</v>
      </c>
      <c r="K71" s="4" t="s">
        <v>20</v>
      </c>
      <c r="L71" s="4" t="s">
        <v>742</v>
      </c>
      <c r="M71" s="17">
        <v>30</v>
      </c>
      <c r="N71" s="17">
        <v>834</v>
      </c>
      <c r="O71" s="18" t="s">
        <v>19</v>
      </c>
      <c r="P71" s="18">
        <v>834</v>
      </c>
      <c r="Q71" s="18">
        <v>30</v>
      </c>
      <c r="R71" s="18"/>
      <c r="S71" s="18"/>
      <c r="T71" s="18"/>
      <c r="U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1" s="19">
        <f>IF(AUDITORIA[[#This Row],[CAT]]="",0,1)</f>
        <v>1</v>
      </c>
      <c r="W71" s="20">
        <v>46135</v>
      </c>
      <c r="X71" s="21" t="str">
        <f>UPPER(IF(AUDITORIA[[#This Row],[DATA VERIFICAÇÃO]]="","",TEXT(AUDITORIA[[#This Row],[DATA VERIFICAÇÃO]],"mmm")))</f>
        <v>ABR</v>
      </c>
      <c r="Y71" t="s">
        <v>598</v>
      </c>
      <c r="Z71" t="s">
        <v>599</v>
      </c>
      <c r="AA71" t="s">
        <v>600</v>
      </c>
    </row>
    <row r="72" spans="1:27" ht="14.4" hidden="1" customHeight="1" x14ac:dyDescent="0.3">
      <c r="A72" s="4" t="s">
        <v>279</v>
      </c>
      <c r="B72" s="4" t="s">
        <v>17</v>
      </c>
      <c r="C72" s="16" t="s">
        <v>18</v>
      </c>
      <c r="D72" s="4">
        <v>11</v>
      </c>
      <c r="E72" s="4" t="s">
        <v>745</v>
      </c>
      <c r="F72" t="s">
        <v>360</v>
      </c>
      <c r="G72" t="s">
        <v>106</v>
      </c>
      <c r="H72" t="s">
        <v>107</v>
      </c>
      <c r="I72" t="s">
        <v>108</v>
      </c>
      <c r="J72" s="4" t="s">
        <v>19</v>
      </c>
      <c r="K72" s="4" t="s">
        <v>20</v>
      </c>
      <c r="L72" s="4" t="s">
        <v>742</v>
      </c>
      <c r="M72" s="17">
        <v>30</v>
      </c>
      <c r="N72" s="17">
        <v>853</v>
      </c>
      <c r="O72" s="18" t="s">
        <v>19</v>
      </c>
      <c r="P72" s="18">
        <v>853</v>
      </c>
      <c r="Q72" s="18">
        <v>30</v>
      </c>
      <c r="R72" s="18"/>
      <c r="S72" s="18"/>
      <c r="T72" s="18"/>
      <c r="U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2" s="19">
        <f>IF(AUDITORIA[[#This Row],[CAT]]="",0,1)</f>
        <v>1</v>
      </c>
      <c r="W72" s="20">
        <v>46135</v>
      </c>
      <c r="X72" s="21" t="str">
        <f>UPPER(IF(AUDITORIA[[#This Row],[DATA VERIFICAÇÃO]]="","",TEXT(AUDITORIA[[#This Row],[DATA VERIFICAÇÃO]],"mmm")))</f>
        <v>ABR</v>
      </c>
      <c r="Y72" t="s">
        <v>598</v>
      </c>
      <c r="Z72" t="s">
        <v>599</v>
      </c>
      <c r="AA72" t="s">
        <v>600</v>
      </c>
    </row>
    <row r="73" spans="1:27" ht="14.4" hidden="1" customHeight="1" x14ac:dyDescent="0.3">
      <c r="A73" s="4" t="s">
        <v>279</v>
      </c>
      <c r="B73" s="4" t="s">
        <v>17</v>
      </c>
      <c r="C73" s="16" t="s">
        <v>18</v>
      </c>
      <c r="D73" s="4">
        <v>11</v>
      </c>
      <c r="E73" s="4" t="s">
        <v>745</v>
      </c>
      <c r="F73" t="s">
        <v>356</v>
      </c>
      <c r="G73" t="s">
        <v>106</v>
      </c>
      <c r="H73" t="s">
        <v>107</v>
      </c>
      <c r="I73" t="s">
        <v>108</v>
      </c>
      <c r="J73" s="4" t="s">
        <v>19</v>
      </c>
      <c r="K73" s="4" t="s">
        <v>20</v>
      </c>
      <c r="L73" s="4" t="s">
        <v>742</v>
      </c>
      <c r="M73" s="17">
        <v>30</v>
      </c>
      <c r="N73" s="17">
        <v>849</v>
      </c>
      <c r="O73" s="18" t="s">
        <v>19</v>
      </c>
      <c r="P73" s="18">
        <v>849</v>
      </c>
      <c r="Q73" s="18">
        <v>30</v>
      </c>
      <c r="R73" s="18"/>
      <c r="S73" s="18"/>
      <c r="T73" s="18"/>
      <c r="U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3" s="19">
        <f>IF(AUDITORIA[[#This Row],[CAT]]="",0,1)</f>
        <v>1</v>
      </c>
      <c r="W73" s="20">
        <v>46135</v>
      </c>
      <c r="X73" s="21" t="str">
        <f>UPPER(IF(AUDITORIA[[#This Row],[DATA VERIFICAÇÃO]]="","",TEXT(AUDITORIA[[#This Row],[DATA VERIFICAÇÃO]],"mmm")))</f>
        <v>ABR</v>
      </c>
      <c r="Y73" t="s">
        <v>598</v>
      </c>
      <c r="Z73" t="s">
        <v>599</v>
      </c>
      <c r="AA73" t="s">
        <v>600</v>
      </c>
    </row>
    <row r="74" spans="1:27" ht="14.4" hidden="1" customHeight="1" x14ac:dyDescent="0.3">
      <c r="A74" s="4" t="s">
        <v>279</v>
      </c>
      <c r="B74" s="4" t="s">
        <v>17</v>
      </c>
      <c r="C74" s="16" t="s">
        <v>18</v>
      </c>
      <c r="D74" s="4">
        <v>11</v>
      </c>
      <c r="E74" s="4" t="s">
        <v>745</v>
      </c>
      <c r="F74" t="s">
        <v>355</v>
      </c>
      <c r="G74" t="s">
        <v>106</v>
      </c>
      <c r="H74" t="s">
        <v>107</v>
      </c>
      <c r="I74" t="s">
        <v>108</v>
      </c>
      <c r="J74" s="4" t="s">
        <v>19</v>
      </c>
      <c r="K74" s="4" t="s">
        <v>20</v>
      </c>
      <c r="L74" s="4" t="s">
        <v>742</v>
      </c>
      <c r="M74" s="17">
        <v>30</v>
      </c>
      <c r="N74" s="17">
        <v>853</v>
      </c>
      <c r="O74" s="18" t="s">
        <v>19</v>
      </c>
      <c r="P74" s="18">
        <v>853</v>
      </c>
      <c r="Q74" s="18">
        <v>30</v>
      </c>
      <c r="R74" s="18"/>
      <c r="S74" s="18"/>
      <c r="T74" s="18"/>
      <c r="U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4" s="19">
        <f>IF(AUDITORIA[[#This Row],[CAT]]="",0,1)</f>
        <v>1</v>
      </c>
      <c r="W74" s="20">
        <v>46135</v>
      </c>
      <c r="X74" s="21" t="str">
        <f>UPPER(IF(AUDITORIA[[#This Row],[DATA VERIFICAÇÃO]]="","",TEXT(AUDITORIA[[#This Row],[DATA VERIFICAÇÃO]],"mmm")))</f>
        <v>ABR</v>
      </c>
      <c r="Y74" t="s">
        <v>598</v>
      </c>
      <c r="Z74" t="s">
        <v>599</v>
      </c>
      <c r="AA74" t="s">
        <v>600</v>
      </c>
    </row>
    <row r="75" spans="1:27" ht="14.4" hidden="1" customHeight="1" x14ac:dyDescent="0.3">
      <c r="A75" s="4" t="s">
        <v>279</v>
      </c>
      <c r="B75" s="4" t="s">
        <v>17</v>
      </c>
      <c r="C75" s="16" t="s">
        <v>18</v>
      </c>
      <c r="D75" s="4">
        <v>11</v>
      </c>
      <c r="E75" s="4" t="s">
        <v>745</v>
      </c>
      <c r="F75" t="s">
        <v>352</v>
      </c>
      <c r="G75" t="s">
        <v>106</v>
      </c>
      <c r="H75" t="s">
        <v>107</v>
      </c>
      <c r="I75" t="s">
        <v>108</v>
      </c>
      <c r="J75" s="4" t="s">
        <v>19</v>
      </c>
      <c r="K75" s="4" t="s">
        <v>20</v>
      </c>
      <c r="L75" s="4" t="s">
        <v>742</v>
      </c>
      <c r="M75" s="17">
        <v>30</v>
      </c>
      <c r="N75" s="17">
        <v>833</v>
      </c>
      <c r="O75" s="18" t="s">
        <v>19</v>
      </c>
      <c r="P75" s="18">
        <v>833</v>
      </c>
      <c r="Q75" s="18">
        <v>30</v>
      </c>
      <c r="R75" s="18"/>
      <c r="S75" s="18"/>
      <c r="T75" s="18"/>
      <c r="U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5" s="19">
        <f>IF(AUDITORIA[[#This Row],[CAT]]="",0,1)</f>
        <v>1</v>
      </c>
      <c r="W75" s="20">
        <v>46135</v>
      </c>
      <c r="X75" s="21" t="str">
        <f>UPPER(IF(AUDITORIA[[#This Row],[DATA VERIFICAÇÃO]]="","",TEXT(AUDITORIA[[#This Row],[DATA VERIFICAÇÃO]],"mmm")))</f>
        <v>ABR</v>
      </c>
      <c r="Y75" t="s">
        <v>598</v>
      </c>
      <c r="Z75" t="s">
        <v>599</v>
      </c>
      <c r="AA75" t="s">
        <v>600</v>
      </c>
    </row>
    <row r="76" spans="1:27" ht="14.4" hidden="1" customHeight="1" x14ac:dyDescent="0.3">
      <c r="A76" s="4" t="s">
        <v>279</v>
      </c>
      <c r="B76" s="4" t="s">
        <v>17</v>
      </c>
      <c r="C76" s="16" t="s">
        <v>18</v>
      </c>
      <c r="D76" s="4">
        <v>11</v>
      </c>
      <c r="E76" s="4" t="s">
        <v>745</v>
      </c>
      <c r="F76" t="s">
        <v>349</v>
      </c>
      <c r="G76" t="s">
        <v>106</v>
      </c>
      <c r="H76" t="s">
        <v>107</v>
      </c>
      <c r="I76" t="s">
        <v>108</v>
      </c>
      <c r="J76" s="4" t="s">
        <v>19</v>
      </c>
      <c r="K76" s="4" t="s">
        <v>20</v>
      </c>
      <c r="L76" s="4" t="s">
        <v>742</v>
      </c>
      <c r="M76" s="17">
        <v>30</v>
      </c>
      <c r="N76" s="17">
        <v>844</v>
      </c>
      <c r="O76" s="18" t="s">
        <v>19</v>
      </c>
      <c r="P76" s="18">
        <v>844</v>
      </c>
      <c r="Q76" s="18">
        <v>30</v>
      </c>
      <c r="R76" s="18"/>
      <c r="S76" s="18"/>
      <c r="T76" s="18"/>
      <c r="U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6" s="19">
        <f>IF(AUDITORIA[[#This Row],[CAT]]="",0,1)</f>
        <v>1</v>
      </c>
      <c r="W76" s="20">
        <v>46135</v>
      </c>
      <c r="X76" s="21" t="str">
        <f>UPPER(IF(AUDITORIA[[#This Row],[DATA VERIFICAÇÃO]]="","",TEXT(AUDITORIA[[#This Row],[DATA VERIFICAÇÃO]],"mmm")))</f>
        <v>ABR</v>
      </c>
      <c r="Y76" t="s">
        <v>598</v>
      </c>
      <c r="Z76" t="s">
        <v>599</v>
      </c>
      <c r="AA76" t="s">
        <v>600</v>
      </c>
    </row>
    <row r="77" spans="1:27" ht="14.4" hidden="1" customHeight="1" x14ac:dyDescent="0.3">
      <c r="A77" s="4" t="s">
        <v>279</v>
      </c>
      <c r="B77" s="4" t="s">
        <v>17</v>
      </c>
      <c r="C77" s="16" t="s">
        <v>18</v>
      </c>
      <c r="D77" s="4">
        <v>11</v>
      </c>
      <c r="E77" s="4" t="s">
        <v>745</v>
      </c>
      <c r="F77" t="s">
        <v>348</v>
      </c>
      <c r="G77" t="s">
        <v>106</v>
      </c>
      <c r="H77" t="s">
        <v>107</v>
      </c>
      <c r="I77" t="s">
        <v>108</v>
      </c>
      <c r="J77" s="4" t="s">
        <v>19</v>
      </c>
      <c r="K77" s="4" t="s">
        <v>20</v>
      </c>
      <c r="L77" s="4" t="s">
        <v>742</v>
      </c>
      <c r="M77" s="17">
        <v>30</v>
      </c>
      <c r="N77" s="17">
        <v>842</v>
      </c>
      <c r="O77" s="18" t="s">
        <v>19</v>
      </c>
      <c r="P77" s="18">
        <v>842</v>
      </c>
      <c r="Q77" s="18">
        <v>30</v>
      </c>
      <c r="R77" s="18"/>
      <c r="S77" s="18"/>
      <c r="T77" s="18"/>
      <c r="U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7" s="19">
        <f>IF(AUDITORIA[[#This Row],[CAT]]="",0,1)</f>
        <v>1</v>
      </c>
      <c r="W77" s="20">
        <v>46135</v>
      </c>
      <c r="X77" s="21" t="str">
        <f>UPPER(IF(AUDITORIA[[#This Row],[DATA VERIFICAÇÃO]]="","",TEXT(AUDITORIA[[#This Row],[DATA VERIFICAÇÃO]],"mmm")))</f>
        <v>ABR</v>
      </c>
      <c r="Y77" t="s">
        <v>598</v>
      </c>
      <c r="Z77" t="s">
        <v>599</v>
      </c>
      <c r="AA77" t="s">
        <v>600</v>
      </c>
    </row>
    <row r="78" spans="1:27" ht="14.4" hidden="1" customHeight="1" x14ac:dyDescent="0.3">
      <c r="A78" s="4" t="s">
        <v>279</v>
      </c>
      <c r="B78" s="4" t="s">
        <v>17</v>
      </c>
      <c r="C78" s="16" t="s">
        <v>18</v>
      </c>
      <c r="D78" s="4">
        <v>11</v>
      </c>
      <c r="E78" s="4" t="s">
        <v>745</v>
      </c>
      <c r="F78" t="s">
        <v>344</v>
      </c>
      <c r="G78" t="s">
        <v>106</v>
      </c>
      <c r="H78" t="s">
        <v>107</v>
      </c>
      <c r="I78" t="s">
        <v>108</v>
      </c>
      <c r="J78" s="4" t="s">
        <v>19</v>
      </c>
      <c r="K78" s="4" t="s">
        <v>20</v>
      </c>
      <c r="L78" s="4" t="s">
        <v>742</v>
      </c>
      <c r="M78" s="17">
        <v>30</v>
      </c>
      <c r="N78" s="17">
        <v>853</v>
      </c>
      <c r="O78" s="18" t="s">
        <v>19</v>
      </c>
      <c r="P78" s="18">
        <v>853</v>
      </c>
      <c r="Q78" s="18">
        <v>30</v>
      </c>
      <c r="R78" s="18"/>
      <c r="S78" s="18"/>
      <c r="T78" s="18"/>
      <c r="U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8" s="19">
        <f>IF(AUDITORIA[[#This Row],[CAT]]="",0,1)</f>
        <v>1</v>
      </c>
      <c r="W78" s="20">
        <v>46135</v>
      </c>
      <c r="X78" s="21" t="str">
        <f>UPPER(IF(AUDITORIA[[#This Row],[DATA VERIFICAÇÃO]]="","",TEXT(AUDITORIA[[#This Row],[DATA VERIFICAÇÃO]],"mmm")))</f>
        <v>ABR</v>
      </c>
      <c r="Y78" t="s">
        <v>598</v>
      </c>
      <c r="Z78" t="s">
        <v>599</v>
      </c>
      <c r="AA78" t="s">
        <v>600</v>
      </c>
    </row>
    <row r="79" spans="1:27" ht="14.4" hidden="1" customHeight="1" x14ac:dyDescent="0.3">
      <c r="A79" s="4" t="s">
        <v>279</v>
      </c>
      <c r="B79" s="4" t="s">
        <v>17</v>
      </c>
      <c r="C79" s="16" t="s">
        <v>18</v>
      </c>
      <c r="D79" s="4">
        <v>11</v>
      </c>
      <c r="E79" s="4" t="s">
        <v>745</v>
      </c>
      <c r="F79" t="s">
        <v>343</v>
      </c>
      <c r="G79" t="s">
        <v>106</v>
      </c>
      <c r="H79" t="s">
        <v>107</v>
      </c>
      <c r="I79" t="s">
        <v>108</v>
      </c>
      <c r="J79" s="4" t="s">
        <v>19</v>
      </c>
      <c r="K79" s="4" t="s">
        <v>20</v>
      </c>
      <c r="L79" s="4" t="s">
        <v>742</v>
      </c>
      <c r="M79" s="17">
        <v>30</v>
      </c>
      <c r="N79" s="17">
        <v>838</v>
      </c>
      <c r="O79" s="18" t="s">
        <v>19</v>
      </c>
      <c r="P79" s="18">
        <v>838</v>
      </c>
      <c r="Q79" s="18">
        <v>30</v>
      </c>
      <c r="R79" s="18"/>
      <c r="S79" s="18"/>
      <c r="T79" s="18"/>
      <c r="U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9" s="19">
        <f>IF(AUDITORIA[[#This Row],[CAT]]="",0,1)</f>
        <v>1</v>
      </c>
      <c r="W79" s="20">
        <v>46135</v>
      </c>
      <c r="X79" s="21" t="str">
        <f>UPPER(IF(AUDITORIA[[#This Row],[DATA VERIFICAÇÃO]]="","",TEXT(AUDITORIA[[#This Row],[DATA VERIFICAÇÃO]],"mmm")))</f>
        <v>ABR</v>
      </c>
      <c r="Y79" t="s">
        <v>598</v>
      </c>
      <c r="Z79" t="s">
        <v>599</v>
      </c>
      <c r="AA79" t="s">
        <v>600</v>
      </c>
    </row>
    <row r="80" spans="1:27" ht="14.4" hidden="1" customHeight="1" x14ac:dyDescent="0.3">
      <c r="A80" s="4" t="s">
        <v>279</v>
      </c>
      <c r="B80" s="4" t="s">
        <v>17</v>
      </c>
      <c r="C80" s="16" t="s">
        <v>18</v>
      </c>
      <c r="D80" s="4">
        <v>11</v>
      </c>
      <c r="E80" s="4" t="s">
        <v>745</v>
      </c>
      <c r="F80" t="s">
        <v>340</v>
      </c>
      <c r="G80" t="s">
        <v>106</v>
      </c>
      <c r="H80" t="s">
        <v>107</v>
      </c>
      <c r="I80" t="s">
        <v>108</v>
      </c>
      <c r="J80" s="4" t="s">
        <v>19</v>
      </c>
      <c r="K80" s="4" t="s">
        <v>20</v>
      </c>
      <c r="L80" s="4" t="s">
        <v>742</v>
      </c>
      <c r="M80" s="17">
        <v>30</v>
      </c>
      <c r="N80" s="17">
        <v>842</v>
      </c>
      <c r="O80" s="18" t="s">
        <v>19</v>
      </c>
      <c r="P80" s="18">
        <v>842</v>
      </c>
      <c r="Q80" s="18">
        <v>30</v>
      </c>
      <c r="R80" s="18"/>
      <c r="S80" s="18"/>
      <c r="T80" s="18"/>
      <c r="U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0" s="19">
        <f>IF(AUDITORIA[[#This Row],[CAT]]="",0,1)</f>
        <v>1</v>
      </c>
      <c r="W80" s="20">
        <v>46135</v>
      </c>
      <c r="X80" s="21" t="str">
        <f>UPPER(IF(AUDITORIA[[#This Row],[DATA VERIFICAÇÃO]]="","",TEXT(AUDITORIA[[#This Row],[DATA VERIFICAÇÃO]],"mmm")))</f>
        <v>ABR</v>
      </c>
      <c r="Y80" t="s">
        <v>598</v>
      </c>
      <c r="Z80" t="s">
        <v>599</v>
      </c>
      <c r="AA80" t="s">
        <v>600</v>
      </c>
    </row>
    <row r="81" spans="1:27" ht="14.4" hidden="1" customHeight="1" x14ac:dyDescent="0.3">
      <c r="A81" s="4" t="s">
        <v>279</v>
      </c>
      <c r="B81" s="4" t="s">
        <v>17</v>
      </c>
      <c r="C81" s="16" t="s">
        <v>18</v>
      </c>
      <c r="D81" s="4">
        <v>11</v>
      </c>
      <c r="E81" s="4" t="s">
        <v>745</v>
      </c>
      <c r="F81" t="s">
        <v>339</v>
      </c>
      <c r="G81" t="s">
        <v>106</v>
      </c>
      <c r="H81" t="s">
        <v>107</v>
      </c>
      <c r="I81" t="s">
        <v>108</v>
      </c>
      <c r="J81" s="4" t="s">
        <v>19</v>
      </c>
      <c r="K81" s="4" t="s">
        <v>20</v>
      </c>
      <c r="L81" s="4" t="s">
        <v>742</v>
      </c>
      <c r="M81" s="17">
        <v>30</v>
      </c>
      <c r="N81" s="17">
        <v>825</v>
      </c>
      <c r="O81" s="18" t="s">
        <v>19</v>
      </c>
      <c r="P81" s="18">
        <v>825</v>
      </c>
      <c r="Q81" s="18">
        <v>30</v>
      </c>
      <c r="R81" s="18"/>
      <c r="S81" s="18"/>
      <c r="T81" s="18"/>
      <c r="U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1" s="19">
        <f>IF(AUDITORIA[[#This Row],[CAT]]="",0,1)</f>
        <v>1</v>
      </c>
      <c r="W81" s="20">
        <v>46135</v>
      </c>
      <c r="X81" s="21" t="str">
        <f>UPPER(IF(AUDITORIA[[#This Row],[DATA VERIFICAÇÃO]]="","",TEXT(AUDITORIA[[#This Row],[DATA VERIFICAÇÃO]],"mmm")))</f>
        <v>ABR</v>
      </c>
      <c r="Y81" t="s">
        <v>598</v>
      </c>
      <c r="Z81" t="s">
        <v>599</v>
      </c>
      <c r="AA81" t="s">
        <v>600</v>
      </c>
    </row>
    <row r="82" spans="1:27" ht="14.4" hidden="1" customHeight="1" x14ac:dyDescent="0.3">
      <c r="A82" s="4" t="s">
        <v>279</v>
      </c>
      <c r="B82" s="4" t="s">
        <v>17</v>
      </c>
      <c r="C82" s="16" t="s">
        <v>18</v>
      </c>
      <c r="D82" s="4">
        <v>11</v>
      </c>
      <c r="E82" s="4" t="s">
        <v>745</v>
      </c>
      <c r="F82" t="s">
        <v>333</v>
      </c>
      <c r="G82" t="s">
        <v>106</v>
      </c>
      <c r="H82" t="s">
        <v>107</v>
      </c>
      <c r="I82" t="s">
        <v>108</v>
      </c>
      <c r="J82" s="4" t="s">
        <v>19</v>
      </c>
      <c r="K82" s="4" t="s">
        <v>20</v>
      </c>
      <c r="L82" s="4" t="s">
        <v>742</v>
      </c>
      <c r="M82" s="17">
        <v>30</v>
      </c>
      <c r="N82" s="17">
        <v>842</v>
      </c>
      <c r="O82" s="18" t="s">
        <v>19</v>
      </c>
      <c r="P82" s="18">
        <v>842</v>
      </c>
      <c r="Q82" s="18">
        <v>30</v>
      </c>
      <c r="R82" s="18"/>
      <c r="S82" s="18"/>
      <c r="T82" s="18"/>
      <c r="U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2" s="19">
        <f>IF(AUDITORIA[[#This Row],[CAT]]="",0,1)</f>
        <v>1</v>
      </c>
      <c r="W82" s="20">
        <v>46135</v>
      </c>
      <c r="X82" s="21" t="str">
        <f>UPPER(IF(AUDITORIA[[#This Row],[DATA VERIFICAÇÃO]]="","",TEXT(AUDITORIA[[#This Row],[DATA VERIFICAÇÃO]],"mmm")))</f>
        <v>ABR</v>
      </c>
      <c r="Y82" t="s">
        <v>598</v>
      </c>
      <c r="Z82" t="s">
        <v>599</v>
      </c>
      <c r="AA82" t="s">
        <v>600</v>
      </c>
    </row>
    <row r="83" spans="1:27" ht="14.4" hidden="1" customHeight="1" x14ac:dyDescent="0.3">
      <c r="A83" s="4" t="s">
        <v>279</v>
      </c>
      <c r="B83" s="4" t="s">
        <v>17</v>
      </c>
      <c r="C83" s="16" t="s">
        <v>18</v>
      </c>
      <c r="D83" s="4">
        <v>11</v>
      </c>
      <c r="E83" s="4" t="s">
        <v>745</v>
      </c>
      <c r="F83" t="s">
        <v>331</v>
      </c>
      <c r="G83" t="s">
        <v>106</v>
      </c>
      <c r="H83" t="s">
        <v>107</v>
      </c>
      <c r="I83" t="s">
        <v>108</v>
      </c>
      <c r="J83" s="4" t="s">
        <v>19</v>
      </c>
      <c r="K83" s="4" t="s">
        <v>20</v>
      </c>
      <c r="L83" s="4" t="s">
        <v>742</v>
      </c>
      <c r="M83" s="17">
        <v>30</v>
      </c>
      <c r="N83" s="17">
        <v>851</v>
      </c>
      <c r="O83" s="18" t="s">
        <v>19</v>
      </c>
      <c r="P83" s="18">
        <v>851</v>
      </c>
      <c r="Q83" s="18">
        <v>30</v>
      </c>
      <c r="R83" s="18"/>
      <c r="S83" s="18"/>
      <c r="T83" s="18"/>
      <c r="U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3" s="19">
        <f>IF(AUDITORIA[[#This Row],[CAT]]="",0,1)</f>
        <v>1</v>
      </c>
      <c r="W83" s="20">
        <v>46135</v>
      </c>
      <c r="X83" s="21" t="str">
        <f>UPPER(IF(AUDITORIA[[#This Row],[DATA VERIFICAÇÃO]]="","",TEXT(AUDITORIA[[#This Row],[DATA VERIFICAÇÃO]],"mmm")))</f>
        <v>ABR</v>
      </c>
      <c r="Y83" t="s">
        <v>598</v>
      </c>
      <c r="Z83" t="s">
        <v>599</v>
      </c>
      <c r="AA83" t="s">
        <v>600</v>
      </c>
    </row>
    <row r="84" spans="1:27" ht="14.4" hidden="1" customHeight="1" x14ac:dyDescent="0.3">
      <c r="A84" s="4" t="s">
        <v>279</v>
      </c>
      <c r="B84" s="4" t="s">
        <v>17</v>
      </c>
      <c r="C84" s="16" t="s">
        <v>18</v>
      </c>
      <c r="D84" s="4">
        <v>11</v>
      </c>
      <c r="E84" s="4" t="s">
        <v>745</v>
      </c>
      <c r="F84" t="s">
        <v>327</v>
      </c>
      <c r="G84" t="s">
        <v>106</v>
      </c>
      <c r="H84" t="s">
        <v>107</v>
      </c>
      <c r="I84" t="s">
        <v>108</v>
      </c>
      <c r="J84" s="4" t="s">
        <v>19</v>
      </c>
      <c r="K84" s="4" t="s">
        <v>20</v>
      </c>
      <c r="L84" s="4" t="s">
        <v>742</v>
      </c>
      <c r="M84" s="17">
        <v>30</v>
      </c>
      <c r="N84" s="17">
        <v>850</v>
      </c>
      <c r="O84" s="18" t="s">
        <v>19</v>
      </c>
      <c r="P84" s="18">
        <v>850</v>
      </c>
      <c r="Q84" s="18">
        <v>30</v>
      </c>
      <c r="R84" s="18"/>
      <c r="S84" s="18"/>
      <c r="T84" s="18"/>
      <c r="U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4" s="19">
        <f>IF(AUDITORIA[[#This Row],[CAT]]="",0,1)</f>
        <v>1</v>
      </c>
      <c r="W84" s="20">
        <v>46135</v>
      </c>
      <c r="X84" s="21" t="str">
        <f>UPPER(IF(AUDITORIA[[#This Row],[DATA VERIFICAÇÃO]]="","",TEXT(AUDITORIA[[#This Row],[DATA VERIFICAÇÃO]],"mmm")))</f>
        <v>ABR</v>
      </c>
      <c r="Y84" t="s">
        <v>598</v>
      </c>
      <c r="Z84" t="s">
        <v>599</v>
      </c>
      <c r="AA84" t="s">
        <v>600</v>
      </c>
    </row>
    <row r="85" spans="1:27" ht="14.4" hidden="1" customHeight="1" x14ac:dyDescent="0.3">
      <c r="A85" s="4" t="s">
        <v>279</v>
      </c>
      <c r="B85" s="4" t="s">
        <v>17</v>
      </c>
      <c r="C85" s="16" t="s">
        <v>18</v>
      </c>
      <c r="D85" s="4">
        <v>11</v>
      </c>
      <c r="E85" s="4" t="s">
        <v>745</v>
      </c>
      <c r="F85" t="s">
        <v>325</v>
      </c>
      <c r="G85" t="s">
        <v>106</v>
      </c>
      <c r="H85" t="s">
        <v>107</v>
      </c>
      <c r="I85" t="s">
        <v>108</v>
      </c>
      <c r="J85" s="4" t="s">
        <v>19</v>
      </c>
      <c r="K85" s="4" t="s">
        <v>20</v>
      </c>
      <c r="L85" s="4" t="s">
        <v>742</v>
      </c>
      <c r="M85" s="17">
        <v>30</v>
      </c>
      <c r="N85" s="17">
        <v>850</v>
      </c>
      <c r="O85" s="18" t="s">
        <v>19</v>
      </c>
      <c r="P85" s="18">
        <v>850</v>
      </c>
      <c r="Q85" s="18">
        <v>30</v>
      </c>
      <c r="R85" s="18"/>
      <c r="S85" s="18"/>
      <c r="T85" s="18"/>
      <c r="U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5" s="19">
        <f>IF(AUDITORIA[[#This Row],[CAT]]="",0,1)</f>
        <v>1</v>
      </c>
      <c r="W85" s="20">
        <v>46135</v>
      </c>
      <c r="X85" s="21" t="str">
        <f>UPPER(IF(AUDITORIA[[#This Row],[DATA VERIFICAÇÃO]]="","",TEXT(AUDITORIA[[#This Row],[DATA VERIFICAÇÃO]],"mmm")))</f>
        <v>ABR</v>
      </c>
      <c r="Y85" t="s">
        <v>598</v>
      </c>
      <c r="Z85" t="s">
        <v>599</v>
      </c>
      <c r="AA85" t="s">
        <v>600</v>
      </c>
    </row>
    <row r="86" spans="1:27" ht="14.4" hidden="1" customHeight="1" x14ac:dyDescent="0.3">
      <c r="A86" s="4" t="s">
        <v>279</v>
      </c>
      <c r="B86" s="4" t="s">
        <v>17</v>
      </c>
      <c r="C86" s="16" t="s">
        <v>18</v>
      </c>
      <c r="D86" s="4">
        <v>11</v>
      </c>
      <c r="E86" s="4" t="s">
        <v>745</v>
      </c>
      <c r="F86" t="s">
        <v>321</v>
      </c>
      <c r="G86" t="s">
        <v>106</v>
      </c>
      <c r="H86" t="s">
        <v>107</v>
      </c>
      <c r="I86" t="s">
        <v>108</v>
      </c>
      <c r="J86" s="4" t="s">
        <v>19</v>
      </c>
      <c r="K86" s="4" t="s">
        <v>20</v>
      </c>
      <c r="L86" s="4" t="s">
        <v>742</v>
      </c>
      <c r="M86" s="17">
        <v>30</v>
      </c>
      <c r="N86" s="17">
        <v>830</v>
      </c>
      <c r="O86" s="18" t="s">
        <v>19</v>
      </c>
      <c r="P86" s="18">
        <v>830</v>
      </c>
      <c r="Q86" s="18">
        <v>30</v>
      </c>
      <c r="R86" s="18"/>
      <c r="S86" s="18"/>
      <c r="T86" s="18"/>
      <c r="U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6" s="19">
        <f>IF(AUDITORIA[[#This Row],[CAT]]="",0,1)</f>
        <v>1</v>
      </c>
      <c r="W86" s="20">
        <v>46135</v>
      </c>
      <c r="X86" s="21" t="str">
        <f>UPPER(IF(AUDITORIA[[#This Row],[DATA VERIFICAÇÃO]]="","",TEXT(AUDITORIA[[#This Row],[DATA VERIFICAÇÃO]],"mmm")))</f>
        <v>ABR</v>
      </c>
      <c r="Y86" t="s">
        <v>598</v>
      </c>
      <c r="Z86" t="s">
        <v>599</v>
      </c>
      <c r="AA86" t="s">
        <v>600</v>
      </c>
    </row>
    <row r="87" spans="1:27" ht="14.4" hidden="1" customHeight="1" x14ac:dyDescent="0.3">
      <c r="A87" s="4" t="s">
        <v>279</v>
      </c>
      <c r="B87" s="4" t="s">
        <v>17</v>
      </c>
      <c r="C87" s="16" t="s">
        <v>18</v>
      </c>
      <c r="D87" s="4">
        <v>11</v>
      </c>
      <c r="E87" s="4" t="s">
        <v>745</v>
      </c>
      <c r="F87" t="s">
        <v>318</v>
      </c>
      <c r="G87" t="s">
        <v>106</v>
      </c>
      <c r="H87" t="s">
        <v>107</v>
      </c>
      <c r="I87" t="s">
        <v>108</v>
      </c>
      <c r="J87" s="4" t="s">
        <v>19</v>
      </c>
      <c r="K87" s="4" t="s">
        <v>20</v>
      </c>
      <c r="L87" s="4" t="s">
        <v>742</v>
      </c>
      <c r="M87" s="17">
        <v>30</v>
      </c>
      <c r="N87" s="17">
        <v>846</v>
      </c>
      <c r="O87" s="18" t="s">
        <v>19</v>
      </c>
      <c r="P87" s="18">
        <v>846</v>
      </c>
      <c r="Q87" s="18">
        <v>30</v>
      </c>
      <c r="R87" s="18"/>
      <c r="S87" s="18"/>
      <c r="T87" s="18"/>
      <c r="U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7" s="19">
        <f>IF(AUDITORIA[[#This Row],[CAT]]="",0,1)</f>
        <v>1</v>
      </c>
      <c r="W87" s="20">
        <v>46135</v>
      </c>
      <c r="X87" s="21" t="str">
        <f>UPPER(IF(AUDITORIA[[#This Row],[DATA VERIFICAÇÃO]]="","",TEXT(AUDITORIA[[#This Row],[DATA VERIFICAÇÃO]],"mmm")))</f>
        <v>ABR</v>
      </c>
      <c r="Y87" t="s">
        <v>598</v>
      </c>
      <c r="Z87" t="s">
        <v>599</v>
      </c>
      <c r="AA87" t="s">
        <v>600</v>
      </c>
    </row>
    <row r="88" spans="1:27" ht="14.4" hidden="1" customHeight="1" x14ac:dyDescent="0.3">
      <c r="A88" s="4" t="s">
        <v>279</v>
      </c>
      <c r="B88" s="4" t="s">
        <v>17</v>
      </c>
      <c r="C88" s="16" t="s">
        <v>18</v>
      </c>
      <c r="D88" s="4">
        <v>11</v>
      </c>
      <c r="E88" s="4" t="s">
        <v>745</v>
      </c>
      <c r="F88" t="s">
        <v>315</v>
      </c>
      <c r="G88" t="s">
        <v>106</v>
      </c>
      <c r="H88" t="s">
        <v>107</v>
      </c>
      <c r="I88" t="s">
        <v>108</v>
      </c>
      <c r="J88" s="4" t="s">
        <v>19</v>
      </c>
      <c r="K88" s="4" t="s">
        <v>20</v>
      </c>
      <c r="L88" s="4" t="s">
        <v>742</v>
      </c>
      <c r="M88" s="17">
        <v>30</v>
      </c>
      <c r="N88" s="17">
        <v>841</v>
      </c>
      <c r="O88" s="18" t="s">
        <v>19</v>
      </c>
      <c r="P88" s="18">
        <v>841</v>
      </c>
      <c r="Q88" s="18">
        <v>30</v>
      </c>
      <c r="R88" s="18"/>
      <c r="S88" s="18"/>
      <c r="T88" s="18"/>
      <c r="U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8" s="19">
        <f>IF(AUDITORIA[[#This Row],[CAT]]="",0,1)</f>
        <v>1</v>
      </c>
      <c r="W88" s="20">
        <v>46135</v>
      </c>
      <c r="X88" s="21" t="str">
        <f>UPPER(IF(AUDITORIA[[#This Row],[DATA VERIFICAÇÃO]]="","",TEXT(AUDITORIA[[#This Row],[DATA VERIFICAÇÃO]],"mmm")))</f>
        <v>ABR</v>
      </c>
      <c r="Y88" t="s">
        <v>598</v>
      </c>
      <c r="Z88" t="s">
        <v>599</v>
      </c>
      <c r="AA88" t="s">
        <v>600</v>
      </c>
    </row>
    <row r="89" spans="1:27" ht="14.4" hidden="1" customHeight="1" x14ac:dyDescent="0.3">
      <c r="A89" s="4" t="s">
        <v>279</v>
      </c>
      <c r="B89" s="4" t="s">
        <v>17</v>
      </c>
      <c r="C89" s="16" t="s">
        <v>18</v>
      </c>
      <c r="D89" s="4">
        <v>11</v>
      </c>
      <c r="E89" s="4" t="s">
        <v>745</v>
      </c>
      <c r="F89" t="s">
        <v>311</v>
      </c>
      <c r="G89" t="s">
        <v>106</v>
      </c>
      <c r="H89" t="s">
        <v>107</v>
      </c>
      <c r="I89" t="s">
        <v>108</v>
      </c>
      <c r="J89" s="4" t="s">
        <v>19</v>
      </c>
      <c r="K89" s="4" t="s">
        <v>20</v>
      </c>
      <c r="L89" s="4" t="s">
        <v>742</v>
      </c>
      <c r="M89" s="17">
        <v>30</v>
      </c>
      <c r="N89" s="17">
        <v>857</v>
      </c>
      <c r="O89" s="18" t="s">
        <v>19</v>
      </c>
      <c r="P89" s="18">
        <v>857</v>
      </c>
      <c r="Q89" s="18">
        <v>30</v>
      </c>
      <c r="R89" s="18"/>
      <c r="S89" s="18"/>
      <c r="T89" s="18"/>
      <c r="U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9" s="19">
        <f>IF(AUDITORIA[[#This Row],[CAT]]="",0,1)</f>
        <v>1</v>
      </c>
      <c r="W89" s="20">
        <v>46135</v>
      </c>
      <c r="X89" s="21" t="str">
        <f>UPPER(IF(AUDITORIA[[#This Row],[DATA VERIFICAÇÃO]]="","",TEXT(AUDITORIA[[#This Row],[DATA VERIFICAÇÃO]],"mmm")))</f>
        <v>ABR</v>
      </c>
      <c r="Y89" t="s">
        <v>598</v>
      </c>
      <c r="Z89" t="s">
        <v>599</v>
      </c>
      <c r="AA89" t="s">
        <v>600</v>
      </c>
    </row>
    <row r="90" spans="1:27" ht="14.4" hidden="1" customHeight="1" x14ac:dyDescent="0.3">
      <c r="A90" s="4" t="s">
        <v>279</v>
      </c>
      <c r="B90" s="4" t="s">
        <v>17</v>
      </c>
      <c r="C90" s="16" t="s">
        <v>18</v>
      </c>
      <c r="D90" s="4">
        <v>11</v>
      </c>
      <c r="E90" s="4" t="s">
        <v>745</v>
      </c>
      <c r="F90" t="s">
        <v>307</v>
      </c>
      <c r="G90" t="s">
        <v>106</v>
      </c>
      <c r="H90" t="s">
        <v>107</v>
      </c>
      <c r="I90" t="s">
        <v>108</v>
      </c>
      <c r="J90" s="4" t="s">
        <v>19</v>
      </c>
      <c r="K90" s="4" t="s">
        <v>20</v>
      </c>
      <c r="L90" s="4" t="s">
        <v>742</v>
      </c>
      <c r="M90" s="17">
        <v>30</v>
      </c>
      <c r="N90" s="17">
        <v>858</v>
      </c>
      <c r="O90" s="18" t="s">
        <v>19</v>
      </c>
      <c r="P90" s="18">
        <v>858</v>
      </c>
      <c r="Q90" s="18">
        <v>30</v>
      </c>
      <c r="R90" s="18"/>
      <c r="S90" s="18"/>
      <c r="T90" s="18"/>
      <c r="U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0" s="19">
        <f>IF(AUDITORIA[[#This Row],[CAT]]="",0,1)</f>
        <v>1</v>
      </c>
      <c r="W90" s="20">
        <v>46135</v>
      </c>
      <c r="X90" s="21" t="str">
        <f>UPPER(IF(AUDITORIA[[#This Row],[DATA VERIFICAÇÃO]]="","",TEXT(AUDITORIA[[#This Row],[DATA VERIFICAÇÃO]],"mmm")))</f>
        <v>ABR</v>
      </c>
      <c r="Y90" t="s">
        <v>598</v>
      </c>
      <c r="Z90" t="s">
        <v>599</v>
      </c>
      <c r="AA90" t="s">
        <v>600</v>
      </c>
    </row>
    <row r="91" spans="1:27" ht="14.4" hidden="1" customHeight="1" x14ac:dyDescent="0.3">
      <c r="A91" s="4" t="s">
        <v>279</v>
      </c>
      <c r="B91" s="4" t="s">
        <v>17</v>
      </c>
      <c r="C91" s="16" t="s">
        <v>18</v>
      </c>
      <c r="D91" s="4">
        <v>11</v>
      </c>
      <c r="E91" s="4" t="s">
        <v>745</v>
      </c>
      <c r="F91" t="s">
        <v>305</v>
      </c>
      <c r="G91" t="s">
        <v>106</v>
      </c>
      <c r="H91" t="s">
        <v>107</v>
      </c>
      <c r="I91" t="s">
        <v>108</v>
      </c>
      <c r="J91" s="4" t="s">
        <v>19</v>
      </c>
      <c r="K91" s="4" t="s">
        <v>20</v>
      </c>
      <c r="L91" s="4" t="s">
        <v>742</v>
      </c>
      <c r="M91" s="17">
        <v>30</v>
      </c>
      <c r="N91" s="17">
        <v>852</v>
      </c>
      <c r="O91" s="18" t="s">
        <v>19</v>
      </c>
      <c r="P91" s="18">
        <v>852</v>
      </c>
      <c r="Q91" s="18">
        <v>30</v>
      </c>
      <c r="R91" s="18"/>
      <c r="S91" s="18"/>
      <c r="T91" s="18"/>
      <c r="U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1" s="19">
        <f>IF(AUDITORIA[[#This Row],[CAT]]="",0,1)</f>
        <v>1</v>
      </c>
      <c r="W91" s="20">
        <v>46135</v>
      </c>
      <c r="X91" s="21" t="str">
        <f>UPPER(IF(AUDITORIA[[#This Row],[DATA VERIFICAÇÃO]]="","",TEXT(AUDITORIA[[#This Row],[DATA VERIFICAÇÃO]],"mmm")))</f>
        <v>ABR</v>
      </c>
      <c r="Y91" t="s">
        <v>598</v>
      </c>
      <c r="Z91" t="s">
        <v>599</v>
      </c>
      <c r="AA91" t="s">
        <v>600</v>
      </c>
    </row>
    <row r="92" spans="1:27" ht="14.4" hidden="1" customHeight="1" x14ac:dyDescent="0.3">
      <c r="A92" s="4" t="s">
        <v>279</v>
      </c>
      <c r="B92" s="4" t="s">
        <v>17</v>
      </c>
      <c r="C92" s="16" t="s">
        <v>18</v>
      </c>
      <c r="D92" s="4">
        <v>11</v>
      </c>
      <c r="E92" s="4" t="s">
        <v>745</v>
      </c>
      <c r="F92" t="s">
        <v>300</v>
      </c>
      <c r="G92" t="s">
        <v>106</v>
      </c>
      <c r="H92" t="s">
        <v>107</v>
      </c>
      <c r="I92" t="s">
        <v>108</v>
      </c>
      <c r="J92" s="4" t="s">
        <v>19</v>
      </c>
      <c r="K92" s="4" t="s">
        <v>20</v>
      </c>
      <c r="L92" s="4" t="s">
        <v>742</v>
      </c>
      <c r="M92" s="17">
        <v>30</v>
      </c>
      <c r="N92" s="17">
        <v>854</v>
      </c>
      <c r="O92" s="18" t="s">
        <v>19</v>
      </c>
      <c r="P92" s="18">
        <v>854</v>
      </c>
      <c r="Q92" s="18">
        <v>30</v>
      </c>
      <c r="R92" s="18"/>
      <c r="S92" s="18"/>
      <c r="T92" s="18"/>
      <c r="U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2" s="19">
        <f>IF(AUDITORIA[[#This Row],[CAT]]="",0,1)</f>
        <v>1</v>
      </c>
      <c r="W92" s="20">
        <v>46135</v>
      </c>
      <c r="X92" s="21" t="str">
        <f>UPPER(IF(AUDITORIA[[#This Row],[DATA VERIFICAÇÃO]]="","",TEXT(AUDITORIA[[#This Row],[DATA VERIFICAÇÃO]],"mmm")))</f>
        <v>ABR</v>
      </c>
      <c r="Y92" t="s">
        <v>598</v>
      </c>
      <c r="Z92" t="s">
        <v>599</v>
      </c>
      <c r="AA92" t="s">
        <v>600</v>
      </c>
    </row>
    <row r="93" spans="1:27" ht="14.4" hidden="1" customHeight="1" x14ac:dyDescent="0.3">
      <c r="A93" s="4" t="s">
        <v>279</v>
      </c>
      <c r="B93" s="4" t="s">
        <v>17</v>
      </c>
      <c r="C93" s="16" t="s">
        <v>18</v>
      </c>
      <c r="D93" s="4">
        <v>11</v>
      </c>
      <c r="E93" s="4" t="s">
        <v>745</v>
      </c>
      <c r="F93" t="s">
        <v>296</v>
      </c>
      <c r="G93" t="s">
        <v>106</v>
      </c>
      <c r="H93" t="s">
        <v>107</v>
      </c>
      <c r="I93" t="s">
        <v>108</v>
      </c>
      <c r="J93" s="4" t="s">
        <v>19</v>
      </c>
      <c r="K93" s="4" t="s">
        <v>20</v>
      </c>
      <c r="L93" s="4" t="s">
        <v>742</v>
      </c>
      <c r="M93" s="17">
        <v>30</v>
      </c>
      <c r="N93" s="17">
        <v>863</v>
      </c>
      <c r="O93" s="18" t="s">
        <v>19</v>
      </c>
      <c r="P93" s="18">
        <v>863</v>
      </c>
      <c r="Q93" s="18">
        <v>30</v>
      </c>
      <c r="R93" s="18"/>
      <c r="S93" s="18"/>
      <c r="T93" s="18"/>
      <c r="U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3" s="19">
        <f>IF(AUDITORIA[[#This Row],[CAT]]="",0,1)</f>
        <v>1</v>
      </c>
      <c r="W93" s="20">
        <v>46135</v>
      </c>
      <c r="X93" s="21" t="str">
        <f>UPPER(IF(AUDITORIA[[#This Row],[DATA VERIFICAÇÃO]]="","",TEXT(AUDITORIA[[#This Row],[DATA VERIFICAÇÃO]],"mmm")))</f>
        <v>ABR</v>
      </c>
      <c r="Y93" t="s">
        <v>598</v>
      </c>
      <c r="Z93" t="s">
        <v>599</v>
      </c>
      <c r="AA93" t="s">
        <v>600</v>
      </c>
    </row>
    <row r="94" spans="1:27" ht="14.4" hidden="1" customHeight="1" x14ac:dyDescent="0.3">
      <c r="A94" s="4" t="s">
        <v>279</v>
      </c>
      <c r="B94" s="4" t="s">
        <v>17</v>
      </c>
      <c r="C94" s="16" t="s">
        <v>18</v>
      </c>
      <c r="D94" s="4">
        <v>11</v>
      </c>
      <c r="E94" s="4" t="s">
        <v>745</v>
      </c>
      <c r="F94" t="s">
        <v>294</v>
      </c>
      <c r="G94" t="s">
        <v>106</v>
      </c>
      <c r="H94" t="s">
        <v>107</v>
      </c>
      <c r="I94" t="s">
        <v>108</v>
      </c>
      <c r="J94" s="4" t="s">
        <v>19</v>
      </c>
      <c r="K94" s="4" t="s">
        <v>20</v>
      </c>
      <c r="L94" s="4" t="s">
        <v>742</v>
      </c>
      <c r="M94" s="17">
        <v>30</v>
      </c>
      <c r="N94" s="17">
        <v>844</v>
      </c>
      <c r="O94" s="18" t="s">
        <v>19</v>
      </c>
      <c r="P94" s="18">
        <v>844</v>
      </c>
      <c r="Q94" s="18">
        <v>30</v>
      </c>
      <c r="R94" s="18"/>
      <c r="S94" s="18"/>
      <c r="T94" s="18"/>
      <c r="U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4" s="19">
        <f>IF(AUDITORIA[[#This Row],[CAT]]="",0,1)</f>
        <v>1</v>
      </c>
      <c r="W94" s="20">
        <v>46135</v>
      </c>
      <c r="X94" s="21" t="str">
        <f>UPPER(IF(AUDITORIA[[#This Row],[DATA VERIFICAÇÃO]]="","",TEXT(AUDITORIA[[#This Row],[DATA VERIFICAÇÃO]],"mmm")))</f>
        <v>ABR</v>
      </c>
      <c r="Y94" t="s">
        <v>598</v>
      </c>
      <c r="Z94" t="s">
        <v>599</v>
      </c>
      <c r="AA94" t="s">
        <v>600</v>
      </c>
    </row>
    <row r="95" spans="1:27" ht="14.4" hidden="1" customHeight="1" x14ac:dyDescent="0.3">
      <c r="A95" s="4" t="s">
        <v>279</v>
      </c>
      <c r="B95" s="4" t="s">
        <v>17</v>
      </c>
      <c r="C95" s="16" t="s">
        <v>18</v>
      </c>
      <c r="D95" s="4">
        <v>11</v>
      </c>
      <c r="E95" s="4" t="s">
        <v>745</v>
      </c>
      <c r="F95" t="s">
        <v>287</v>
      </c>
      <c r="G95" t="s">
        <v>106</v>
      </c>
      <c r="H95" t="s">
        <v>107</v>
      </c>
      <c r="I95" t="s">
        <v>108</v>
      </c>
      <c r="J95" s="4" t="s">
        <v>19</v>
      </c>
      <c r="K95" s="4" t="s">
        <v>20</v>
      </c>
      <c r="L95" s="4" t="s">
        <v>742</v>
      </c>
      <c r="M95" s="17">
        <v>30</v>
      </c>
      <c r="N95" s="17">
        <v>857</v>
      </c>
      <c r="O95" s="18" t="s">
        <v>19</v>
      </c>
      <c r="P95" s="18">
        <v>857</v>
      </c>
      <c r="Q95" s="18">
        <v>30</v>
      </c>
      <c r="R95" s="18"/>
      <c r="S95" s="18"/>
      <c r="T95" s="18"/>
      <c r="U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5" s="19">
        <f>IF(AUDITORIA[[#This Row],[CAT]]="",0,1)</f>
        <v>1</v>
      </c>
      <c r="W95" s="20">
        <v>46135</v>
      </c>
      <c r="X95" s="21" t="str">
        <f>UPPER(IF(AUDITORIA[[#This Row],[DATA VERIFICAÇÃO]]="","",TEXT(AUDITORIA[[#This Row],[DATA VERIFICAÇÃO]],"mmm")))</f>
        <v>ABR</v>
      </c>
      <c r="Y95" t="s">
        <v>598</v>
      </c>
      <c r="Z95" t="s">
        <v>599</v>
      </c>
      <c r="AA95" t="s">
        <v>600</v>
      </c>
    </row>
    <row r="96" spans="1:27" ht="14.4" hidden="1" customHeight="1" x14ac:dyDescent="0.3">
      <c r="A96" s="4" t="s">
        <v>279</v>
      </c>
      <c r="B96" s="4" t="s">
        <v>17</v>
      </c>
      <c r="C96" s="16" t="s">
        <v>18</v>
      </c>
      <c r="D96" s="4">
        <v>11</v>
      </c>
      <c r="E96" s="4" t="s">
        <v>745</v>
      </c>
      <c r="F96" t="s">
        <v>286</v>
      </c>
      <c r="G96" t="s">
        <v>106</v>
      </c>
      <c r="H96" t="s">
        <v>107</v>
      </c>
      <c r="I96" t="s">
        <v>108</v>
      </c>
      <c r="J96" s="4" t="s">
        <v>19</v>
      </c>
      <c r="K96" s="4" t="s">
        <v>20</v>
      </c>
      <c r="L96" s="4" t="s">
        <v>742</v>
      </c>
      <c r="M96" s="17">
        <v>30</v>
      </c>
      <c r="N96" s="17">
        <v>833</v>
      </c>
      <c r="O96" s="18" t="s">
        <v>19</v>
      </c>
      <c r="P96" s="18">
        <v>833</v>
      </c>
      <c r="Q96" s="18">
        <v>30</v>
      </c>
      <c r="R96" s="18"/>
      <c r="S96" s="18"/>
      <c r="T96" s="18"/>
      <c r="U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6" s="19">
        <f>IF(AUDITORIA[[#This Row],[CAT]]="",0,1)</f>
        <v>1</v>
      </c>
      <c r="W96" s="20">
        <v>46135</v>
      </c>
      <c r="X96" s="21" t="str">
        <f>UPPER(IF(AUDITORIA[[#This Row],[DATA VERIFICAÇÃO]]="","",TEXT(AUDITORIA[[#This Row],[DATA VERIFICAÇÃO]],"mmm")))</f>
        <v>ABR</v>
      </c>
      <c r="Y96" t="s">
        <v>598</v>
      </c>
      <c r="Z96" t="s">
        <v>599</v>
      </c>
      <c r="AA96" t="s">
        <v>600</v>
      </c>
    </row>
    <row r="97" spans="1:27" ht="14.4" hidden="1" customHeight="1" x14ac:dyDescent="0.3">
      <c r="A97" s="4" t="s">
        <v>279</v>
      </c>
      <c r="B97" s="4" t="s">
        <v>17</v>
      </c>
      <c r="C97" s="16" t="s">
        <v>18</v>
      </c>
      <c r="D97" s="4">
        <v>11</v>
      </c>
      <c r="E97" s="4" t="s">
        <v>745</v>
      </c>
      <c r="F97" t="s">
        <v>285</v>
      </c>
      <c r="G97" t="s">
        <v>106</v>
      </c>
      <c r="H97" t="s">
        <v>107</v>
      </c>
      <c r="I97" t="s">
        <v>108</v>
      </c>
      <c r="J97" s="4" t="s">
        <v>19</v>
      </c>
      <c r="K97" s="4" t="s">
        <v>20</v>
      </c>
      <c r="L97" s="4" t="s">
        <v>742</v>
      </c>
      <c r="M97" s="17">
        <v>30</v>
      </c>
      <c r="N97" s="17">
        <v>862</v>
      </c>
      <c r="O97" s="18" t="s">
        <v>19</v>
      </c>
      <c r="P97" s="18">
        <v>862</v>
      </c>
      <c r="Q97" s="18">
        <v>30</v>
      </c>
      <c r="R97" s="18"/>
      <c r="S97" s="18"/>
      <c r="T97" s="18"/>
      <c r="U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7" s="19">
        <f>IF(AUDITORIA[[#This Row],[CAT]]="",0,1)</f>
        <v>1</v>
      </c>
      <c r="W97" s="20">
        <v>46135</v>
      </c>
      <c r="X97" s="21" t="str">
        <f>UPPER(IF(AUDITORIA[[#This Row],[DATA VERIFICAÇÃO]]="","",TEXT(AUDITORIA[[#This Row],[DATA VERIFICAÇÃO]],"mmm")))</f>
        <v>ABR</v>
      </c>
      <c r="Y97" t="s">
        <v>598</v>
      </c>
      <c r="Z97" t="s">
        <v>599</v>
      </c>
      <c r="AA97" t="s">
        <v>600</v>
      </c>
    </row>
    <row r="98" spans="1:27" ht="14.4" hidden="1" customHeight="1" x14ac:dyDescent="0.3">
      <c r="A98" s="4" t="s">
        <v>279</v>
      </c>
      <c r="B98" s="4" t="s">
        <v>17</v>
      </c>
      <c r="C98" s="16" t="s">
        <v>18</v>
      </c>
      <c r="D98" s="4">
        <v>11</v>
      </c>
      <c r="E98" s="4" t="s">
        <v>745</v>
      </c>
      <c r="F98" t="s">
        <v>502</v>
      </c>
      <c r="G98" t="s">
        <v>106</v>
      </c>
      <c r="H98" t="s">
        <v>107</v>
      </c>
      <c r="I98" t="s">
        <v>108</v>
      </c>
      <c r="J98" s="4" t="s">
        <v>19</v>
      </c>
      <c r="K98" s="4" t="s">
        <v>20</v>
      </c>
      <c r="L98" s="4" t="s">
        <v>742</v>
      </c>
      <c r="M98" s="17">
        <v>30</v>
      </c>
      <c r="N98" s="17">
        <v>830</v>
      </c>
      <c r="O98" s="18" t="s">
        <v>19</v>
      </c>
      <c r="P98" s="18">
        <v>830</v>
      </c>
      <c r="Q98" s="18">
        <v>30</v>
      </c>
      <c r="R98" s="18"/>
      <c r="S98" s="18"/>
      <c r="T98" s="18"/>
      <c r="U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8" s="19">
        <f>IF(AUDITORIA[[#This Row],[CAT]]="",0,1)</f>
        <v>1</v>
      </c>
      <c r="W98" s="20">
        <v>46135</v>
      </c>
      <c r="X98" s="21" t="str">
        <f>UPPER(IF(AUDITORIA[[#This Row],[DATA VERIFICAÇÃO]]="","",TEXT(AUDITORIA[[#This Row],[DATA VERIFICAÇÃO]],"mmm")))</f>
        <v>ABR</v>
      </c>
      <c r="Y98" t="s">
        <v>598</v>
      </c>
      <c r="Z98" t="s">
        <v>599</v>
      </c>
      <c r="AA98" t="s">
        <v>600</v>
      </c>
    </row>
    <row r="99" spans="1:27" ht="14.4" hidden="1" customHeight="1" x14ac:dyDescent="0.3">
      <c r="A99" s="4" t="s">
        <v>279</v>
      </c>
      <c r="B99" s="4" t="s">
        <v>17</v>
      </c>
      <c r="C99" s="16" t="s">
        <v>18</v>
      </c>
      <c r="D99" s="4">
        <v>11</v>
      </c>
      <c r="E99" s="4" t="s">
        <v>745</v>
      </c>
      <c r="F99" t="s">
        <v>500</v>
      </c>
      <c r="G99" t="s">
        <v>106</v>
      </c>
      <c r="H99" t="s">
        <v>107</v>
      </c>
      <c r="I99" t="s">
        <v>108</v>
      </c>
      <c r="J99" s="4" t="s">
        <v>19</v>
      </c>
      <c r="K99" s="4" t="s">
        <v>20</v>
      </c>
      <c r="L99" s="4" t="s">
        <v>742</v>
      </c>
      <c r="M99" s="17">
        <v>30</v>
      </c>
      <c r="N99" s="17">
        <v>830</v>
      </c>
      <c r="O99" s="18" t="s">
        <v>19</v>
      </c>
      <c r="P99" s="18">
        <v>830</v>
      </c>
      <c r="Q99" s="18">
        <v>30</v>
      </c>
      <c r="R99" s="18"/>
      <c r="S99" s="18"/>
      <c r="T99" s="18"/>
      <c r="U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9" s="19">
        <f>IF(AUDITORIA[[#This Row],[CAT]]="",0,1)</f>
        <v>1</v>
      </c>
      <c r="W99" s="20">
        <v>46135</v>
      </c>
      <c r="X99" s="21" t="str">
        <f>UPPER(IF(AUDITORIA[[#This Row],[DATA VERIFICAÇÃO]]="","",TEXT(AUDITORIA[[#This Row],[DATA VERIFICAÇÃO]],"mmm")))</f>
        <v>ABR</v>
      </c>
      <c r="Y99" t="s">
        <v>598</v>
      </c>
      <c r="Z99" t="s">
        <v>599</v>
      </c>
      <c r="AA99" t="s">
        <v>600</v>
      </c>
    </row>
    <row r="100" spans="1:27" ht="14.4" hidden="1" customHeight="1" x14ac:dyDescent="0.3">
      <c r="A100" s="4" t="s">
        <v>279</v>
      </c>
      <c r="B100" s="4" t="s">
        <v>17</v>
      </c>
      <c r="C100" s="16" t="s">
        <v>18</v>
      </c>
      <c r="D100" s="4">
        <v>11</v>
      </c>
      <c r="E100" s="4" t="s">
        <v>745</v>
      </c>
      <c r="F100" t="s">
        <v>507</v>
      </c>
      <c r="G100" t="s">
        <v>106</v>
      </c>
      <c r="H100" t="s">
        <v>107</v>
      </c>
      <c r="I100" t="s">
        <v>108</v>
      </c>
      <c r="J100" s="4" t="s">
        <v>19</v>
      </c>
      <c r="K100" s="4" t="s">
        <v>20</v>
      </c>
      <c r="L100" s="4" t="s">
        <v>742</v>
      </c>
      <c r="M100" s="17">
        <v>30</v>
      </c>
      <c r="N100" s="17">
        <v>839</v>
      </c>
      <c r="O100" s="18" t="s">
        <v>19</v>
      </c>
      <c r="P100" s="18">
        <v>839</v>
      </c>
      <c r="Q100" s="18">
        <v>30</v>
      </c>
      <c r="R100" s="18"/>
      <c r="S100" s="18"/>
      <c r="T100" s="18"/>
      <c r="U1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0" s="19">
        <f>IF(AUDITORIA[[#This Row],[CAT]]="",0,1)</f>
        <v>1</v>
      </c>
      <c r="W100" s="20">
        <v>46135</v>
      </c>
      <c r="X100" s="21" t="str">
        <f>UPPER(IF(AUDITORIA[[#This Row],[DATA VERIFICAÇÃO]]="","",TEXT(AUDITORIA[[#This Row],[DATA VERIFICAÇÃO]],"mmm")))</f>
        <v>ABR</v>
      </c>
      <c r="Y100" t="s">
        <v>598</v>
      </c>
      <c r="Z100" t="s">
        <v>599</v>
      </c>
      <c r="AA100" t="s">
        <v>600</v>
      </c>
    </row>
    <row r="101" spans="1:27" ht="14.4" customHeight="1" x14ac:dyDescent="0.3">
      <c r="A101" s="4" t="s">
        <v>279</v>
      </c>
      <c r="B101" s="4" t="s">
        <v>17</v>
      </c>
      <c r="C101" s="16" t="s">
        <v>18</v>
      </c>
      <c r="D101" s="4">
        <v>11</v>
      </c>
      <c r="E101" s="4" t="s">
        <v>745</v>
      </c>
      <c r="F101" t="s">
        <v>506</v>
      </c>
      <c r="G101" t="s">
        <v>106</v>
      </c>
      <c r="H101" t="s">
        <v>107</v>
      </c>
      <c r="I101" t="s">
        <v>108</v>
      </c>
      <c r="J101" s="4" t="s">
        <v>19</v>
      </c>
      <c r="K101" s="4" t="s">
        <v>20</v>
      </c>
      <c r="L101" s="4" t="s">
        <v>742</v>
      </c>
      <c r="M101" s="17">
        <v>30</v>
      </c>
      <c r="N101" s="17">
        <v>845</v>
      </c>
      <c r="O101" s="18" t="s">
        <v>19</v>
      </c>
      <c r="P101" s="18">
        <v>845</v>
      </c>
      <c r="Q101" s="18">
        <v>30</v>
      </c>
      <c r="R101" s="18"/>
      <c r="S101" s="18"/>
      <c r="T101" s="18"/>
      <c r="U1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1" s="19">
        <f>IF(AUDITORIA[[#This Row],[CAT]]="",0,1)</f>
        <v>1</v>
      </c>
      <c r="W101" s="20">
        <v>46135</v>
      </c>
      <c r="X101" s="21" t="str">
        <f>UPPER(IF(AUDITORIA[[#This Row],[DATA VERIFICAÇÃO]]="","",TEXT(AUDITORIA[[#This Row],[DATA VERIFICAÇÃO]],"mmm")))</f>
        <v>ABR</v>
      </c>
      <c r="Y101" t="s">
        <v>598</v>
      </c>
      <c r="Z101" t="s">
        <v>599</v>
      </c>
      <c r="AA101" t="s">
        <v>600</v>
      </c>
    </row>
    <row r="102" spans="1:27" ht="14.4" customHeight="1" x14ac:dyDescent="0.3">
      <c r="A102" s="4" t="s">
        <v>279</v>
      </c>
      <c r="B102" s="4" t="s">
        <v>17</v>
      </c>
      <c r="C102" s="16" t="s">
        <v>18</v>
      </c>
      <c r="D102" s="4">
        <v>11</v>
      </c>
      <c r="E102" s="4" t="s">
        <v>745</v>
      </c>
      <c r="F102" t="s">
        <v>503</v>
      </c>
      <c r="G102" t="s">
        <v>106</v>
      </c>
      <c r="H102" t="s">
        <v>107</v>
      </c>
      <c r="I102" t="s">
        <v>108</v>
      </c>
      <c r="J102" s="4" t="s">
        <v>19</v>
      </c>
      <c r="K102" s="4" t="s">
        <v>20</v>
      </c>
      <c r="L102" s="4" t="s">
        <v>742</v>
      </c>
      <c r="M102" s="17">
        <v>30</v>
      </c>
      <c r="N102" s="17">
        <v>851</v>
      </c>
      <c r="O102" s="18" t="s">
        <v>19</v>
      </c>
      <c r="P102" s="18">
        <v>851</v>
      </c>
      <c r="Q102" s="18">
        <v>30</v>
      </c>
      <c r="R102" s="18"/>
      <c r="S102" s="18"/>
      <c r="T102" s="18"/>
      <c r="U1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2" s="19">
        <f>IF(AUDITORIA[[#This Row],[CAT]]="",0,1)</f>
        <v>1</v>
      </c>
      <c r="W102" s="20">
        <v>46135</v>
      </c>
      <c r="X102" s="21" t="str">
        <f>UPPER(IF(AUDITORIA[[#This Row],[DATA VERIFICAÇÃO]]="","",TEXT(AUDITORIA[[#This Row],[DATA VERIFICAÇÃO]],"mmm")))</f>
        <v>ABR</v>
      </c>
      <c r="Y102" t="s">
        <v>598</v>
      </c>
      <c r="Z102" t="s">
        <v>599</v>
      </c>
      <c r="AA102" t="s">
        <v>600</v>
      </c>
    </row>
    <row r="103" spans="1:27" ht="14.4" customHeight="1" x14ac:dyDescent="0.3">
      <c r="A103" s="4" t="s">
        <v>279</v>
      </c>
      <c r="B103" s="4" t="s">
        <v>17</v>
      </c>
      <c r="C103" s="16" t="s">
        <v>18</v>
      </c>
      <c r="D103" s="4">
        <v>11</v>
      </c>
      <c r="E103" s="4" t="s">
        <v>745</v>
      </c>
      <c r="F103" t="s">
        <v>512</v>
      </c>
      <c r="G103" t="s">
        <v>106</v>
      </c>
      <c r="H103" t="s">
        <v>107</v>
      </c>
      <c r="I103" t="s">
        <v>108</v>
      </c>
      <c r="J103" s="4" t="s">
        <v>19</v>
      </c>
      <c r="K103" s="4" t="s">
        <v>20</v>
      </c>
      <c r="L103" s="4" t="s">
        <v>742</v>
      </c>
      <c r="M103" s="17">
        <v>30</v>
      </c>
      <c r="N103" s="17">
        <v>857</v>
      </c>
      <c r="O103" s="18" t="s">
        <v>19</v>
      </c>
      <c r="P103" s="18">
        <v>857</v>
      </c>
      <c r="Q103" s="18">
        <v>30</v>
      </c>
      <c r="R103" s="18"/>
      <c r="S103" s="18"/>
      <c r="T103" s="18"/>
      <c r="U1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3" s="19">
        <f>IF(AUDITORIA[[#This Row],[CAT]]="",0,1)</f>
        <v>1</v>
      </c>
      <c r="W103" s="20">
        <v>46135</v>
      </c>
      <c r="X103" s="21" t="str">
        <f>UPPER(IF(AUDITORIA[[#This Row],[DATA VERIFICAÇÃO]]="","",TEXT(AUDITORIA[[#This Row],[DATA VERIFICAÇÃO]],"mmm")))</f>
        <v>ABR</v>
      </c>
      <c r="Y103" t="s">
        <v>598</v>
      </c>
      <c r="Z103" t="s">
        <v>599</v>
      </c>
      <c r="AA103" t="s">
        <v>600</v>
      </c>
    </row>
    <row r="104" spans="1:27" ht="14.4" hidden="1" customHeight="1" x14ac:dyDescent="0.3">
      <c r="A104" s="4" t="s">
        <v>279</v>
      </c>
      <c r="B104" s="4" t="s">
        <v>17</v>
      </c>
      <c r="C104" s="16" t="s">
        <v>18</v>
      </c>
      <c r="D104" s="4">
        <v>11</v>
      </c>
      <c r="E104" s="4" t="s">
        <v>745</v>
      </c>
      <c r="F104" t="s">
        <v>518</v>
      </c>
      <c r="G104" t="s">
        <v>106</v>
      </c>
      <c r="H104" t="s">
        <v>107</v>
      </c>
      <c r="I104" t="s">
        <v>108</v>
      </c>
      <c r="J104" s="4" t="s">
        <v>19</v>
      </c>
      <c r="K104" s="4" t="s">
        <v>20</v>
      </c>
      <c r="L104" s="4" t="s">
        <v>742</v>
      </c>
      <c r="M104" s="17">
        <v>29</v>
      </c>
      <c r="N104" s="17">
        <v>864</v>
      </c>
      <c r="O104" s="18" t="s">
        <v>19</v>
      </c>
      <c r="P104" s="18">
        <v>864</v>
      </c>
      <c r="Q104" s="18">
        <v>29</v>
      </c>
      <c r="R104" s="18"/>
      <c r="S104" s="18"/>
      <c r="T104" s="18"/>
      <c r="U1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4" s="19">
        <f>IF(AUDITORIA[[#This Row],[CAT]]="",0,1)</f>
        <v>1</v>
      </c>
      <c r="W104" s="20">
        <v>46135</v>
      </c>
      <c r="X104" s="21" t="str">
        <f>UPPER(IF(AUDITORIA[[#This Row],[DATA VERIFICAÇÃO]]="","",TEXT(AUDITORIA[[#This Row],[DATA VERIFICAÇÃO]],"mmm")))</f>
        <v>ABR</v>
      </c>
      <c r="Y104" t="s">
        <v>598</v>
      </c>
      <c r="Z104" t="s">
        <v>599</v>
      </c>
      <c r="AA104" t="s">
        <v>600</v>
      </c>
    </row>
    <row r="105" spans="1:27" ht="14.4" hidden="1" customHeight="1" x14ac:dyDescent="0.3">
      <c r="A105" s="4" t="s">
        <v>279</v>
      </c>
      <c r="B105" s="4" t="s">
        <v>17</v>
      </c>
      <c r="C105" s="16" t="s">
        <v>18</v>
      </c>
      <c r="D105" s="4">
        <v>11</v>
      </c>
      <c r="E105" s="4" t="s">
        <v>745</v>
      </c>
      <c r="F105" t="s">
        <v>366</v>
      </c>
      <c r="G105" t="s">
        <v>106</v>
      </c>
      <c r="H105" t="s">
        <v>107</v>
      </c>
      <c r="I105" t="s">
        <v>108</v>
      </c>
      <c r="J105" s="4" t="s">
        <v>19</v>
      </c>
      <c r="K105" s="4" t="s">
        <v>21</v>
      </c>
      <c r="L105" s="4" t="s">
        <v>742</v>
      </c>
      <c r="M105" s="17">
        <v>24</v>
      </c>
      <c r="N105" s="17">
        <v>1029</v>
      </c>
      <c r="O105" s="18" t="s">
        <v>19</v>
      </c>
      <c r="P105" s="18">
        <v>1029</v>
      </c>
      <c r="Q105" s="18">
        <v>24</v>
      </c>
      <c r="R105" s="18"/>
      <c r="S105" s="18"/>
      <c r="T105" s="18"/>
      <c r="U1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5" s="19">
        <f>IF(AUDITORIA[[#This Row],[CAT]]="",0,1)</f>
        <v>1</v>
      </c>
      <c r="W105" s="20">
        <v>46135</v>
      </c>
      <c r="X105" s="21" t="str">
        <f>UPPER(IF(AUDITORIA[[#This Row],[DATA VERIFICAÇÃO]]="","",TEXT(AUDITORIA[[#This Row],[DATA VERIFICAÇÃO]],"mmm")))</f>
        <v>ABR</v>
      </c>
      <c r="Y105" t="s">
        <v>598</v>
      </c>
      <c r="Z105" t="s">
        <v>599</v>
      </c>
      <c r="AA105" t="s">
        <v>600</v>
      </c>
    </row>
    <row r="106" spans="1:27" ht="14.4" hidden="1" customHeight="1" x14ac:dyDescent="0.3">
      <c r="A106" s="4" t="s">
        <v>279</v>
      </c>
      <c r="B106" s="4" t="s">
        <v>17</v>
      </c>
      <c r="C106" s="16" t="s">
        <v>18</v>
      </c>
      <c r="D106" s="4">
        <v>11</v>
      </c>
      <c r="E106" s="4" t="s">
        <v>745</v>
      </c>
      <c r="F106" t="s">
        <v>361</v>
      </c>
      <c r="G106" t="s">
        <v>106</v>
      </c>
      <c r="H106" t="s">
        <v>107</v>
      </c>
      <c r="I106" t="s">
        <v>108</v>
      </c>
      <c r="J106" s="4" t="s">
        <v>19</v>
      </c>
      <c r="K106" s="4" t="s">
        <v>21</v>
      </c>
      <c r="L106" s="4" t="s">
        <v>742</v>
      </c>
      <c r="M106" s="17">
        <v>24</v>
      </c>
      <c r="N106" s="17">
        <v>1030</v>
      </c>
      <c r="O106" s="18" t="s">
        <v>19</v>
      </c>
      <c r="P106" s="18">
        <v>1030</v>
      </c>
      <c r="Q106" s="18">
        <v>24</v>
      </c>
      <c r="R106" s="18"/>
      <c r="S106" s="18"/>
      <c r="T106" s="18"/>
      <c r="U1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6" s="19">
        <f>IF(AUDITORIA[[#This Row],[CAT]]="",0,1)</f>
        <v>1</v>
      </c>
      <c r="W106" s="20">
        <v>46135</v>
      </c>
      <c r="X106" s="21" t="str">
        <f>UPPER(IF(AUDITORIA[[#This Row],[DATA VERIFICAÇÃO]]="","",TEXT(AUDITORIA[[#This Row],[DATA VERIFICAÇÃO]],"mmm")))</f>
        <v>ABR</v>
      </c>
      <c r="Y106" t="s">
        <v>598</v>
      </c>
      <c r="Z106" t="s">
        <v>599</v>
      </c>
      <c r="AA106" t="s">
        <v>600</v>
      </c>
    </row>
    <row r="107" spans="1:27" ht="14.4" hidden="1" customHeight="1" x14ac:dyDescent="0.3">
      <c r="A107" s="4" t="s">
        <v>279</v>
      </c>
      <c r="B107" s="4" t="s">
        <v>17</v>
      </c>
      <c r="C107" s="16" t="s">
        <v>18</v>
      </c>
      <c r="D107" s="4">
        <v>11</v>
      </c>
      <c r="E107" s="4" t="s">
        <v>745</v>
      </c>
      <c r="F107" t="s">
        <v>359</v>
      </c>
      <c r="G107" t="s">
        <v>106</v>
      </c>
      <c r="H107" t="s">
        <v>107</v>
      </c>
      <c r="I107" t="s">
        <v>108</v>
      </c>
      <c r="J107" s="4" t="s">
        <v>19</v>
      </c>
      <c r="K107" s="4" t="s">
        <v>21</v>
      </c>
      <c r="L107" s="4" t="s">
        <v>742</v>
      </c>
      <c r="M107" s="17">
        <v>24</v>
      </c>
      <c r="N107" s="17">
        <v>1026</v>
      </c>
      <c r="O107" s="18" t="s">
        <v>19</v>
      </c>
      <c r="P107" s="18">
        <v>1026</v>
      </c>
      <c r="Q107" s="18">
        <v>24</v>
      </c>
      <c r="R107" s="18"/>
      <c r="S107" s="18"/>
      <c r="T107" s="18"/>
      <c r="U1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7" s="19">
        <f>IF(AUDITORIA[[#This Row],[CAT]]="",0,1)</f>
        <v>1</v>
      </c>
      <c r="W107" s="20">
        <v>46135</v>
      </c>
      <c r="X107" s="21" t="str">
        <f>UPPER(IF(AUDITORIA[[#This Row],[DATA VERIFICAÇÃO]]="","",TEXT(AUDITORIA[[#This Row],[DATA VERIFICAÇÃO]],"mmm")))</f>
        <v>ABR</v>
      </c>
      <c r="Y107" t="s">
        <v>598</v>
      </c>
      <c r="Z107" t="s">
        <v>599</v>
      </c>
      <c r="AA107" t="s">
        <v>600</v>
      </c>
    </row>
    <row r="108" spans="1:27" ht="14.4" hidden="1" customHeight="1" x14ac:dyDescent="0.3">
      <c r="A108" s="4" t="s">
        <v>279</v>
      </c>
      <c r="B108" s="4" t="s">
        <v>17</v>
      </c>
      <c r="C108" s="16" t="s">
        <v>18</v>
      </c>
      <c r="D108" s="4">
        <v>11</v>
      </c>
      <c r="E108" s="4" t="s">
        <v>745</v>
      </c>
      <c r="F108" t="s">
        <v>353</v>
      </c>
      <c r="G108" t="s">
        <v>106</v>
      </c>
      <c r="H108" t="s">
        <v>107</v>
      </c>
      <c r="I108" t="s">
        <v>108</v>
      </c>
      <c r="J108" s="4" t="s">
        <v>19</v>
      </c>
      <c r="K108" s="4" t="s">
        <v>21</v>
      </c>
      <c r="L108" s="4" t="s">
        <v>742</v>
      </c>
      <c r="M108" s="17">
        <v>24</v>
      </c>
      <c r="N108" s="17">
        <v>1023</v>
      </c>
      <c r="O108" s="18" t="s">
        <v>19</v>
      </c>
      <c r="P108" s="18">
        <v>1023</v>
      </c>
      <c r="Q108" s="18">
        <v>24</v>
      </c>
      <c r="R108" s="18"/>
      <c r="S108" s="18"/>
      <c r="T108" s="18"/>
      <c r="U1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8" s="19">
        <f>IF(AUDITORIA[[#This Row],[CAT]]="",0,1)</f>
        <v>1</v>
      </c>
      <c r="W108" s="20">
        <v>46135</v>
      </c>
      <c r="X108" s="21" t="str">
        <f>UPPER(IF(AUDITORIA[[#This Row],[DATA VERIFICAÇÃO]]="","",TEXT(AUDITORIA[[#This Row],[DATA VERIFICAÇÃO]],"mmm")))</f>
        <v>ABR</v>
      </c>
      <c r="Y108" t="s">
        <v>598</v>
      </c>
      <c r="Z108" t="s">
        <v>599</v>
      </c>
      <c r="AA108" t="s">
        <v>600</v>
      </c>
    </row>
    <row r="109" spans="1:27" ht="14.4" hidden="1" customHeight="1" x14ac:dyDescent="0.3">
      <c r="A109" s="4" t="s">
        <v>279</v>
      </c>
      <c r="B109" s="4" t="s">
        <v>17</v>
      </c>
      <c r="C109" s="16" t="s">
        <v>18</v>
      </c>
      <c r="D109" s="4">
        <v>11</v>
      </c>
      <c r="E109" s="4" t="s">
        <v>745</v>
      </c>
      <c r="F109" t="s">
        <v>350</v>
      </c>
      <c r="G109" t="s">
        <v>106</v>
      </c>
      <c r="H109" t="s">
        <v>107</v>
      </c>
      <c r="I109" t="s">
        <v>108</v>
      </c>
      <c r="J109" s="4" t="s">
        <v>19</v>
      </c>
      <c r="K109" s="4" t="s">
        <v>21</v>
      </c>
      <c r="L109" s="4" t="s">
        <v>742</v>
      </c>
      <c r="M109" s="17">
        <v>24</v>
      </c>
      <c r="N109" s="17">
        <v>1031</v>
      </c>
      <c r="O109" s="18" t="s">
        <v>19</v>
      </c>
      <c r="P109" s="18">
        <v>1031</v>
      </c>
      <c r="Q109" s="18">
        <v>24</v>
      </c>
      <c r="R109" s="18"/>
      <c r="S109" s="18"/>
      <c r="T109" s="18"/>
      <c r="U1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9" s="19">
        <f>IF(AUDITORIA[[#This Row],[CAT]]="",0,1)</f>
        <v>1</v>
      </c>
      <c r="W109" s="20">
        <v>46135</v>
      </c>
      <c r="X109" s="21" t="str">
        <f>UPPER(IF(AUDITORIA[[#This Row],[DATA VERIFICAÇÃO]]="","",TEXT(AUDITORIA[[#This Row],[DATA VERIFICAÇÃO]],"mmm")))</f>
        <v>ABR</v>
      </c>
      <c r="Y109" t="s">
        <v>598</v>
      </c>
      <c r="Z109" t="s">
        <v>599</v>
      </c>
      <c r="AA109" t="s">
        <v>600</v>
      </c>
    </row>
    <row r="110" spans="1:27" ht="14.4" hidden="1" customHeight="1" x14ac:dyDescent="0.3">
      <c r="A110" s="4" t="s">
        <v>279</v>
      </c>
      <c r="B110" s="4" t="s">
        <v>17</v>
      </c>
      <c r="C110" s="16" t="s">
        <v>18</v>
      </c>
      <c r="D110" s="4">
        <v>11</v>
      </c>
      <c r="E110" s="4" t="s">
        <v>745</v>
      </c>
      <c r="F110" t="s">
        <v>347</v>
      </c>
      <c r="G110" t="s">
        <v>106</v>
      </c>
      <c r="H110" t="s">
        <v>107</v>
      </c>
      <c r="I110" t="s">
        <v>108</v>
      </c>
      <c r="J110" s="4" t="s">
        <v>19</v>
      </c>
      <c r="K110" s="4" t="s">
        <v>21</v>
      </c>
      <c r="L110" s="4" t="s">
        <v>742</v>
      </c>
      <c r="M110" s="17">
        <v>24</v>
      </c>
      <c r="N110" s="17">
        <v>1019</v>
      </c>
      <c r="O110" s="18" t="s">
        <v>19</v>
      </c>
      <c r="P110" s="18">
        <v>1019</v>
      </c>
      <c r="Q110" s="18">
        <v>24</v>
      </c>
      <c r="R110" s="18"/>
      <c r="S110" s="18"/>
      <c r="T110" s="18"/>
      <c r="U1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0" s="19">
        <f>IF(AUDITORIA[[#This Row],[CAT]]="",0,1)</f>
        <v>1</v>
      </c>
      <c r="W110" s="20">
        <v>46135</v>
      </c>
      <c r="X110" s="21" t="str">
        <f>UPPER(IF(AUDITORIA[[#This Row],[DATA VERIFICAÇÃO]]="","",TEXT(AUDITORIA[[#This Row],[DATA VERIFICAÇÃO]],"mmm")))</f>
        <v>ABR</v>
      </c>
      <c r="Y110" t="s">
        <v>598</v>
      </c>
      <c r="Z110" t="s">
        <v>599</v>
      </c>
      <c r="AA110" t="s">
        <v>600</v>
      </c>
    </row>
    <row r="111" spans="1:27" ht="14.4" hidden="1" customHeight="1" x14ac:dyDescent="0.3">
      <c r="A111" s="4" t="s">
        <v>279</v>
      </c>
      <c r="B111" s="4" t="s">
        <v>17</v>
      </c>
      <c r="C111" s="16" t="s">
        <v>18</v>
      </c>
      <c r="D111" s="4">
        <v>11</v>
      </c>
      <c r="E111" s="4" t="s">
        <v>745</v>
      </c>
      <c r="F111" t="s">
        <v>342</v>
      </c>
      <c r="G111" t="s">
        <v>106</v>
      </c>
      <c r="H111" t="s">
        <v>107</v>
      </c>
      <c r="I111" t="s">
        <v>108</v>
      </c>
      <c r="J111" s="4" t="s">
        <v>19</v>
      </c>
      <c r="K111" s="4" t="s">
        <v>21</v>
      </c>
      <c r="L111" s="4" t="s">
        <v>742</v>
      </c>
      <c r="M111" s="17">
        <v>24</v>
      </c>
      <c r="N111" s="17">
        <v>1029</v>
      </c>
      <c r="O111" s="18" t="s">
        <v>19</v>
      </c>
      <c r="P111" s="18">
        <v>1029</v>
      </c>
      <c r="Q111" s="18">
        <v>24</v>
      </c>
      <c r="R111" s="18"/>
      <c r="S111" s="18"/>
      <c r="T111" s="18"/>
      <c r="U1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1" s="19">
        <f>IF(AUDITORIA[[#This Row],[CAT]]="",0,1)</f>
        <v>1</v>
      </c>
      <c r="W111" s="20">
        <v>46135</v>
      </c>
      <c r="X111" s="21" t="str">
        <f>UPPER(IF(AUDITORIA[[#This Row],[DATA VERIFICAÇÃO]]="","",TEXT(AUDITORIA[[#This Row],[DATA VERIFICAÇÃO]],"mmm")))</f>
        <v>ABR</v>
      </c>
      <c r="Y111" t="s">
        <v>598</v>
      </c>
      <c r="Z111" t="s">
        <v>599</v>
      </c>
      <c r="AA111" t="s">
        <v>600</v>
      </c>
    </row>
    <row r="112" spans="1:27" ht="14.4" hidden="1" customHeight="1" x14ac:dyDescent="0.3">
      <c r="A112" s="4" t="s">
        <v>279</v>
      </c>
      <c r="B112" s="4" t="s">
        <v>17</v>
      </c>
      <c r="C112" s="16" t="s">
        <v>18</v>
      </c>
      <c r="D112" s="4">
        <v>11</v>
      </c>
      <c r="E112" s="4" t="s">
        <v>745</v>
      </c>
      <c r="F112" t="s">
        <v>335</v>
      </c>
      <c r="G112" t="s">
        <v>106</v>
      </c>
      <c r="H112" t="s">
        <v>107</v>
      </c>
      <c r="I112" t="s">
        <v>108</v>
      </c>
      <c r="J112" s="4" t="s">
        <v>19</v>
      </c>
      <c r="K112" s="4" t="s">
        <v>21</v>
      </c>
      <c r="L112" s="4" t="s">
        <v>742</v>
      </c>
      <c r="M112" s="17">
        <v>24</v>
      </c>
      <c r="N112" s="17">
        <v>1027</v>
      </c>
      <c r="O112" s="18" t="s">
        <v>19</v>
      </c>
      <c r="P112" s="18">
        <v>1027</v>
      </c>
      <c r="Q112" s="18">
        <v>24</v>
      </c>
      <c r="R112" s="18"/>
      <c r="S112" s="18"/>
      <c r="T112" s="18"/>
      <c r="U1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2" s="19">
        <f>IF(AUDITORIA[[#This Row],[CAT]]="",0,1)</f>
        <v>1</v>
      </c>
      <c r="W112" s="20">
        <v>46135</v>
      </c>
      <c r="X112" s="21" t="str">
        <f>UPPER(IF(AUDITORIA[[#This Row],[DATA VERIFICAÇÃO]]="","",TEXT(AUDITORIA[[#This Row],[DATA VERIFICAÇÃO]],"mmm")))</f>
        <v>ABR</v>
      </c>
      <c r="Y112" t="s">
        <v>598</v>
      </c>
      <c r="Z112" t="s">
        <v>599</v>
      </c>
      <c r="AA112" t="s">
        <v>600</v>
      </c>
    </row>
    <row r="113" spans="1:27" ht="14.4" hidden="1" customHeight="1" x14ac:dyDescent="0.3">
      <c r="A113" s="4" t="s">
        <v>279</v>
      </c>
      <c r="B113" s="4" t="s">
        <v>17</v>
      </c>
      <c r="C113" s="16" t="s">
        <v>18</v>
      </c>
      <c r="D113" s="4">
        <v>11</v>
      </c>
      <c r="E113" s="4" t="s">
        <v>745</v>
      </c>
      <c r="F113" t="s">
        <v>329</v>
      </c>
      <c r="G113" t="s">
        <v>106</v>
      </c>
      <c r="H113" t="s">
        <v>107</v>
      </c>
      <c r="I113" t="s">
        <v>108</v>
      </c>
      <c r="J113" s="4" t="s">
        <v>19</v>
      </c>
      <c r="K113" s="4" t="s">
        <v>21</v>
      </c>
      <c r="L113" s="4" t="s">
        <v>742</v>
      </c>
      <c r="M113" s="17">
        <v>24</v>
      </c>
      <c r="N113" s="17">
        <v>1032</v>
      </c>
      <c r="O113" s="18" t="s">
        <v>19</v>
      </c>
      <c r="P113" s="18">
        <v>1032</v>
      </c>
      <c r="Q113" s="18">
        <v>24</v>
      </c>
      <c r="R113" s="18"/>
      <c r="S113" s="18"/>
      <c r="T113" s="18"/>
      <c r="U1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3" s="19">
        <f>IF(AUDITORIA[[#This Row],[CAT]]="",0,1)</f>
        <v>1</v>
      </c>
      <c r="W113" s="20">
        <v>46135</v>
      </c>
      <c r="X113" s="21" t="str">
        <f>UPPER(IF(AUDITORIA[[#This Row],[DATA VERIFICAÇÃO]]="","",TEXT(AUDITORIA[[#This Row],[DATA VERIFICAÇÃO]],"mmm")))</f>
        <v>ABR</v>
      </c>
      <c r="Y113" t="s">
        <v>598</v>
      </c>
      <c r="Z113" t="s">
        <v>599</v>
      </c>
      <c r="AA113" t="s">
        <v>600</v>
      </c>
    </row>
    <row r="114" spans="1:27" ht="14.4" hidden="1" customHeight="1" x14ac:dyDescent="0.3">
      <c r="A114" s="4" t="s">
        <v>279</v>
      </c>
      <c r="B114" s="4" t="s">
        <v>17</v>
      </c>
      <c r="C114" s="16" t="s">
        <v>18</v>
      </c>
      <c r="D114" s="4">
        <v>11</v>
      </c>
      <c r="E114" s="4" t="s">
        <v>745</v>
      </c>
      <c r="F114" t="s">
        <v>323</v>
      </c>
      <c r="G114" t="s">
        <v>106</v>
      </c>
      <c r="H114" t="s">
        <v>107</v>
      </c>
      <c r="I114" t="s">
        <v>108</v>
      </c>
      <c r="J114" s="4" t="s">
        <v>19</v>
      </c>
      <c r="K114" s="4" t="s">
        <v>21</v>
      </c>
      <c r="L114" s="4" t="s">
        <v>742</v>
      </c>
      <c r="M114" s="17">
        <v>24</v>
      </c>
      <c r="N114" s="17">
        <v>1039</v>
      </c>
      <c r="O114" s="18" t="s">
        <v>19</v>
      </c>
      <c r="P114" s="18">
        <v>1039</v>
      </c>
      <c r="Q114" s="18">
        <v>24</v>
      </c>
      <c r="R114" s="18"/>
      <c r="S114" s="18"/>
      <c r="T114" s="18"/>
      <c r="U1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4" s="19">
        <f>IF(AUDITORIA[[#This Row],[CAT]]="",0,1)</f>
        <v>1</v>
      </c>
      <c r="W114" s="20">
        <v>46135</v>
      </c>
      <c r="X114" s="21" t="str">
        <f>UPPER(IF(AUDITORIA[[#This Row],[DATA VERIFICAÇÃO]]="","",TEXT(AUDITORIA[[#This Row],[DATA VERIFICAÇÃO]],"mmm")))</f>
        <v>ABR</v>
      </c>
      <c r="Y114" t="s">
        <v>598</v>
      </c>
      <c r="Z114" t="s">
        <v>599</v>
      </c>
      <c r="AA114" t="s">
        <v>600</v>
      </c>
    </row>
    <row r="115" spans="1:27" ht="14.4" hidden="1" customHeight="1" x14ac:dyDescent="0.3">
      <c r="A115" s="4" t="s">
        <v>279</v>
      </c>
      <c r="B115" s="4" t="s">
        <v>17</v>
      </c>
      <c r="C115" s="16" t="s">
        <v>18</v>
      </c>
      <c r="D115" s="4">
        <v>11</v>
      </c>
      <c r="E115" s="4" t="s">
        <v>745</v>
      </c>
      <c r="F115" t="s">
        <v>317</v>
      </c>
      <c r="G115" t="s">
        <v>106</v>
      </c>
      <c r="H115" t="s">
        <v>107</v>
      </c>
      <c r="I115" t="s">
        <v>108</v>
      </c>
      <c r="J115" s="4" t="s">
        <v>19</v>
      </c>
      <c r="K115" s="4" t="s">
        <v>21</v>
      </c>
      <c r="L115" s="4" t="s">
        <v>742</v>
      </c>
      <c r="M115" s="17">
        <v>24</v>
      </c>
      <c r="N115" s="17">
        <v>1029</v>
      </c>
      <c r="O115" s="18" t="s">
        <v>19</v>
      </c>
      <c r="P115" s="18">
        <v>1029</v>
      </c>
      <c r="Q115" s="18">
        <v>24</v>
      </c>
      <c r="R115" s="18"/>
      <c r="S115" s="18"/>
      <c r="T115" s="18"/>
      <c r="U1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5" s="19">
        <f>IF(AUDITORIA[[#This Row],[CAT]]="",0,1)</f>
        <v>1</v>
      </c>
      <c r="W115" s="20">
        <v>46135</v>
      </c>
      <c r="X115" s="21" t="str">
        <f>UPPER(IF(AUDITORIA[[#This Row],[DATA VERIFICAÇÃO]]="","",TEXT(AUDITORIA[[#This Row],[DATA VERIFICAÇÃO]],"mmm")))</f>
        <v>ABR</v>
      </c>
      <c r="Y115" t="s">
        <v>598</v>
      </c>
      <c r="Z115" t="s">
        <v>599</v>
      </c>
      <c r="AA115" t="s">
        <v>600</v>
      </c>
    </row>
    <row r="116" spans="1:27" ht="14.4" hidden="1" customHeight="1" x14ac:dyDescent="0.3">
      <c r="A116" s="4" t="s">
        <v>279</v>
      </c>
      <c r="B116" s="4" t="s">
        <v>17</v>
      </c>
      <c r="C116" s="16" t="s">
        <v>18</v>
      </c>
      <c r="D116" s="4">
        <v>11</v>
      </c>
      <c r="E116" s="4" t="s">
        <v>745</v>
      </c>
      <c r="F116" t="s">
        <v>312</v>
      </c>
      <c r="G116" t="s">
        <v>106</v>
      </c>
      <c r="H116" t="s">
        <v>107</v>
      </c>
      <c r="I116" t="s">
        <v>108</v>
      </c>
      <c r="J116" s="4" t="s">
        <v>19</v>
      </c>
      <c r="K116" s="4" t="s">
        <v>21</v>
      </c>
      <c r="L116" s="4" t="s">
        <v>742</v>
      </c>
      <c r="M116" s="17">
        <v>24</v>
      </c>
      <c r="N116" s="17">
        <v>1045</v>
      </c>
      <c r="O116" s="18" t="s">
        <v>19</v>
      </c>
      <c r="P116" s="18">
        <v>1045</v>
      </c>
      <c r="Q116" s="18">
        <v>24</v>
      </c>
      <c r="R116" s="18"/>
      <c r="S116" s="18"/>
      <c r="T116" s="18"/>
      <c r="U1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6" s="19">
        <f>IF(AUDITORIA[[#This Row],[CAT]]="",0,1)</f>
        <v>1</v>
      </c>
      <c r="W116" s="20">
        <v>46135</v>
      </c>
      <c r="X116" s="21" t="str">
        <f>UPPER(IF(AUDITORIA[[#This Row],[DATA VERIFICAÇÃO]]="","",TEXT(AUDITORIA[[#This Row],[DATA VERIFICAÇÃO]],"mmm")))</f>
        <v>ABR</v>
      </c>
      <c r="Y116" t="s">
        <v>598</v>
      </c>
      <c r="Z116" t="s">
        <v>599</v>
      </c>
      <c r="AA116" t="s">
        <v>600</v>
      </c>
    </row>
    <row r="117" spans="1:27" ht="14.4" hidden="1" customHeight="1" x14ac:dyDescent="0.3">
      <c r="A117" s="4" t="s">
        <v>279</v>
      </c>
      <c r="B117" s="4" t="s">
        <v>17</v>
      </c>
      <c r="C117" s="16" t="s">
        <v>18</v>
      </c>
      <c r="D117" s="4">
        <v>11</v>
      </c>
      <c r="E117" s="4" t="s">
        <v>745</v>
      </c>
      <c r="F117" t="s">
        <v>308</v>
      </c>
      <c r="G117" t="s">
        <v>106</v>
      </c>
      <c r="H117" t="s">
        <v>107</v>
      </c>
      <c r="I117" t="s">
        <v>108</v>
      </c>
      <c r="J117" s="4" t="s">
        <v>19</v>
      </c>
      <c r="K117" s="4" t="s">
        <v>21</v>
      </c>
      <c r="L117" s="4" t="s">
        <v>742</v>
      </c>
      <c r="M117" s="17">
        <v>24</v>
      </c>
      <c r="N117" s="17">
        <v>1030</v>
      </c>
      <c r="O117" s="18" t="s">
        <v>19</v>
      </c>
      <c r="P117" s="18">
        <v>1030</v>
      </c>
      <c r="Q117" s="18">
        <v>24</v>
      </c>
      <c r="R117" s="18"/>
      <c r="S117" s="18"/>
      <c r="T117" s="18"/>
      <c r="U1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7" s="19">
        <f>IF(AUDITORIA[[#This Row],[CAT]]="",0,1)</f>
        <v>1</v>
      </c>
      <c r="W117" s="20">
        <v>46135</v>
      </c>
      <c r="X117" s="21" t="str">
        <f>UPPER(IF(AUDITORIA[[#This Row],[DATA VERIFICAÇÃO]]="","",TEXT(AUDITORIA[[#This Row],[DATA VERIFICAÇÃO]],"mmm")))</f>
        <v>ABR</v>
      </c>
      <c r="Y117" t="s">
        <v>598</v>
      </c>
      <c r="Z117" t="s">
        <v>599</v>
      </c>
      <c r="AA117" t="s">
        <v>600</v>
      </c>
    </row>
    <row r="118" spans="1:27" ht="14.4" hidden="1" customHeight="1" x14ac:dyDescent="0.3">
      <c r="A118" s="4" t="s">
        <v>279</v>
      </c>
      <c r="B118" s="4" t="s">
        <v>17</v>
      </c>
      <c r="C118" s="16" t="s">
        <v>18</v>
      </c>
      <c r="D118" s="4">
        <v>11</v>
      </c>
      <c r="E118" s="4" t="s">
        <v>745</v>
      </c>
      <c r="F118" t="s">
        <v>303</v>
      </c>
      <c r="G118" t="s">
        <v>106</v>
      </c>
      <c r="H118" t="s">
        <v>107</v>
      </c>
      <c r="I118" t="s">
        <v>108</v>
      </c>
      <c r="J118" s="4" t="s">
        <v>19</v>
      </c>
      <c r="K118" s="4" t="s">
        <v>21</v>
      </c>
      <c r="L118" s="4" t="s">
        <v>742</v>
      </c>
      <c r="M118" s="17">
        <v>24</v>
      </c>
      <c r="N118" s="17">
        <v>1020</v>
      </c>
      <c r="O118" s="18" t="s">
        <v>19</v>
      </c>
      <c r="P118" s="18">
        <v>1020</v>
      </c>
      <c r="Q118" s="18">
        <v>24</v>
      </c>
      <c r="R118" s="18"/>
      <c r="S118" s="18"/>
      <c r="T118" s="18"/>
      <c r="U1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8" s="19">
        <f>IF(AUDITORIA[[#This Row],[CAT]]="",0,1)</f>
        <v>1</v>
      </c>
      <c r="W118" s="20">
        <v>46135</v>
      </c>
      <c r="X118" s="21" t="str">
        <f>UPPER(IF(AUDITORIA[[#This Row],[DATA VERIFICAÇÃO]]="","",TEXT(AUDITORIA[[#This Row],[DATA VERIFICAÇÃO]],"mmm")))</f>
        <v>ABR</v>
      </c>
      <c r="Y118" t="s">
        <v>598</v>
      </c>
      <c r="Z118" t="s">
        <v>599</v>
      </c>
      <c r="AA118" t="s">
        <v>600</v>
      </c>
    </row>
    <row r="119" spans="1:27" ht="14.4" hidden="1" customHeight="1" x14ac:dyDescent="0.3">
      <c r="A119" s="4" t="s">
        <v>279</v>
      </c>
      <c r="B119" s="4" t="s">
        <v>17</v>
      </c>
      <c r="C119" s="16" t="s">
        <v>18</v>
      </c>
      <c r="D119" s="4">
        <v>11</v>
      </c>
      <c r="E119" s="4" t="s">
        <v>745</v>
      </c>
      <c r="F119" t="s">
        <v>297</v>
      </c>
      <c r="G119" t="s">
        <v>106</v>
      </c>
      <c r="H119" t="s">
        <v>107</v>
      </c>
      <c r="I119" t="s">
        <v>108</v>
      </c>
      <c r="J119" s="4" t="s">
        <v>19</v>
      </c>
      <c r="K119" s="4" t="s">
        <v>21</v>
      </c>
      <c r="L119" s="4" t="s">
        <v>742</v>
      </c>
      <c r="M119" s="17">
        <v>24</v>
      </c>
      <c r="N119" s="17">
        <v>1016</v>
      </c>
      <c r="O119" s="18" t="s">
        <v>19</v>
      </c>
      <c r="P119" s="18">
        <v>1016</v>
      </c>
      <c r="Q119" s="18">
        <v>24</v>
      </c>
      <c r="R119" s="18"/>
      <c r="S119" s="18"/>
      <c r="T119" s="18"/>
      <c r="U1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9" s="19">
        <f>IF(AUDITORIA[[#This Row],[CAT]]="",0,1)</f>
        <v>1</v>
      </c>
      <c r="W119" s="20">
        <v>46135</v>
      </c>
      <c r="X119" s="21" t="str">
        <f>UPPER(IF(AUDITORIA[[#This Row],[DATA VERIFICAÇÃO]]="","",TEXT(AUDITORIA[[#This Row],[DATA VERIFICAÇÃO]],"mmm")))</f>
        <v>ABR</v>
      </c>
      <c r="Y119" t="s">
        <v>598</v>
      </c>
      <c r="Z119" t="s">
        <v>599</v>
      </c>
      <c r="AA119" t="s">
        <v>600</v>
      </c>
    </row>
    <row r="120" spans="1:27" ht="14.4" hidden="1" customHeight="1" x14ac:dyDescent="0.3">
      <c r="A120" s="4" t="s">
        <v>279</v>
      </c>
      <c r="B120" s="4" t="s">
        <v>17</v>
      </c>
      <c r="C120" s="16" t="s">
        <v>18</v>
      </c>
      <c r="D120" s="4">
        <v>11</v>
      </c>
      <c r="E120" s="4" t="s">
        <v>745</v>
      </c>
      <c r="F120" t="s">
        <v>288</v>
      </c>
      <c r="G120" t="s">
        <v>106</v>
      </c>
      <c r="H120" t="s">
        <v>107</v>
      </c>
      <c r="I120" t="s">
        <v>108</v>
      </c>
      <c r="J120" s="4" t="s">
        <v>19</v>
      </c>
      <c r="K120" s="4" t="s">
        <v>21</v>
      </c>
      <c r="L120" s="4" t="s">
        <v>742</v>
      </c>
      <c r="M120" s="17">
        <v>24</v>
      </c>
      <c r="N120" s="17">
        <v>1025</v>
      </c>
      <c r="O120" s="18" t="s">
        <v>19</v>
      </c>
      <c r="P120" s="18">
        <v>1025</v>
      </c>
      <c r="Q120" s="18">
        <v>24</v>
      </c>
      <c r="R120" s="18"/>
      <c r="S120" s="18"/>
      <c r="T120" s="18"/>
      <c r="U1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0" s="19">
        <f>IF(AUDITORIA[[#This Row],[CAT]]="",0,1)</f>
        <v>1</v>
      </c>
      <c r="W120" s="20">
        <v>46135</v>
      </c>
      <c r="X120" s="21" t="str">
        <f>UPPER(IF(AUDITORIA[[#This Row],[DATA VERIFICAÇÃO]]="","",TEXT(AUDITORIA[[#This Row],[DATA VERIFICAÇÃO]],"mmm")))</f>
        <v>ABR</v>
      </c>
      <c r="Y120" t="s">
        <v>598</v>
      </c>
      <c r="Z120" t="s">
        <v>599</v>
      </c>
      <c r="AA120" t="s">
        <v>600</v>
      </c>
    </row>
    <row r="121" spans="1:27" ht="14.4" hidden="1" customHeight="1" x14ac:dyDescent="0.3">
      <c r="A121" s="4" t="s">
        <v>279</v>
      </c>
      <c r="B121" s="4" t="s">
        <v>17</v>
      </c>
      <c r="C121" s="16" t="s">
        <v>18</v>
      </c>
      <c r="D121" s="4">
        <v>11</v>
      </c>
      <c r="E121" s="4" t="s">
        <v>745</v>
      </c>
      <c r="F121" t="s">
        <v>284</v>
      </c>
      <c r="G121" t="s">
        <v>106</v>
      </c>
      <c r="H121" t="s">
        <v>107</v>
      </c>
      <c r="I121" t="s">
        <v>108</v>
      </c>
      <c r="J121" s="4" t="s">
        <v>19</v>
      </c>
      <c r="K121" s="4" t="s">
        <v>21</v>
      </c>
      <c r="L121" s="4" t="s">
        <v>742</v>
      </c>
      <c r="M121" s="17">
        <v>24</v>
      </c>
      <c r="N121" s="17">
        <v>1027</v>
      </c>
      <c r="O121" s="18" t="s">
        <v>19</v>
      </c>
      <c r="P121" s="18">
        <v>1027</v>
      </c>
      <c r="Q121" s="18">
        <v>24</v>
      </c>
      <c r="R121" s="18"/>
      <c r="S121" s="18"/>
      <c r="T121" s="18"/>
      <c r="U1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1" s="19">
        <f>IF(AUDITORIA[[#This Row],[CAT]]="",0,1)</f>
        <v>1</v>
      </c>
      <c r="W121" s="20">
        <v>46135</v>
      </c>
      <c r="X121" s="21" t="str">
        <f>UPPER(IF(AUDITORIA[[#This Row],[DATA VERIFICAÇÃO]]="","",TEXT(AUDITORIA[[#This Row],[DATA VERIFICAÇÃO]],"mmm")))</f>
        <v>ABR</v>
      </c>
      <c r="Y121" t="s">
        <v>598</v>
      </c>
      <c r="Z121" t="s">
        <v>599</v>
      </c>
      <c r="AA121" t="s">
        <v>600</v>
      </c>
    </row>
    <row r="122" spans="1:27" ht="14.4" hidden="1" customHeight="1" x14ac:dyDescent="0.3">
      <c r="A122" s="4" t="s">
        <v>279</v>
      </c>
      <c r="B122" s="4" t="s">
        <v>17</v>
      </c>
      <c r="C122" s="16" t="s">
        <v>18</v>
      </c>
      <c r="D122" s="4">
        <v>11</v>
      </c>
      <c r="E122" s="4" t="s">
        <v>745</v>
      </c>
      <c r="F122" t="s">
        <v>499</v>
      </c>
      <c r="G122" t="s">
        <v>106</v>
      </c>
      <c r="H122" t="s">
        <v>107</v>
      </c>
      <c r="I122" t="s">
        <v>108</v>
      </c>
      <c r="J122" s="4" t="s">
        <v>19</v>
      </c>
      <c r="K122" s="4" t="s">
        <v>21</v>
      </c>
      <c r="L122" s="4" t="s">
        <v>742</v>
      </c>
      <c r="M122" s="17">
        <v>24</v>
      </c>
      <c r="N122" s="17">
        <v>1030</v>
      </c>
      <c r="O122" s="18" t="s">
        <v>19</v>
      </c>
      <c r="P122" s="18">
        <v>1030</v>
      </c>
      <c r="Q122" s="18">
        <v>24</v>
      </c>
      <c r="R122" s="18"/>
      <c r="S122" s="18"/>
      <c r="T122" s="18"/>
      <c r="U1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2" s="19">
        <f>IF(AUDITORIA[[#This Row],[CAT]]="",0,1)</f>
        <v>1</v>
      </c>
      <c r="W122" s="20">
        <v>46135</v>
      </c>
      <c r="X122" s="21" t="str">
        <f>UPPER(IF(AUDITORIA[[#This Row],[DATA VERIFICAÇÃO]]="","",TEXT(AUDITORIA[[#This Row],[DATA VERIFICAÇÃO]],"mmm")))</f>
        <v>ABR</v>
      </c>
      <c r="Y122" t="s">
        <v>598</v>
      </c>
      <c r="Z122" t="s">
        <v>599</v>
      </c>
      <c r="AA122" t="s">
        <v>600</v>
      </c>
    </row>
    <row r="123" spans="1:27" ht="14.4" hidden="1" customHeight="1" x14ac:dyDescent="0.3">
      <c r="A123" s="4" t="s">
        <v>279</v>
      </c>
      <c r="B123" s="4" t="s">
        <v>17</v>
      </c>
      <c r="C123" s="16" t="s">
        <v>18</v>
      </c>
      <c r="D123" s="4">
        <v>11</v>
      </c>
      <c r="E123" s="4" t="s">
        <v>745</v>
      </c>
      <c r="F123" t="s">
        <v>505</v>
      </c>
      <c r="G123" t="s">
        <v>106</v>
      </c>
      <c r="H123" t="s">
        <v>107</v>
      </c>
      <c r="I123" t="s">
        <v>108</v>
      </c>
      <c r="J123" s="4" t="s">
        <v>19</v>
      </c>
      <c r="K123" s="4" t="s">
        <v>21</v>
      </c>
      <c r="L123" s="4" t="s">
        <v>742</v>
      </c>
      <c r="M123" s="17">
        <v>24</v>
      </c>
      <c r="N123" s="17">
        <v>1012</v>
      </c>
      <c r="O123" s="18" t="s">
        <v>19</v>
      </c>
      <c r="P123" s="18">
        <v>1012</v>
      </c>
      <c r="Q123" s="18">
        <v>24</v>
      </c>
      <c r="R123" s="18"/>
      <c r="S123" s="18"/>
      <c r="T123" s="18"/>
      <c r="U1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3" s="19">
        <f>IF(AUDITORIA[[#This Row],[CAT]]="",0,1)</f>
        <v>1</v>
      </c>
      <c r="W123" s="20">
        <v>46135</v>
      </c>
      <c r="X123" s="21" t="str">
        <f>UPPER(IF(AUDITORIA[[#This Row],[DATA VERIFICAÇÃO]]="","",TEXT(AUDITORIA[[#This Row],[DATA VERIFICAÇÃO]],"mmm")))</f>
        <v>ABR</v>
      </c>
      <c r="Y123" t="s">
        <v>598</v>
      </c>
      <c r="Z123" t="s">
        <v>599</v>
      </c>
      <c r="AA123" t="s">
        <v>600</v>
      </c>
    </row>
    <row r="124" spans="1:27" ht="14.4" hidden="1" customHeight="1" x14ac:dyDescent="0.3">
      <c r="A124" s="4" t="s">
        <v>279</v>
      </c>
      <c r="B124" s="4" t="s">
        <v>17</v>
      </c>
      <c r="C124" s="16" t="s">
        <v>18</v>
      </c>
      <c r="D124" s="4">
        <v>11</v>
      </c>
      <c r="E124" s="4" t="s">
        <v>745</v>
      </c>
      <c r="F124" t="s">
        <v>511</v>
      </c>
      <c r="G124" t="s">
        <v>106</v>
      </c>
      <c r="H124" t="s">
        <v>107</v>
      </c>
      <c r="I124" t="s">
        <v>108</v>
      </c>
      <c r="J124" s="4" t="s">
        <v>19</v>
      </c>
      <c r="K124" s="4" t="s">
        <v>21</v>
      </c>
      <c r="L124" s="4" t="s">
        <v>742</v>
      </c>
      <c r="M124" s="17">
        <v>24</v>
      </c>
      <c r="N124" s="17">
        <v>1023</v>
      </c>
      <c r="O124" s="18" t="s">
        <v>19</v>
      </c>
      <c r="P124" s="18">
        <v>1023</v>
      </c>
      <c r="Q124" s="18">
        <v>24</v>
      </c>
      <c r="R124" s="18"/>
      <c r="S124" s="18"/>
      <c r="T124" s="18"/>
      <c r="U1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4" s="19">
        <f>IF(AUDITORIA[[#This Row],[CAT]]="",0,1)</f>
        <v>1</v>
      </c>
      <c r="W124" s="20">
        <v>46135</v>
      </c>
      <c r="X124" s="21" t="str">
        <f>UPPER(IF(AUDITORIA[[#This Row],[DATA VERIFICAÇÃO]]="","",TEXT(AUDITORIA[[#This Row],[DATA VERIFICAÇÃO]],"mmm")))</f>
        <v>ABR</v>
      </c>
      <c r="Y124" t="s">
        <v>598</v>
      </c>
      <c r="Z124" t="s">
        <v>599</v>
      </c>
      <c r="AA124" t="s">
        <v>600</v>
      </c>
    </row>
    <row r="125" spans="1:27" ht="14.4" hidden="1" customHeight="1" x14ac:dyDescent="0.3">
      <c r="A125" s="4" t="s">
        <v>279</v>
      </c>
      <c r="B125" s="4" t="s">
        <v>17</v>
      </c>
      <c r="C125" s="16" t="s">
        <v>18</v>
      </c>
      <c r="D125" s="4">
        <v>11</v>
      </c>
      <c r="E125" s="4" t="s">
        <v>745</v>
      </c>
      <c r="F125" t="s">
        <v>509</v>
      </c>
      <c r="G125" t="s">
        <v>106</v>
      </c>
      <c r="H125" t="s">
        <v>107</v>
      </c>
      <c r="I125" t="s">
        <v>108</v>
      </c>
      <c r="J125" s="4" t="s">
        <v>19</v>
      </c>
      <c r="K125" s="4" t="s">
        <v>21</v>
      </c>
      <c r="L125" s="4" t="s">
        <v>742</v>
      </c>
      <c r="M125" s="17">
        <v>15</v>
      </c>
      <c r="N125" s="17">
        <v>1033</v>
      </c>
      <c r="O125" s="18" t="s">
        <v>19</v>
      </c>
      <c r="P125" s="18">
        <v>1033</v>
      </c>
      <c r="Q125" s="18">
        <v>15</v>
      </c>
      <c r="R125" s="18"/>
      <c r="S125" s="18"/>
      <c r="T125" s="18"/>
      <c r="U1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5" s="19">
        <f>IF(AUDITORIA[[#This Row],[CAT]]="",0,1)</f>
        <v>1</v>
      </c>
      <c r="W125" s="20">
        <v>46135</v>
      </c>
      <c r="X125" s="21" t="str">
        <f>UPPER(IF(AUDITORIA[[#This Row],[DATA VERIFICAÇÃO]]="","",TEXT(AUDITORIA[[#This Row],[DATA VERIFICAÇÃO]],"mmm")))</f>
        <v>ABR</v>
      </c>
      <c r="Y125" t="s">
        <v>598</v>
      </c>
      <c r="Z125" t="s">
        <v>599</v>
      </c>
      <c r="AA125" t="s">
        <v>600</v>
      </c>
    </row>
    <row r="126" spans="1:27" ht="14.4" hidden="1" customHeight="1" x14ac:dyDescent="0.3">
      <c r="A126" s="4" t="s">
        <v>279</v>
      </c>
      <c r="B126" s="4" t="s">
        <v>17</v>
      </c>
      <c r="C126" s="16" t="s">
        <v>18</v>
      </c>
      <c r="D126" s="4">
        <v>11</v>
      </c>
      <c r="E126" s="4" t="s">
        <v>745</v>
      </c>
      <c r="F126" t="s">
        <v>439</v>
      </c>
      <c r="G126" t="s">
        <v>426</v>
      </c>
      <c r="H126" t="s">
        <v>427</v>
      </c>
      <c r="I126" t="s">
        <v>428</v>
      </c>
      <c r="J126" s="4" t="s">
        <v>31</v>
      </c>
      <c r="K126" s="4" t="s">
        <v>20</v>
      </c>
      <c r="L126" s="4" t="s">
        <v>742</v>
      </c>
      <c r="M126" s="17">
        <v>27</v>
      </c>
      <c r="N126" s="17">
        <v>913</v>
      </c>
      <c r="O126" s="18" t="s">
        <v>31</v>
      </c>
      <c r="P126" s="18">
        <v>913</v>
      </c>
      <c r="Q126" s="18">
        <v>27</v>
      </c>
      <c r="R126" s="18"/>
      <c r="S126" s="18"/>
      <c r="T126" s="18"/>
      <c r="U1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6" s="19">
        <f>IF(AUDITORIA[[#This Row],[CAT]]="",0,1)</f>
        <v>1</v>
      </c>
      <c r="W126" s="20">
        <v>46135</v>
      </c>
      <c r="X126" s="21" t="str">
        <f>UPPER(IF(AUDITORIA[[#This Row],[DATA VERIFICAÇÃO]]="","",TEXT(AUDITORIA[[#This Row],[DATA VERIFICAÇÃO]],"mmm")))</f>
        <v>ABR</v>
      </c>
      <c r="Y126" t="s">
        <v>598</v>
      </c>
      <c r="Z126" t="s">
        <v>599</v>
      </c>
      <c r="AA126" t="s">
        <v>600</v>
      </c>
    </row>
    <row r="127" spans="1:27" ht="14.4" hidden="1" customHeight="1" x14ac:dyDescent="0.3">
      <c r="A127" s="4" t="s">
        <v>279</v>
      </c>
      <c r="B127" s="4" t="s">
        <v>17</v>
      </c>
      <c r="C127" s="16" t="s">
        <v>18</v>
      </c>
      <c r="D127" s="4">
        <v>11</v>
      </c>
      <c r="E127" s="4" t="s">
        <v>745</v>
      </c>
      <c r="F127" t="s">
        <v>432</v>
      </c>
      <c r="G127" t="s">
        <v>426</v>
      </c>
      <c r="H127" t="s">
        <v>427</v>
      </c>
      <c r="I127" t="s">
        <v>428</v>
      </c>
      <c r="J127" s="4" t="s">
        <v>31</v>
      </c>
      <c r="K127" s="4" t="s">
        <v>20</v>
      </c>
      <c r="L127" s="4" t="s">
        <v>742</v>
      </c>
      <c r="M127" s="17">
        <v>27</v>
      </c>
      <c r="N127" s="17">
        <v>917</v>
      </c>
      <c r="O127" s="18" t="s">
        <v>31</v>
      </c>
      <c r="P127" s="18">
        <v>917</v>
      </c>
      <c r="Q127" s="18">
        <v>27</v>
      </c>
      <c r="R127" s="18"/>
      <c r="S127" s="18"/>
      <c r="T127" s="18"/>
      <c r="U1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7" s="19">
        <f>IF(AUDITORIA[[#This Row],[CAT]]="",0,1)</f>
        <v>1</v>
      </c>
      <c r="W127" s="20">
        <v>46135</v>
      </c>
      <c r="X127" s="21" t="str">
        <f>UPPER(IF(AUDITORIA[[#This Row],[DATA VERIFICAÇÃO]]="","",TEXT(AUDITORIA[[#This Row],[DATA VERIFICAÇÃO]],"mmm")))</f>
        <v>ABR</v>
      </c>
      <c r="Y127" t="s">
        <v>598</v>
      </c>
      <c r="Z127" t="s">
        <v>599</v>
      </c>
      <c r="AA127" t="s">
        <v>600</v>
      </c>
    </row>
    <row r="128" spans="1:27" ht="14.4" hidden="1" customHeight="1" x14ac:dyDescent="0.3">
      <c r="A128" s="4" t="s">
        <v>279</v>
      </c>
      <c r="B128" s="4" t="s">
        <v>17</v>
      </c>
      <c r="C128" s="16" t="s">
        <v>18</v>
      </c>
      <c r="D128" s="4">
        <v>11</v>
      </c>
      <c r="E128" s="4" t="s">
        <v>745</v>
      </c>
      <c r="F128" t="s">
        <v>430</v>
      </c>
      <c r="G128" t="s">
        <v>426</v>
      </c>
      <c r="H128" t="s">
        <v>427</v>
      </c>
      <c r="I128" t="s">
        <v>428</v>
      </c>
      <c r="J128" s="4" t="s">
        <v>31</v>
      </c>
      <c r="K128" s="4" t="s">
        <v>20</v>
      </c>
      <c r="L128" s="4" t="s">
        <v>742</v>
      </c>
      <c r="M128" s="17">
        <v>27</v>
      </c>
      <c r="N128" s="17">
        <v>912</v>
      </c>
      <c r="O128" s="18" t="s">
        <v>31</v>
      </c>
      <c r="P128" s="18">
        <v>912</v>
      </c>
      <c r="Q128" s="18">
        <v>27</v>
      </c>
      <c r="R128" s="18"/>
      <c r="S128" s="18"/>
      <c r="T128" s="18"/>
      <c r="U1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8" s="19">
        <f>IF(AUDITORIA[[#This Row],[CAT]]="",0,1)</f>
        <v>1</v>
      </c>
      <c r="W128" s="20">
        <v>46135</v>
      </c>
      <c r="X128" s="21" t="str">
        <f>UPPER(IF(AUDITORIA[[#This Row],[DATA VERIFICAÇÃO]]="","",TEXT(AUDITORIA[[#This Row],[DATA VERIFICAÇÃO]],"mmm")))</f>
        <v>ABR</v>
      </c>
      <c r="Y128" t="s">
        <v>598</v>
      </c>
      <c r="Z128" t="s">
        <v>599</v>
      </c>
      <c r="AA128" t="s">
        <v>600</v>
      </c>
    </row>
    <row r="129" spans="1:27" ht="14.4" hidden="1" customHeight="1" x14ac:dyDescent="0.3">
      <c r="A129" s="4" t="s">
        <v>279</v>
      </c>
      <c r="B129" s="4" t="s">
        <v>17</v>
      </c>
      <c r="C129" s="16" t="s">
        <v>18</v>
      </c>
      <c r="D129" s="4">
        <v>11</v>
      </c>
      <c r="E129" s="4" t="s">
        <v>745</v>
      </c>
      <c r="F129" t="s">
        <v>425</v>
      </c>
      <c r="G129" t="s">
        <v>426</v>
      </c>
      <c r="H129" t="s">
        <v>427</v>
      </c>
      <c r="I129" t="s">
        <v>428</v>
      </c>
      <c r="J129" s="4" t="s">
        <v>31</v>
      </c>
      <c r="K129" s="4" t="s">
        <v>20</v>
      </c>
      <c r="L129" s="4" t="s">
        <v>742</v>
      </c>
      <c r="M129" s="17">
        <v>4</v>
      </c>
      <c r="N129" s="17">
        <v>905</v>
      </c>
      <c r="O129" s="18" t="s">
        <v>31</v>
      </c>
      <c r="P129" s="18">
        <v>905</v>
      </c>
      <c r="Q129" s="18">
        <v>4</v>
      </c>
      <c r="R129" s="18"/>
      <c r="S129" s="18"/>
      <c r="T129" s="18"/>
      <c r="U1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9" s="19">
        <f>IF(AUDITORIA[[#This Row],[CAT]]="",0,1)</f>
        <v>1</v>
      </c>
      <c r="W129" s="20">
        <v>46135</v>
      </c>
      <c r="X129" s="21" t="str">
        <f>UPPER(IF(AUDITORIA[[#This Row],[DATA VERIFICAÇÃO]]="","",TEXT(AUDITORIA[[#This Row],[DATA VERIFICAÇÃO]],"mmm")))</f>
        <v>ABR</v>
      </c>
      <c r="Y129" t="s">
        <v>598</v>
      </c>
      <c r="Z129" t="s">
        <v>599</v>
      </c>
      <c r="AA129" t="s">
        <v>600</v>
      </c>
    </row>
    <row r="130" spans="1:27" ht="14.4" hidden="1" customHeight="1" x14ac:dyDescent="0.3">
      <c r="A130" s="4" t="s">
        <v>279</v>
      </c>
      <c r="B130" s="4" t="s">
        <v>17</v>
      </c>
      <c r="C130" s="16" t="s">
        <v>18</v>
      </c>
      <c r="D130" s="4">
        <v>11</v>
      </c>
      <c r="E130" s="4" t="s">
        <v>745</v>
      </c>
      <c r="F130" t="s">
        <v>438</v>
      </c>
      <c r="G130" t="s">
        <v>426</v>
      </c>
      <c r="H130" t="s">
        <v>427</v>
      </c>
      <c r="I130" t="s">
        <v>428</v>
      </c>
      <c r="J130" s="4" t="s">
        <v>31</v>
      </c>
      <c r="K130" s="4" t="s">
        <v>21</v>
      </c>
      <c r="L130" s="4" t="s">
        <v>742</v>
      </c>
      <c r="M130" s="17">
        <v>24</v>
      </c>
      <c r="N130" s="17">
        <v>1112</v>
      </c>
      <c r="O130" s="18" t="s">
        <v>31</v>
      </c>
      <c r="P130" s="18">
        <v>1112</v>
      </c>
      <c r="Q130" s="18">
        <v>24</v>
      </c>
      <c r="R130" s="18"/>
      <c r="S130" s="18"/>
      <c r="T130" s="18"/>
      <c r="U1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0" s="19">
        <f>IF(AUDITORIA[[#This Row],[CAT]]="",0,1)</f>
        <v>1</v>
      </c>
      <c r="W130" s="20">
        <v>46135</v>
      </c>
      <c r="X130" s="21" t="str">
        <f>UPPER(IF(AUDITORIA[[#This Row],[DATA VERIFICAÇÃO]]="","",TEXT(AUDITORIA[[#This Row],[DATA VERIFICAÇÃO]],"mmm")))</f>
        <v>ABR</v>
      </c>
      <c r="Y130" t="s">
        <v>598</v>
      </c>
      <c r="Z130" t="s">
        <v>599</v>
      </c>
      <c r="AA130" t="s">
        <v>600</v>
      </c>
    </row>
    <row r="131" spans="1:27" ht="14.4" hidden="1" customHeight="1" x14ac:dyDescent="0.3">
      <c r="A131" s="4" t="s">
        <v>279</v>
      </c>
      <c r="B131" s="4" t="s">
        <v>17</v>
      </c>
      <c r="C131" s="16" t="s">
        <v>18</v>
      </c>
      <c r="D131" s="4">
        <v>11</v>
      </c>
      <c r="E131" s="4" t="s">
        <v>745</v>
      </c>
      <c r="F131" t="s">
        <v>431</v>
      </c>
      <c r="G131" t="s">
        <v>426</v>
      </c>
      <c r="H131" t="s">
        <v>427</v>
      </c>
      <c r="I131" t="s">
        <v>428</v>
      </c>
      <c r="J131" s="4" t="s">
        <v>31</v>
      </c>
      <c r="K131" s="4" t="s">
        <v>21</v>
      </c>
      <c r="L131" s="4" t="s">
        <v>742</v>
      </c>
      <c r="M131" s="17">
        <v>24</v>
      </c>
      <c r="N131" s="17">
        <v>1102</v>
      </c>
      <c r="O131" s="18" t="s">
        <v>31</v>
      </c>
      <c r="P131" s="18">
        <v>1102</v>
      </c>
      <c r="Q131" s="18">
        <v>24</v>
      </c>
      <c r="R131" s="18"/>
      <c r="S131" s="18"/>
      <c r="T131" s="18"/>
      <c r="U1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1" s="19">
        <f>IF(AUDITORIA[[#This Row],[CAT]]="",0,1)</f>
        <v>1</v>
      </c>
      <c r="W131" s="20">
        <v>46135</v>
      </c>
      <c r="X131" s="21" t="str">
        <f>UPPER(IF(AUDITORIA[[#This Row],[DATA VERIFICAÇÃO]]="","",TEXT(AUDITORIA[[#This Row],[DATA VERIFICAÇÃO]],"mmm")))</f>
        <v>ABR</v>
      </c>
      <c r="Y131" t="s">
        <v>598</v>
      </c>
      <c r="Z131" t="s">
        <v>599</v>
      </c>
      <c r="AA131" t="s">
        <v>600</v>
      </c>
    </row>
    <row r="132" spans="1:27" ht="14.4" hidden="1" customHeight="1" x14ac:dyDescent="0.3">
      <c r="A132" s="4" t="s">
        <v>279</v>
      </c>
      <c r="B132" s="4" t="s">
        <v>17</v>
      </c>
      <c r="C132" s="16" t="s">
        <v>18</v>
      </c>
      <c r="D132" s="4">
        <v>11</v>
      </c>
      <c r="E132" s="4" t="s">
        <v>745</v>
      </c>
      <c r="F132" t="s">
        <v>429</v>
      </c>
      <c r="G132" t="s">
        <v>426</v>
      </c>
      <c r="H132" t="s">
        <v>427</v>
      </c>
      <c r="I132" t="s">
        <v>428</v>
      </c>
      <c r="J132" s="4" t="s">
        <v>31</v>
      </c>
      <c r="K132" s="4" t="s">
        <v>21</v>
      </c>
      <c r="L132" s="4" t="s">
        <v>742</v>
      </c>
      <c r="M132" s="17">
        <v>21</v>
      </c>
      <c r="N132" s="17">
        <v>1105</v>
      </c>
      <c r="O132" s="18" t="s">
        <v>31</v>
      </c>
      <c r="P132" s="18">
        <v>1105</v>
      </c>
      <c r="Q132" s="18">
        <v>21</v>
      </c>
      <c r="R132" s="18"/>
      <c r="S132" s="18"/>
      <c r="T132" s="18"/>
      <c r="U1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2" s="19">
        <f>IF(AUDITORIA[[#This Row],[CAT]]="",0,1)</f>
        <v>1</v>
      </c>
      <c r="W132" s="20">
        <v>46135</v>
      </c>
      <c r="X132" s="21" t="str">
        <f>UPPER(IF(AUDITORIA[[#This Row],[DATA VERIFICAÇÃO]]="","",TEXT(AUDITORIA[[#This Row],[DATA VERIFICAÇÃO]],"mmm")))</f>
        <v>ABR</v>
      </c>
      <c r="Y132" t="s">
        <v>598</v>
      </c>
      <c r="Z132" t="s">
        <v>599</v>
      </c>
      <c r="AA132" t="s">
        <v>600</v>
      </c>
    </row>
    <row r="133" spans="1:27" ht="14.4" hidden="1" customHeight="1" x14ac:dyDescent="0.3">
      <c r="A133" s="4" t="s">
        <v>279</v>
      </c>
      <c r="B133" s="4" t="s">
        <v>17</v>
      </c>
      <c r="C133" s="16" t="s">
        <v>18</v>
      </c>
      <c r="D133" s="4">
        <v>11</v>
      </c>
      <c r="E133" s="4" t="s">
        <v>745</v>
      </c>
      <c r="F133" t="s">
        <v>393</v>
      </c>
      <c r="G133" t="s">
        <v>290</v>
      </c>
      <c r="H133" t="s">
        <v>291</v>
      </c>
      <c r="I133" t="s">
        <v>292</v>
      </c>
      <c r="J133" s="4" t="s">
        <v>19</v>
      </c>
      <c r="K133" s="4" t="s">
        <v>20</v>
      </c>
      <c r="L133" s="4" t="s">
        <v>742</v>
      </c>
      <c r="M133" s="17">
        <v>30</v>
      </c>
      <c r="N133" s="17">
        <v>838</v>
      </c>
      <c r="O133" s="18" t="s">
        <v>19</v>
      </c>
      <c r="P133" s="18">
        <v>838</v>
      </c>
      <c r="Q133" s="18">
        <v>30</v>
      </c>
      <c r="R133" s="18"/>
      <c r="S133" s="18"/>
      <c r="T133" s="18"/>
      <c r="U1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3" s="19">
        <f>IF(AUDITORIA[[#This Row],[CAT]]="",0,1)</f>
        <v>1</v>
      </c>
      <c r="W133" s="20">
        <v>46135</v>
      </c>
      <c r="X133" s="21" t="str">
        <f>UPPER(IF(AUDITORIA[[#This Row],[DATA VERIFICAÇÃO]]="","",TEXT(AUDITORIA[[#This Row],[DATA VERIFICAÇÃO]],"mmm")))</f>
        <v>ABR</v>
      </c>
      <c r="Y133" t="s">
        <v>598</v>
      </c>
      <c r="Z133" t="s">
        <v>599</v>
      </c>
      <c r="AA133" t="s">
        <v>600</v>
      </c>
    </row>
    <row r="134" spans="1:27" ht="14.4" hidden="1" customHeight="1" x14ac:dyDescent="0.3">
      <c r="A134" s="4" t="s">
        <v>279</v>
      </c>
      <c r="B134" s="4" t="s">
        <v>17</v>
      </c>
      <c r="C134" s="16" t="s">
        <v>18</v>
      </c>
      <c r="D134" s="4">
        <v>11</v>
      </c>
      <c r="E134" s="4" t="s">
        <v>745</v>
      </c>
      <c r="F134" t="s">
        <v>392</v>
      </c>
      <c r="G134" t="s">
        <v>290</v>
      </c>
      <c r="H134" t="s">
        <v>291</v>
      </c>
      <c r="I134" t="s">
        <v>292</v>
      </c>
      <c r="J134" s="4" t="s">
        <v>19</v>
      </c>
      <c r="K134" s="4" t="s">
        <v>20</v>
      </c>
      <c r="L134" s="4" t="s">
        <v>742</v>
      </c>
      <c r="M134" s="17">
        <v>30</v>
      </c>
      <c r="N134" s="17">
        <v>826</v>
      </c>
      <c r="O134" s="18" t="s">
        <v>19</v>
      </c>
      <c r="P134" s="18">
        <v>826</v>
      </c>
      <c r="Q134" s="18">
        <v>30</v>
      </c>
      <c r="R134" s="18"/>
      <c r="S134" s="18"/>
      <c r="T134" s="18"/>
      <c r="U1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4" s="19">
        <f>IF(AUDITORIA[[#This Row],[CAT]]="",0,1)</f>
        <v>1</v>
      </c>
      <c r="W134" s="20">
        <v>46135</v>
      </c>
      <c r="X134" s="21" t="str">
        <f>UPPER(IF(AUDITORIA[[#This Row],[DATA VERIFICAÇÃO]]="","",TEXT(AUDITORIA[[#This Row],[DATA VERIFICAÇÃO]],"mmm")))</f>
        <v>ABR</v>
      </c>
      <c r="Y134" t="s">
        <v>598</v>
      </c>
      <c r="Z134" t="s">
        <v>599</v>
      </c>
      <c r="AA134" t="s">
        <v>600</v>
      </c>
    </row>
    <row r="135" spans="1:27" ht="14.4" hidden="1" customHeight="1" x14ac:dyDescent="0.3">
      <c r="A135" s="4" t="s">
        <v>279</v>
      </c>
      <c r="B135" s="4" t="s">
        <v>17</v>
      </c>
      <c r="C135" s="16" t="s">
        <v>18</v>
      </c>
      <c r="D135" s="4">
        <v>11</v>
      </c>
      <c r="E135" s="4" t="s">
        <v>745</v>
      </c>
      <c r="F135" t="s">
        <v>388</v>
      </c>
      <c r="G135" t="s">
        <v>290</v>
      </c>
      <c r="H135" t="s">
        <v>291</v>
      </c>
      <c r="I135" t="s">
        <v>292</v>
      </c>
      <c r="J135" s="4" t="s">
        <v>19</v>
      </c>
      <c r="K135" s="4" t="s">
        <v>20</v>
      </c>
      <c r="L135" s="4" t="s">
        <v>742</v>
      </c>
      <c r="M135" s="17">
        <v>30</v>
      </c>
      <c r="N135" s="17">
        <v>822</v>
      </c>
      <c r="O135" s="18" t="s">
        <v>19</v>
      </c>
      <c r="P135" s="18">
        <v>822</v>
      </c>
      <c r="Q135" s="18">
        <v>30</v>
      </c>
      <c r="R135" s="18"/>
      <c r="S135" s="18"/>
      <c r="T135" s="18"/>
      <c r="U1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5" s="19">
        <f>IF(AUDITORIA[[#This Row],[CAT]]="",0,1)</f>
        <v>1</v>
      </c>
      <c r="W135" s="20">
        <v>46135</v>
      </c>
      <c r="X135" s="21" t="str">
        <f>UPPER(IF(AUDITORIA[[#This Row],[DATA VERIFICAÇÃO]]="","",TEXT(AUDITORIA[[#This Row],[DATA VERIFICAÇÃO]],"mmm")))</f>
        <v>ABR</v>
      </c>
      <c r="Y135" t="s">
        <v>598</v>
      </c>
      <c r="Z135" t="s">
        <v>599</v>
      </c>
      <c r="AA135" t="s">
        <v>600</v>
      </c>
    </row>
    <row r="136" spans="1:27" ht="14.4" hidden="1" customHeight="1" x14ac:dyDescent="0.3">
      <c r="A136" s="4" t="s">
        <v>279</v>
      </c>
      <c r="B136" s="4" t="s">
        <v>17</v>
      </c>
      <c r="C136" s="16" t="s">
        <v>18</v>
      </c>
      <c r="D136" s="4">
        <v>11</v>
      </c>
      <c r="E136" s="4" t="s">
        <v>745</v>
      </c>
      <c r="F136" t="s">
        <v>384</v>
      </c>
      <c r="G136" t="s">
        <v>290</v>
      </c>
      <c r="H136" t="s">
        <v>291</v>
      </c>
      <c r="I136" t="s">
        <v>292</v>
      </c>
      <c r="J136" s="4" t="s">
        <v>19</v>
      </c>
      <c r="K136" s="4" t="s">
        <v>20</v>
      </c>
      <c r="L136" s="4" t="s">
        <v>742</v>
      </c>
      <c r="M136" s="17">
        <v>30</v>
      </c>
      <c r="N136" s="17">
        <v>830</v>
      </c>
      <c r="O136" s="18" t="s">
        <v>19</v>
      </c>
      <c r="P136" s="18">
        <v>830</v>
      </c>
      <c r="Q136" s="18">
        <v>30</v>
      </c>
      <c r="R136" s="18"/>
      <c r="S136" s="18"/>
      <c r="T136" s="18"/>
      <c r="U1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6" s="19">
        <f>IF(AUDITORIA[[#This Row],[CAT]]="",0,1)</f>
        <v>1</v>
      </c>
      <c r="W136" s="20">
        <v>46135</v>
      </c>
      <c r="X136" s="21" t="str">
        <f>UPPER(IF(AUDITORIA[[#This Row],[DATA VERIFICAÇÃO]]="","",TEXT(AUDITORIA[[#This Row],[DATA VERIFICAÇÃO]],"mmm")))</f>
        <v>ABR</v>
      </c>
      <c r="Y136" t="s">
        <v>598</v>
      </c>
      <c r="Z136" t="s">
        <v>599</v>
      </c>
      <c r="AA136" t="s">
        <v>600</v>
      </c>
    </row>
    <row r="137" spans="1:27" ht="14.4" hidden="1" customHeight="1" x14ac:dyDescent="0.3">
      <c r="A137" s="4" t="s">
        <v>279</v>
      </c>
      <c r="B137" s="4" t="s">
        <v>17</v>
      </c>
      <c r="C137" s="16" t="s">
        <v>18</v>
      </c>
      <c r="D137" s="4">
        <v>11</v>
      </c>
      <c r="E137" s="4" t="s">
        <v>745</v>
      </c>
      <c r="F137" t="s">
        <v>378</v>
      </c>
      <c r="G137" t="s">
        <v>290</v>
      </c>
      <c r="H137" t="s">
        <v>291</v>
      </c>
      <c r="I137" t="s">
        <v>292</v>
      </c>
      <c r="J137" s="4" t="s">
        <v>19</v>
      </c>
      <c r="K137" s="4" t="s">
        <v>20</v>
      </c>
      <c r="L137" s="4" t="s">
        <v>742</v>
      </c>
      <c r="M137" s="17">
        <v>30</v>
      </c>
      <c r="N137" s="17">
        <v>794</v>
      </c>
      <c r="O137" s="18" t="s">
        <v>19</v>
      </c>
      <c r="P137" s="18">
        <v>794</v>
      </c>
      <c r="Q137" s="18">
        <v>30</v>
      </c>
      <c r="R137" s="18"/>
      <c r="S137" s="18"/>
      <c r="T137" s="18"/>
      <c r="U1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7" s="19">
        <f>IF(AUDITORIA[[#This Row],[CAT]]="",0,1)</f>
        <v>1</v>
      </c>
      <c r="W137" s="20">
        <v>46135</v>
      </c>
      <c r="X137" s="21" t="str">
        <f>UPPER(IF(AUDITORIA[[#This Row],[DATA VERIFICAÇÃO]]="","",TEXT(AUDITORIA[[#This Row],[DATA VERIFICAÇÃO]],"mmm")))</f>
        <v>ABR</v>
      </c>
      <c r="Y137" t="s">
        <v>598</v>
      </c>
      <c r="Z137" t="s">
        <v>599</v>
      </c>
      <c r="AA137" t="s">
        <v>600</v>
      </c>
    </row>
    <row r="138" spans="1:27" ht="14.4" hidden="1" customHeight="1" x14ac:dyDescent="0.3">
      <c r="A138" s="4" t="s">
        <v>279</v>
      </c>
      <c r="B138" s="4" t="s">
        <v>17</v>
      </c>
      <c r="C138" s="16" t="s">
        <v>18</v>
      </c>
      <c r="D138" s="4">
        <v>11</v>
      </c>
      <c r="E138" s="4" t="s">
        <v>745</v>
      </c>
      <c r="F138" t="s">
        <v>379</v>
      </c>
      <c r="G138" t="s">
        <v>290</v>
      </c>
      <c r="H138" t="s">
        <v>291</v>
      </c>
      <c r="I138" t="s">
        <v>292</v>
      </c>
      <c r="J138" s="4" t="s">
        <v>19</v>
      </c>
      <c r="K138" s="4" t="s">
        <v>20</v>
      </c>
      <c r="L138" s="4" t="s">
        <v>742</v>
      </c>
      <c r="M138" s="17">
        <v>30</v>
      </c>
      <c r="N138" s="17">
        <v>785</v>
      </c>
      <c r="O138" s="18" t="s">
        <v>19</v>
      </c>
      <c r="P138" s="18">
        <v>785</v>
      </c>
      <c r="Q138" s="18">
        <v>30</v>
      </c>
      <c r="R138" s="18"/>
      <c r="S138" s="18"/>
      <c r="T138" s="18"/>
      <c r="U1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8" s="19">
        <f>IF(AUDITORIA[[#This Row],[CAT]]="",0,1)</f>
        <v>1</v>
      </c>
      <c r="W138" s="20">
        <v>46135</v>
      </c>
      <c r="X138" s="21" t="str">
        <f>UPPER(IF(AUDITORIA[[#This Row],[DATA VERIFICAÇÃO]]="","",TEXT(AUDITORIA[[#This Row],[DATA VERIFICAÇÃO]],"mmm")))</f>
        <v>ABR</v>
      </c>
      <c r="Y138" t="s">
        <v>598</v>
      </c>
      <c r="Z138" t="s">
        <v>599</v>
      </c>
      <c r="AA138" t="s">
        <v>600</v>
      </c>
    </row>
    <row r="139" spans="1:27" ht="14.4" hidden="1" customHeight="1" x14ac:dyDescent="0.3">
      <c r="A139" s="4" t="s">
        <v>279</v>
      </c>
      <c r="B139" s="4" t="s">
        <v>17</v>
      </c>
      <c r="C139" s="16" t="s">
        <v>18</v>
      </c>
      <c r="D139" s="4">
        <v>11</v>
      </c>
      <c r="E139" s="4" t="s">
        <v>745</v>
      </c>
      <c r="F139" t="s">
        <v>375</v>
      </c>
      <c r="G139" t="s">
        <v>290</v>
      </c>
      <c r="H139" t="s">
        <v>291</v>
      </c>
      <c r="I139" t="s">
        <v>292</v>
      </c>
      <c r="J139" s="4" t="s">
        <v>19</v>
      </c>
      <c r="K139" s="4" t="s">
        <v>20</v>
      </c>
      <c r="L139" s="4" t="s">
        <v>742</v>
      </c>
      <c r="M139" s="17">
        <v>30</v>
      </c>
      <c r="N139" s="17">
        <v>789</v>
      </c>
      <c r="O139" s="18" t="s">
        <v>19</v>
      </c>
      <c r="P139" s="18">
        <v>789</v>
      </c>
      <c r="Q139" s="18">
        <v>30</v>
      </c>
      <c r="R139" s="18"/>
      <c r="S139" s="18"/>
      <c r="T139" s="18"/>
      <c r="U1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9" s="19">
        <f>IF(AUDITORIA[[#This Row],[CAT]]="",0,1)</f>
        <v>1</v>
      </c>
      <c r="W139" s="20">
        <v>46135</v>
      </c>
      <c r="X139" s="21" t="str">
        <f>UPPER(IF(AUDITORIA[[#This Row],[DATA VERIFICAÇÃO]]="","",TEXT(AUDITORIA[[#This Row],[DATA VERIFICAÇÃO]],"mmm")))</f>
        <v>ABR</v>
      </c>
      <c r="Y139" t="s">
        <v>598</v>
      </c>
      <c r="Z139" t="s">
        <v>599</v>
      </c>
      <c r="AA139" t="s">
        <v>600</v>
      </c>
    </row>
    <row r="140" spans="1:27" ht="14.4" hidden="1" customHeight="1" x14ac:dyDescent="0.3">
      <c r="A140" s="4" t="s">
        <v>279</v>
      </c>
      <c r="B140" s="4" t="s">
        <v>17</v>
      </c>
      <c r="C140" s="16" t="s">
        <v>18</v>
      </c>
      <c r="D140" s="4">
        <v>11</v>
      </c>
      <c r="E140" s="4" t="s">
        <v>745</v>
      </c>
      <c r="F140" t="s">
        <v>373</v>
      </c>
      <c r="G140" t="s">
        <v>290</v>
      </c>
      <c r="H140" t="s">
        <v>291</v>
      </c>
      <c r="I140" t="s">
        <v>292</v>
      </c>
      <c r="J140" s="4" t="s">
        <v>19</v>
      </c>
      <c r="K140" s="4" t="s">
        <v>20</v>
      </c>
      <c r="L140" s="4" t="s">
        <v>742</v>
      </c>
      <c r="M140" s="17">
        <v>30</v>
      </c>
      <c r="N140" s="17">
        <v>792</v>
      </c>
      <c r="O140" s="18" t="s">
        <v>19</v>
      </c>
      <c r="P140" s="18">
        <v>792</v>
      </c>
      <c r="Q140" s="18">
        <v>30</v>
      </c>
      <c r="R140" s="18"/>
      <c r="S140" s="18"/>
      <c r="T140" s="18"/>
      <c r="U1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0" s="19">
        <f>IF(AUDITORIA[[#This Row],[CAT]]="",0,1)</f>
        <v>1</v>
      </c>
      <c r="W140" s="20">
        <v>46135</v>
      </c>
      <c r="X140" s="21" t="str">
        <f>UPPER(IF(AUDITORIA[[#This Row],[DATA VERIFICAÇÃO]]="","",TEXT(AUDITORIA[[#This Row],[DATA VERIFICAÇÃO]],"mmm")))</f>
        <v>ABR</v>
      </c>
      <c r="Y140" t="s">
        <v>598</v>
      </c>
      <c r="Z140" t="s">
        <v>599</v>
      </c>
      <c r="AA140" t="s">
        <v>600</v>
      </c>
    </row>
    <row r="141" spans="1:27" ht="14.4" hidden="1" customHeight="1" x14ac:dyDescent="0.3">
      <c r="A141" s="4" t="s">
        <v>279</v>
      </c>
      <c r="B141" s="4" t="s">
        <v>17</v>
      </c>
      <c r="C141" s="16" t="s">
        <v>18</v>
      </c>
      <c r="D141" s="4">
        <v>11</v>
      </c>
      <c r="E141" s="4" t="s">
        <v>745</v>
      </c>
      <c r="F141" t="s">
        <v>365</v>
      </c>
      <c r="G141" t="s">
        <v>290</v>
      </c>
      <c r="H141" t="s">
        <v>291</v>
      </c>
      <c r="I141" t="s">
        <v>292</v>
      </c>
      <c r="J141" s="4" t="s">
        <v>19</v>
      </c>
      <c r="K141" s="4" t="s">
        <v>20</v>
      </c>
      <c r="L141" s="4" t="s">
        <v>742</v>
      </c>
      <c r="M141" s="17">
        <v>30</v>
      </c>
      <c r="N141" s="17">
        <v>802</v>
      </c>
      <c r="O141" s="18" t="s">
        <v>19</v>
      </c>
      <c r="P141" s="18">
        <v>802</v>
      </c>
      <c r="Q141" s="18">
        <v>30</v>
      </c>
      <c r="R141" s="18"/>
      <c r="S141" s="18"/>
      <c r="T141" s="18"/>
      <c r="U1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1" s="19">
        <f>IF(AUDITORIA[[#This Row],[CAT]]="",0,1)</f>
        <v>1</v>
      </c>
      <c r="W141" s="20">
        <v>46135</v>
      </c>
      <c r="X141" s="21" t="str">
        <f>UPPER(IF(AUDITORIA[[#This Row],[DATA VERIFICAÇÃO]]="","",TEXT(AUDITORIA[[#This Row],[DATA VERIFICAÇÃO]],"mmm")))</f>
        <v>ABR</v>
      </c>
      <c r="Y141" t="s">
        <v>598</v>
      </c>
      <c r="Z141" t="s">
        <v>599</v>
      </c>
      <c r="AA141" t="s">
        <v>600</v>
      </c>
    </row>
    <row r="142" spans="1:27" ht="14.4" hidden="1" customHeight="1" x14ac:dyDescent="0.3">
      <c r="A142" s="4" t="s">
        <v>279</v>
      </c>
      <c r="B142" s="4" t="s">
        <v>17</v>
      </c>
      <c r="C142" s="16" t="s">
        <v>18</v>
      </c>
      <c r="D142" s="4">
        <v>11</v>
      </c>
      <c r="E142" s="4" t="s">
        <v>745</v>
      </c>
      <c r="F142" t="s">
        <v>362</v>
      </c>
      <c r="G142" t="s">
        <v>290</v>
      </c>
      <c r="H142" t="s">
        <v>291</v>
      </c>
      <c r="I142" t="s">
        <v>292</v>
      </c>
      <c r="J142" s="4" t="s">
        <v>19</v>
      </c>
      <c r="K142" s="4" t="s">
        <v>20</v>
      </c>
      <c r="L142" s="4" t="s">
        <v>742</v>
      </c>
      <c r="M142" s="17">
        <v>30</v>
      </c>
      <c r="N142" s="17">
        <v>797</v>
      </c>
      <c r="O142" s="18" t="s">
        <v>19</v>
      </c>
      <c r="P142" s="18">
        <v>797</v>
      </c>
      <c r="Q142" s="18">
        <v>30</v>
      </c>
      <c r="R142" s="18"/>
      <c r="S142" s="18"/>
      <c r="T142" s="18"/>
      <c r="U1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2" s="19">
        <f>IF(AUDITORIA[[#This Row],[CAT]]="",0,1)</f>
        <v>1</v>
      </c>
      <c r="W142" s="20">
        <v>46135</v>
      </c>
      <c r="X142" s="21" t="str">
        <f>UPPER(IF(AUDITORIA[[#This Row],[DATA VERIFICAÇÃO]]="","",TEXT(AUDITORIA[[#This Row],[DATA VERIFICAÇÃO]],"mmm")))</f>
        <v>ABR</v>
      </c>
      <c r="Y142" t="s">
        <v>598</v>
      </c>
      <c r="Z142" t="s">
        <v>599</v>
      </c>
      <c r="AA142" t="s">
        <v>600</v>
      </c>
    </row>
    <row r="143" spans="1:27" ht="14.4" hidden="1" customHeight="1" x14ac:dyDescent="0.3">
      <c r="A143" s="4" t="s">
        <v>279</v>
      </c>
      <c r="B143" s="4" t="s">
        <v>17</v>
      </c>
      <c r="C143" s="16" t="s">
        <v>18</v>
      </c>
      <c r="D143" s="4">
        <v>11</v>
      </c>
      <c r="E143" s="4" t="s">
        <v>745</v>
      </c>
      <c r="F143" t="s">
        <v>357</v>
      </c>
      <c r="G143" t="s">
        <v>290</v>
      </c>
      <c r="H143" t="s">
        <v>291</v>
      </c>
      <c r="I143" t="s">
        <v>292</v>
      </c>
      <c r="J143" s="4" t="s">
        <v>19</v>
      </c>
      <c r="K143" s="4" t="s">
        <v>20</v>
      </c>
      <c r="L143" s="4" t="s">
        <v>742</v>
      </c>
      <c r="M143" s="17">
        <v>30</v>
      </c>
      <c r="N143" s="17">
        <v>764</v>
      </c>
      <c r="O143" s="18" t="s">
        <v>19</v>
      </c>
      <c r="P143" s="18">
        <v>764</v>
      </c>
      <c r="Q143" s="18">
        <v>30</v>
      </c>
      <c r="R143" s="18"/>
      <c r="S143" s="18"/>
      <c r="T143" s="18"/>
      <c r="U1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3" s="19">
        <f>IF(AUDITORIA[[#This Row],[CAT]]="",0,1)</f>
        <v>1</v>
      </c>
      <c r="W143" s="20">
        <v>46135</v>
      </c>
      <c r="X143" s="21" t="str">
        <f>UPPER(IF(AUDITORIA[[#This Row],[DATA VERIFICAÇÃO]]="","",TEXT(AUDITORIA[[#This Row],[DATA VERIFICAÇÃO]],"mmm")))</f>
        <v>ABR</v>
      </c>
      <c r="Y143" t="s">
        <v>598</v>
      </c>
      <c r="Z143" t="s">
        <v>599</v>
      </c>
      <c r="AA143" t="s">
        <v>600</v>
      </c>
    </row>
    <row r="144" spans="1:27" ht="14.4" hidden="1" customHeight="1" x14ac:dyDescent="0.3">
      <c r="A144" s="4" t="s">
        <v>279</v>
      </c>
      <c r="B144" s="4" t="s">
        <v>17</v>
      </c>
      <c r="C144" s="16" t="s">
        <v>18</v>
      </c>
      <c r="D144" s="4">
        <v>11</v>
      </c>
      <c r="E144" s="4" t="s">
        <v>745</v>
      </c>
      <c r="F144" t="s">
        <v>354</v>
      </c>
      <c r="G144" t="s">
        <v>290</v>
      </c>
      <c r="H144" t="s">
        <v>291</v>
      </c>
      <c r="I144" t="s">
        <v>292</v>
      </c>
      <c r="J144" s="4" t="s">
        <v>19</v>
      </c>
      <c r="K144" s="4" t="s">
        <v>20</v>
      </c>
      <c r="L144" s="4" t="s">
        <v>742</v>
      </c>
      <c r="M144" s="17">
        <v>30</v>
      </c>
      <c r="N144" s="17">
        <v>764</v>
      </c>
      <c r="O144" s="18" t="s">
        <v>19</v>
      </c>
      <c r="P144" s="18">
        <v>764</v>
      </c>
      <c r="Q144" s="18">
        <v>30</v>
      </c>
      <c r="R144" s="18"/>
      <c r="S144" s="18"/>
      <c r="T144" s="18"/>
      <c r="U1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4" s="19">
        <f>IF(AUDITORIA[[#This Row],[CAT]]="",0,1)</f>
        <v>1</v>
      </c>
      <c r="W144" s="20">
        <v>46135</v>
      </c>
      <c r="X144" s="21" t="str">
        <f>UPPER(IF(AUDITORIA[[#This Row],[DATA VERIFICAÇÃO]]="","",TEXT(AUDITORIA[[#This Row],[DATA VERIFICAÇÃO]],"mmm")))</f>
        <v>ABR</v>
      </c>
      <c r="Y144" t="s">
        <v>598</v>
      </c>
      <c r="Z144" t="s">
        <v>599</v>
      </c>
      <c r="AA144" t="s">
        <v>600</v>
      </c>
    </row>
    <row r="145" spans="1:27" ht="14.4" hidden="1" customHeight="1" x14ac:dyDescent="0.3">
      <c r="A145" s="4" t="s">
        <v>279</v>
      </c>
      <c r="B145" s="4" t="s">
        <v>17</v>
      </c>
      <c r="C145" s="16" t="s">
        <v>18</v>
      </c>
      <c r="D145" s="4">
        <v>11</v>
      </c>
      <c r="E145" s="4" t="s">
        <v>745</v>
      </c>
      <c r="F145" t="s">
        <v>351</v>
      </c>
      <c r="G145" t="s">
        <v>290</v>
      </c>
      <c r="H145" t="s">
        <v>291</v>
      </c>
      <c r="I145" t="s">
        <v>292</v>
      </c>
      <c r="J145" s="4" t="s">
        <v>19</v>
      </c>
      <c r="K145" s="4" t="s">
        <v>20</v>
      </c>
      <c r="L145" s="4" t="s">
        <v>742</v>
      </c>
      <c r="M145" s="17">
        <v>30</v>
      </c>
      <c r="N145" s="17">
        <v>765</v>
      </c>
      <c r="O145" s="18" t="s">
        <v>19</v>
      </c>
      <c r="P145" s="18">
        <v>765</v>
      </c>
      <c r="Q145" s="18">
        <v>30</v>
      </c>
      <c r="R145" s="18"/>
      <c r="S145" s="18"/>
      <c r="T145" s="18"/>
      <c r="U1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5" s="19">
        <f>IF(AUDITORIA[[#This Row],[CAT]]="",0,1)</f>
        <v>1</v>
      </c>
      <c r="W145" s="20">
        <v>46135</v>
      </c>
      <c r="X145" s="21" t="str">
        <f>UPPER(IF(AUDITORIA[[#This Row],[DATA VERIFICAÇÃO]]="","",TEXT(AUDITORIA[[#This Row],[DATA VERIFICAÇÃO]],"mmm")))</f>
        <v>ABR</v>
      </c>
      <c r="Y145" t="s">
        <v>598</v>
      </c>
      <c r="Z145" t="s">
        <v>599</v>
      </c>
      <c r="AA145" t="s">
        <v>600</v>
      </c>
    </row>
    <row r="146" spans="1:27" ht="14.4" hidden="1" customHeight="1" x14ac:dyDescent="0.3">
      <c r="A146" s="4" t="s">
        <v>279</v>
      </c>
      <c r="B146" s="4" t="s">
        <v>17</v>
      </c>
      <c r="C146" s="16" t="s">
        <v>18</v>
      </c>
      <c r="D146" s="4">
        <v>11</v>
      </c>
      <c r="E146" s="4" t="s">
        <v>745</v>
      </c>
      <c r="F146" t="s">
        <v>345</v>
      </c>
      <c r="G146" t="s">
        <v>290</v>
      </c>
      <c r="H146" t="s">
        <v>291</v>
      </c>
      <c r="I146" t="s">
        <v>292</v>
      </c>
      <c r="J146" s="4" t="s">
        <v>19</v>
      </c>
      <c r="K146" s="4" t="s">
        <v>20</v>
      </c>
      <c r="L146" s="4" t="s">
        <v>742</v>
      </c>
      <c r="M146" s="17">
        <v>30</v>
      </c>
      <c r="N146" s="17">
        <v>762</v>
      </c>
      <c r="O146" s="18" t="s">
        <v>19</v>
      </c>
      <c r="P146" s="18">
        <v>762</v>
      </c>
      <c r="Q146" s="18">
        <v>30</v>
      </c>
      <c r="R146" s="18"/>
      <c r="S146" s="18"/>
      <c r="T146" s="18"/>
      <c r="U1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6" s="19">
        <f>IF(AUDITORIA[[#This Row],[CAT]]="",0,1)</f>
        <v>1</v>
      </c>
      <c r="W146" s="20">
        <v>46135</v>
      </c>
      <c r="X146" s="21" t="str">
        <f>UPPER(IF(AUDITORIA[[#This Row],[DATA VERIFICAÇÃO]]="","",TEXT(AUDITORIA[[#This Row],[DATA VERIFICAÇÃO]],"mmm")))</f>
        <v>ABR</v>
      </c>
      <c r="Y146" t="s">
        <v>598</v>
      </c>
      <c r="Z146" t="s">
        <v>599</v>
      </c>
      <c r="AA146" t="s">
        <v>600</v>
      </c>
    </row>
    <row r="147" spans="1:27" ht="14.4" hidden="1" customHeight="1" x14ac:dyDescent="0.3">
      <c r="A147" s="4" t="s">
        <v>279</v>
      </c>
      <c r="B147" s="4" t="s">
        <v>17</v>
      </c>
      <c r="C147" s="16" t="s">
        <v>18</v>
      </c>
      <c r="D147" s="4">
        <v>11</v>
      </c>
      <c r="E147" s="4" t="s">
        <v>745</v>
      </c>
      <c r="F147" t="s">
        <v>341</v>
      </c>
      <c r="G147" t="s">
        <v>290</v>
      </c>
      <c r="H147" t="s">
        <v>291</v>
      </c>
      <c r="I147" t="s">
        <v>292</v>
      </c>
      <c r="J147" s="4" t="s">
        <v>19</v>
      </c>
      <c r="K147" s="4" t="s">
        <v>20</v>
      </c>
      <c r="L147" s="4" t="s">
        <v>742</v>
      </c>
      <c r="M147" s="17">
        <v>30</v>
      </c>
      <c r="N147" s="17">
        <v>787</v>
      </c>
      <c r="O147" s="18" t="s">
        <v>19</v>
      </c>
      <c r="P147" s="18">
        <v>787</v>
      </c>
      <c r="Q147" s="18">
        <v>30</v>
      </c>
      <c r="R147" s="18"/>
      <c r="S147" s="18"/>
      <c r="T147" s="18"/>
      <c r="U1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7" s="19">
        <f>IF(AUDITORIA[[#This Row],[CAT]]="",0,1)</f>
        <v>1</v>
      </c>
      <c r="W147" s="20">
        <v>46135</v>
      </c>
      <c r="X147" s="21" t="str">
        <f>UPPER(IF(AUDITORIA[[#This Row],[DATA VERIFICAÇÃO]]="","",TEXT(AUDITORIA[[#This Row],[DATA VERIFICAÇÃO]],"mmm")))</f>
        <v>ABR</v>
      </c>
      <c r="Y147" t="s">
        <v>598</v>
      </c>
      <c r="Z147" t="s">
        <v>599</v>
      </c>
      <c r="AA147" t="s">
        <v>600</v>
      </c>
    </row>
    <row r="148" spans="1:27" ht="14.4" hidden="1" customHeight="1" x14ac:dyDescent="0.3">
      <c r="A148" s="4" t="s">
        <v>279</v>
      </c>
      <c r="B148" s="4" t="s">
        <v>17</v>
      </c>
      <c r="C148" s="16" t="s">
        <v>18</v>
      </c>
      <c r="D148" s="4">
        <v>11</v>
      </c>
      <c r="E148" s="4" t="s">
        <v>745</v>
      </c>
      <c r="F148" t="s">
        <v>338</v>
      </c>
      <c r="G148" t="s">
        <v>290</v>
      </c>
      <c r="H148" t="s">
        <v>291</v>
      </c>
      <c r="I148" t="s">
        <v>292</v>
      </c>
      <c r="J148" s="4" t="s">
        <v>31</v>
      </c>
      <c r="K148" s="4" t="s">
        <v>20</v>
      </c>
      <c r="L148" s="4" t="s">
        <v>742</v>
      </c>
      <c r="M148" s="17">
        <v>30</v>
      </c>
      <c r="N148" s="17">
        <v>787</v>
      </c>
      <c r="O148" s="18" t="s">
        <v>31</v>
      </c>
      <c r="P148" s="18">
        <v>787</v>
      </c>
      <c r="Q148" s="18">
        <v>30</v>
      </c>
      <c r="R148" s="18"/>
      <c r="S148" s="18"/>
      <c r="T148" s="18"/>
      <c r="U1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8" s="19">
        <f>IF(AUDITORIA[[#This Row],[CAT]]="",0,1)</f>
        <v>1</v>
      </c>
      <c r="W148" s="20">
        <v>46135</v>
      </c>
      <c r="X148" s="21" t="str">
        <f>UPPER(IF(AUDITORIA[[#This Row],[DATA VERIFICAÇÃO]]="","",TEXT(AUDITORIA[[#This Row],[DATA VERIFICAÇÃO]],"mmm")))</f>
        <v>ABR</v>
      </c>
      <c r="Y148" t="s">
        <v>598</v>
      </c>
      <c r="Z148" t="s">
        <v>599</v>
      </c>
      <c r="AA148" t="s">
        <v>600</v>
      </c>
    </row>
    <row r="149" spans="1:27" ht="14.4" hidden="1" customHeight="1" x14ac:dyDescent="0.3">
      <c r="A149" s="4" t="s">
        <v>279</v>
      </c>
      <c r="B149" s="4" t="s">
        <v>17</v>
      </c>
      <c r="C149" s="16" t="s">
        <v>18</v>
      </c>
      <c r="D149" s="4">
        <v>11</v>
      </c>
      <c r="E149" s="4" t="s">
        <v>745</v>
      </c>
      <c r="F149" t="s">
        <v>336</v>
      </c>
      <c r="G149" t="s">
        <v>290</v>
      </c>
      <c r="H149" t="s">
        <v>291</v>
      </c>
      <c r="I149" t="s">
        <v>292</v>
      </c>
      <c r="J149" s="4" t="s">
        <v>31</v>
      </c>
      <c r="K149" s="4" t="s">
        <v>20</v>
      </c>
      <c r="L149" s="4" t="s">
        <v>742</v>
      </c>
      <c r="M149" s="17">
        <v>30</v>
      </c>
      <c r="N149" s="17">
        <v>778</v>
      </c>
      <c r="O149" s="18" t="s">
        <v>31</v>
      </c>
      <c r="P149" s="18">
        <v>778</v>
      </c>
      <c r="Q149" s="18">
        <v>30</v>
      </c>
      <c r="R149" s="18"/>
      <c r="S149" s="18"/>
      <c r="T149" s="18"/>
      <c r="U1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9" s="19">
        <f>IF(AUDITORIA[[#This Row],[CAT]]="",0,1)</f>
        <v>1</v>
      </c>
      <c r="W149" s="20">
        <v>46135</v>
      </c>
      <c r="X149" s="21" t="str">
        <f>UPPER(IF(AUDITORIA[[#This Row],[DATA VERIFICAÇÃO]]="","",TEXT(AUDITORIA[[#This Row],[DATA VERIFICAÇÃO]],"mmm")))</f>
        <v>ABR</v>
      </c>
      <c r="Y149" t="s">
        <v>598</v>
      </c>
      <c r="Z149" t="s">
        <v>599</v>
      </c>
      <c r="AA149" t="s">
        <v>600</v>
      </c>
    </row>
    <row r="150" spans="1:27" ht="14.4" hidden="1" customHeight="1" x14ac:dyDescent="0.3">
      <c r="A150" s="4" t="s">
        <v>279</v>
      </c>
      <c r="B150" s="4" t="s">
        <v>17</v>
      </c>
      <c r="C150" s="16" t="s">
        <v>18</v>
      </c>
      <c r="D150" s="4">
        <v>11</v>
      </c>
      <c r="E150" s="4" t="s">
        <v>745</v>
      </c>
      <c r="F150" t="s">
        <v>334</v>
      </c>
      <c r="G150" t="s">
        <v>290</v>
      </c>
      <c r="H150" t="s">
        <v>291</v>
      </c>
      <c r="I150" t="s">
        <v>292</v>
      </c>
      <c r="J150" s="4" t="s">
        <v>31</v>
      </c>
      <c r="K150" s="4" t="s">
        <v>20</v>
      </c>
      <c r="L150" s="4" t="s">
        <v>742</v>
      </c>
      <c r="M150" s="17">
        <v>30</v>
      </c>
      <c r="N150" s="17">
        <v>785</v>
      </c>
      <c r="O150" s="18" t="s">
        <v>31</v>
      </c>
      <c r="P150" s="18">
        <v>785</v>
      </c>
      <c r="Q150" s="18">
        <v>30</v>
      </c>
      <c r="R150" s="18"/>
      <c r="S150" s="18"/>
      <c r="T150" s="18"/>
      <c r="U1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0" s="19">
        <f>IF(AUDITORIA[[#This Row],[CAT]]="",0,1)</f>
        <v>1</v>
      </c>
      <c r="W150" s="20">
        <v>46135</v>
      </c>
      <c r="X150" s="21" t="str">
        <f>UPPER(IF(AUDITORIA[[#This Row],[DATA VERIFICAÇÃO]]="","",TEXT(AUDITORIA[[#This Row],[DATA VERIFICAÇÃO]],"mmm")))</f>
        <v>ABR</v>
      </c>
      <c r="Y150" t="s">
        <v>598</v>
      </c>
      <c r="Z150" t="s">
        <v>599</v>
      </c>
      <c r="AA150" t="s">
        <v>600</v>
      </c>
    </row>
    <row r="151" spans="1:27" ht="14.4" hidden="1" customHeight="1" x14ac:dyDescent="0.3">
      <c r="A151" s="4" t="s">
        <v>279</v>
      </c>
      <c r="B151" s="4" t="s">
        <v>17</v>
      </c>
      <c r="C151" s="16" t="s">
        <v>18</v>
      </c>
      <c r="D151" s="4">
        <v>11</v>
      </c>
      <c r="E151" s="4" t="s">
        <v>745</v>
      </c>
      <c r="F151" t="s">
        <v>330</v>
      </c>
      <c r="G151" t="s">
        <v>290</v>
      </c>
      <c r="H151" t="s">
        <v>291</v>
      </c>
      <c r="I151" t="s">
        <v>292</v>
      </c>
      <c r="J151" s="4" t="s">
        <v>31</v>
      </c>
      <c r="K151" s="4" t="s">
        <v>20</v>
      </c>
      <c r="L151" s="4" t="s">
        <v>742</v>
      </c>
      <c r="M151" s="17">
        <v>30</v>
      </c>
      <c r="N151" s="17">
        <v>789</v>
      </c>
      <c r="O151" s="18" t="s">
        <v>31</v>
      </c>
      <c r="P151" s="18">
        <v>789</v>
      </c>
      <c r="Q151" s="18">
        <v>30</v>
      </c>
      <c r="R151" s="18"/>
      <c r="S151" s="18"/>
      <c r="T151" s="18"/>
      <c r="U1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1" s="19">
        <f>IF(AUDITORIA[[#This Row],[CAT]]="",0,1)</f>
        <v>1</v>
      </c>
      <c r="W151" s="20">
        <v>46135</v>
      </c>
      <c r="X151" s="21" t="str">
        <f>UPPER(IF(AUDITORIA[[#This Row],[DATA VERIFICAÇÃO]]="","",TEXT(AUDITORIA[[#This Row],[DATA VERIFICAÇÃO]],"mmm")))</f>
        <v>ABR</v>
      </c>
      <c r="Y151" t="s">
        <v>598</v>
      </c>
      <c r="Z151" t="s">
        <v>599</v>
      </c>
      <c r="AA151" t="s">
        <v>600</v>
      </c>
    </row>
    <row r="152" spans="1:27" ht="14.4" hidden="1" customHeight="1" x14ac:dyDescent="0.3">
      <c r="A152" s="4" t="s">
        <v>279</v>
      </c>
      <c r="B152" s="4" t="s">
        <v>17</v>
      </c>
      <c r="C152" s="16" t="s">
        <v>18</v>
      </c>
      <c r="D152" s="4">
        <v>11</v>
      </c>
      <c r="E152" s="4" t="s">
        <v>745</v>
      </c>
      <c r="F152" t="s">
        <v>328</v>
      </c>
      <c r="G152" t="s">
        <v>290</v>
      </c>
      <c r="H152" t="s">
        <v>291</v>
      </c>
      <c r="I152" t="s">
        <v>292</v>
      </c>
      <c r="J152" s="4" t="s">
        <v>31</v>
      </c>
      <c r="K152" s="4" t="s">
        <v>20</v>
      </c>
      <c r="L152" s="4" t="s">
        <v>742</v>
      </c>
      <c r="M152" s="17">
        <v>30</v>
      </c>
      <c r="N152" s="17">
        <v>783</v>
      </c>
      <c r="O152" s="18" t="s">
        <v>31</v>
      </c>
      <c r="P152" s="18">
        <v>783</v>
      </c>
      <c r="Q152" s="18">
        <v>30</v>
      </c>
      <c r="R152" s="18"/>
      <c r="S152" s="18"/>
      <c r="T152" s="18"/>
      <c r="U1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2" s="19">
        <f>IF(AUDITORIA[[#This Row],[CAT]]="",0,1)</f>
        <v>1</v>
      </c>
      <c r="W152" s="20">
        <v>46135</v>
      </c>
      <c r="X152" s="21" t="str">
        <f>UPPER(IF(AUDITORIA[[#This Row],[DATA VERIFICAÇÃO]]="","",TEXT(AUDITORIA[[#This Row],[DATA VERIFICAÇÃO]],"mmm")))</f>
        <v>ABR</v>
      </c>
      <c r="Y152" t="s">
        <v>598</v>
      </c>
      <c r="Z152" t="s">
        <v>599</v>
      </c>
      <c r="AA152" t="s">
        <v>600</v>
      </c>
    </row>
    <row r="153" spans="1:27" ht="14.4" hidden="1" customHeight="1" x14ac:dyDescent="0.3">
      <c r="A153" s="4" t="s">
        <v>279</v>
      </c>
      <c r="B153" s="4" t="s">
        <v>17</v>
      </c>
      <c r="C153" s="16" t="s">
        <v>18</v>
      </c>
      <c r="D153" s="4">
        <v>11</v>
      </c>
      <c r="E153" s="4" t="s">
        <v>745</v>
      </c>
      <c r="F153" t="s">
        <v>326</v>
      </c>
      <c r="G153" t="s">
        <v>290</v>
      </c>
      <c r="H153" t="s">
        <v>291</v>
      </c>
      <c r="I153" t="s">
        <v>292</v>
      </c>
      <c r="J153" s="4" t="s">
        <v>31</v>
      </c>
      <c r="K153" s="4" t="s">
        <v>20</v>
      </c>
      <c r="L153" s="4" t="s">
        <v>742</v>
      </c>
      <c r="M153" s="17">
        <v>30</v>
      </c>
      <c r="N153" s="17">
        <v>775</v>
      </c>
      <c r="O153" s="18" t="s">
        <v>31</v>
      </c>
      <c r="P153" s="18">
        <v>775</v>
      </c>
      <c r="Q153" s="18">
        <v>30</v>
      </c>
      <c r="R153" s="18"/>
      <c r="S153" s="18"/>
      <c r="T153" s="18"/>
      <c r="U1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3" s="19">
        <f>IF(AUDITORIA[[#This Row],[CAT]]="",0,1)</f>
        <v>1</v>
      </c>
      <c r="W153" s="20">
        <v>46135</v>
      </c>
      <c r="X153" s="21" t="str">
        <f>UPPER(IF(AUDITORIA[[#This Row],[DATA VERIFICAÇÃO]]="","",TEXT(AUDITORIA[[#This Row],[DATA VERIFICAÇÃO]],"mmm")))</f>
        <v>ABR</v>
      </c>
      <c r="Y153" t="s">
        <v>598</v>
      </c>
      <c r="Z153" t="s">
        <v>599</v>
      </c>
      <c r="AA153" t="s">
        <v>600</v>
      </c>
    </row>
    <row r="154" spans="1:27" ht="14.4" hidden="1" customHeight="1" x14ac:dyDescent="0.3">
      <c r="A154" s="4" t="s">
        <v>279</v>
      </c>
      <c r="B154" s="4" t="s">
        <v>17</v>
      </c>
      <c r="C154" s="16" t="s">
        <v>18</v>
      </c>
      <c r="D154" s="4">
        <v>11</v>
      </c>
      <c r="E154" s="4" t="s">
        <v>745</v>
      </c>
      <c r="F154" t="s">
        <v>322</v>
      </c>
      <c r="G154" t="s">
        <v>290</v>
      </c>
      <c r="H154" t="s">
        <v>291</v>
      </c>
      <c r="I154" t="s">
        <v>292</v>
      </c>
      <c r="J154" s="4" t="s">
        <v>31</v>
      </c>
      <c r="K154" s="4" t="s">
        <v>20</v>
      </c>
      <c r="L154" s="4" t="s">
        <v>742</v>
      </c>
      <c r="M154" s="17">
        <v>30</v>
      </c>
      <c r="N154" s="17">
        <v>747</v>
      </c>
      <c r="O154" s="18" t="s">
        <v>31</v>
      </c>
      <c r="P154" s="18">
        <v>747</v>
      </c>
      <c r="Q154" s="18">
        <v>30</v>
      </c>
      <c r="R154" s="18"/>
      <c r="S154" s="18"/>
      <c r="T154" s="18"/>
      <c r="U1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4" s="19">
        <f>IF(AUDITORIA[[#This Row],[CAT]]="",0,1)</f>
        <v>1</v>
      </c>
      <c r="W154" s="20">
        <v>46135</v>
      </c>
      <c r="X154" s="21" t="str">
        <f>UPPER(IF(AUDITORIA[[#This Row],[DATA VERIFICAÇÃO]]="","",TEXT(AUDITORIA[[#This Row],[DATA VERIFICAÇÃO]],"mmm")))</f>
        <v>ABR</v>
      </c>
      <c r="Y154" t="s">
        <v>598</v>
      </c>
      <c r="Z154" t="s">
        <v>599</v>
      </c>
      <c r="AA154" t="s">
        <v>600</v>
      </c>
    </row>
    <row r="155" spans="1:27" ht="14.4" hidden="1" customHeight="1" x14ac:dyDescent="0.3">
      <c r="A155" s="4" t="s">
        <v>279</v>
      </c>
      <c r="B155" s="4" t="s">
        <v>17</v>
      </c>
      <c r="C155" s="16" t="s">
        <v>18</v>
      </c>
      <c r="D155" s="4">
        <v>11</v>
      </c>
      <c r="E155" s="4" t="s">
        <v>745</v>
      </c>
      <c r="F155" t="s">
        <v>320</v>
      </c>
      <c r="G155" t="s">
        <v>290</v>
      </c>
      <c r="H155" t="s">
        <v>291</v>
      </c>
      <c r="I155" t="s">
        <v>292</v>
      </c>
      <c r="J155" s="4" t="s">
        <v>19</v>
      </c>
      <c r="K155" s="4" t="s">
        <v>20</v>
      </c>
      <c r="L155" s="4" t="s">
        <v>742</v>
      </c>
      <c r="M155" s="17">
        <v>30</v>
      </c>
      <c r="N155" s="17">
        <v>786</v>
      </c>
      <c r="O155" s="18" t="s">
        <v>19</v>
      </c>
      <c r="P155" s="18">
        <v>786</v>
      </c>
      <c r="Q155" s="18">
        <v>30</v>
      </c>
      <c r="R155" s="18"/>
      <c r="S155" s="18"/>
      <c r="T155" s="18"/>
      <c r="U1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5" s="19">
        <f>IF(AUDITORIA[[#This Row],[CAT]]="",0,1)</f>
        <v>1</v>
      </c>
      <c r="W155" s="20">
        <v>46135</v>
      </c>
      <c r="X155" s="21" t="str">
        <f>UPPER(IF(AUDITORIA[[#This Row],[DATA VERIFICAÇÃO]]="","",TEXT(AUDITORIA[[#This Row],[DATA VERIFICAÇÃO]],"mmm")))</f>
        <v>ABR</v>
      </c>
      <c r="Y155" t="s">
        <v>598</v>
      </c>
      <c r="Z155" t="s">
        <v>599</v>
      </c>
      <c r="AA155" t="s">
        <v>600</v>
      </c>
    </row>
    <row r="156" spans="1:27" ht="14.4" hidden="1" customHeight="1" x14ac:dyDescent="0.3">
      <c r="A156" s="4" t="s">
        <v>279</v>
      </c>
      <c r="B156" s="4" t="s">
        <v>17</v>
      </c>
      <c r="C156" s="16" t="s">
        <v>18</v>
      </c>
      <c r="D156" s="4">
        <v>11</v>
      </c>
      <c r="E156" s="4" t="s">
        <v>745</v>
      </c>
      <c r="F156" t="s">
        <v>319</v>
      </c>
      <c r="G156" t="s">
        <v>290</v>
      </c>
      <c r="H156" t="s">
        <v>291</v>
      </c>
      <c r="I156" t="s">
        <v>292</v>
      </c>
      <c r="J156" s="4" t="s">
        <v>19</v>
      </c>
      <c r="K156" s="4" t="s">
        <v>20</v>
      </c>
      <c r="L156" s="4" t="s">
        <v>742</v>
      </c>
      <c r="M156" s="17">
        <v>30</v>
      </c>
      <c r="N156" s="17">
        <v>759</v>
      </c>
      <c r="O156" s="18" t="s">
        <v>19</v>
      </c>
      <c r="P156" s="18">
        <v>759</v>
      </c>
      <c r="Q156" s="18">
        <v>30</v>
      </c>
      <c r="R156" s="18"/>
      <c r="S156" s="18"/>
      <c r="T156" s="18"/>
      <c r="U1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6" s="19">
        <f>IF(AUDITORIA[[#This Row],[CAT]]="",0,1)</f>
        <v>1</v>
      </c>
      <c r="W156" s="20">
        <v>46135</v>
      </c>
      <c r="X156" s="21" t="str">
        <f>UPPER(IF(AUDITORIA[[#This Row],[DATA VERIFICAÇÃO]]="","",TEXT(AUDITORIA[[#This Row],[DATA VERIFICAÇÃO]],"mmm")))</f>
        <v>ABR</v>
      </c>
      <c r="Y156" t="s">
        <v>598</v>
      </c>
      <c r="Z156" t="s">
        <v>599</v>
      </c>
      <c r="AA156" t="s">
        <v>600</v>
      </c>
    </row>
    <row r="157" spans="1:27" ht="14.4" hidden="1" customHeight="1" x14ac:dyDescent="0.3">
      <c r="A157" s="4" t="s">
        <v>279</v>
      </c>
      <c r="B157" s="4" t="s">
        <v>17</v>
      </c>
      <c r="C157" s="16" t="s">
        <v>18</v>
      </c>
      <c r="D157" s="4">
        <v>11</v>
      </c>
      <c r="E157" s="4" t="s">
        <v>745</v>
      </c>
      <c r="F157" t="s">
        <v>316</v>
      </c>
      <c r="G157" t="s">
        <v>290</v>
      </c>
      <c r="H157" t="s">
        <v>291</v>
      </c>
      <c r="I157" t="s">
        <v>292</v>
      </c>
      <c r="J157" s="4" t="s">
        <v>19</v>
      </c>
      <c r="K157" s="4" t="s">
        <v>20</v>
      </c>
      <c r="L157" s="4" t="s">
        <v>742</v>
      </c>
      <c r="M157" s="17">
        <v>30</v>
      </c>
      <c r="N157" s="17">
        <v>760</v>
      </c>
      <c r="O157" s="18" t="s">
        <v>19</v>
      </c>
      <c r="P157" s="18">
        <v>760</v>
      </c>
      <c r="Q157" s="18">
        <v>30</v>
      </c>
      <c r="R157" s="18"/>
      <c r="S157" s="18"/>
      <c r="T157" s="18"/>
      <c r="U1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7" s="19">
        <f>IF(AUDITORIA[[#This Row],[CAT]]="",0,1)</f>
        <v>1</v>
      </c>
      <c r="W157" s="20">
        <v>46135</v>
      </c>
      <c r="X157" s="21" t="str">
        <f>UPPER(IF(AUDITORIA[[#This Row],[DATA VERIFICAÇÃO]]="","",TEXT(AUDITORIA[[#This Row],[DATA VERIFICAÇÃO]],"mmm")))</f>
        <v>ABR</v>
      </c>
      <c r="Y157" t="s">
        <v>598</v>
      </c>
      <c r="Z157" t="s">
        <v>599</v>
      </c>
      <c r="AA157" t="s">
        <v>600</v>
      </c>
    </row>
    <row r="158" spans="1:27" ht="14.4" hidden="1" customHeight="1" x14ac:dyDescent="0.3">
      <c r="A158" s="4" t="s">
        <v>279</v>
      </c>
      <c r="B158" s="4" t="s">
        <v>17</v>
      </c>
      <c r="C158" s="16" t="s">
        <v>18</v>
      </c>
      <c r="D158" s="4">
        <v>11</v>
      </c>
      <c r="E158" s="4" t="s">
        <v>745</v>
      </c>
      <c r="F158" t="s">
        <v>313</v>
      </c>
      <c r="G158" t="s">
        <v>290</v>
      </c>
      <c r="H158" t="s">
        <v>291</v>
      </c>
      <c r="I158" t="s">
        <v>292</v>
      </c>
      <c r="J158" s="4" t="s">
        <v>19</v>
      </c>
      <c r="K158" s="4" t="s">
        <v>20</v>
      </c>
      <c r="L158" s="4" t="s">
        <v>742</v>
      </c>
      <c r="M158" s="17">
        <v>30</v>
      </c>
      <c r="N158" s="17">
        <v>763</v>
      </c>
      <c r="O158" s="18" t="s">
        <v>19</v>
      </c>
      <c r="P158" s="18">
        <v>763</v>
      </c>
      <c r="Q158" s="18">
        <v>30</v>
      </c>
      <c r="R158" s="18"/>
      <c r="S158" s="18"/>
      <c r="T158" s="18"/>
      <c r="U1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8" s="19">
        <f>IF(AUDITORIA[[#This Row],[CAT]]="",0,1)</f>
        <v>1</v>
      </c>
      <c r="W158" s="20">
        <v>46135</v>
      </c>
      <c r="X158" s="21" t="str">
        <f>UPPER(IF(AUDITORIA[[#This Row],[DATA VERIFICAÇÃO]]="","",TEXT(AUDITORIA[[#This Row],[DATA VERIFICAÇÃO]],"mmm")))</f>
        <v>ABR</v>
      </c>
      <c r="Y158" t="s">
        <v>598</v>
      </c>
      <c r="Z158" t="s">
        <v>599</v>
      </c>
      <c r="AA158" t="s">
        <v>600</v>
      </c>
    </row>
    <row r="159" spans="1:27" ht="14.4" hidden="1" customHeight="1" x14ac:dyDescent="0.3">
      <c r="A159" s="4" t="s">
        <v>279</v>
      </c>
      <c r="B159" s="4" t="s">
        <v>17</v>
      </c>
      <c r="C159" s="16" t="s">
        <v>18</v>
      </c>
      <c r="D159" s="4">
        <v>11</v>
      </c>
      <c r="E159" s="4" t="s">
        <v>745</v>
      </c>
      <c r="F159" t="s">
        <v>310</v>
      </c>
      <c r="G159" t="s">
        <v>290</v>
      </c>
      <c r="H159" t="s">
        <v>291</v>
      </c>
      <c r="I159" t="s">
        <v>292</v>
      </c>
      <c r="J159" s="4" t="s">
        <v>19</v>
      </c>
      <c r="K159" s="4" t="s">
        <v>20</v>
      </c>
      <c r="L159" s="4" t="s">
        <v>742</v>
      </c>
      <c r="M159" s="17">
        <v>30</v>
      </c>
      <c r="N159" s="17">
        <v>769</v>
      </c>
      <c r="O159" s="18" t="s">
        <v>19</v>
      </c>
      <c r="P159" s="18">
        <v>769</v>
      </c>
      <c r="Q159" s="18">
        <v>30</v>
      </c>
      <c r="R159" s="18"/>
      <c r="S159" s="18"/>
      <c r="T159" s="18"/>
      <c r="U1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9" s="19">
        <f>IF(AUDITORIA[[#This Row],[CAT]]="",0,1)</f>
        <v>1</v>
      </c>
      <c r="W159" s="20">
        <v>46135</v>
      </c>
      <c r="X159" s="21" t="str">
        <f>UPPER(IF(AUDITORIA[[#This Row],[DATA VERIFICAÇÃO]]="","",TEXT(AUDITORIA[[#This Row],[DATA VERIFICAÇÃO]],"mmm")))</f>
        <v>ABR</v>
      </c>
      <c r="Y159" t="s">
        <v>598</v>
      </c>
      <c r="Z159" t="s">
        <v>599</v>
      </c>
      <c r="AA159" t="s">
        <v>600</v>
      </c>
    </row>
    <row r="160" spans="1:27" ht="14.4" hidden="1" customHeight="1" x14ac:dyDescent="0.3">
      <c r="A160" s="4" t="s">
        <v>279</v>
      </c>
      <c r="B160" s="4" t="s">
        <v>17</v>
      </c>
      <c r="C160" s="16" t="s">
        <v>18</v>
      </c>
      <c r="D160" s="4">
        <v>11</v>
      </c>
      <c r="E160" s="4" t="s">
        <v>745</v>
      </c>
      <c r="F160" t="s">
        <v>309</v>
      </c>
      <c r="G160" t="s">
        <v>290</v>
      </c>
      <c r="H160" t="s">
        <v>291</v>
      </c>
      <c r="I160" t="s">
        <v>292</v>
      </c>
      <c r="J160" s="4" t="s">
        <v>19</v>
      </c>
      <c r="K160" s="4" t="s">
        <v>20</v>
      </c>
      <c r="L160" s="4" t="s">
        <v>742</v>
      </c>
      <c r="M160" s="17">
        <v>30</v>
      </c>
      <c r="N160" s="17">
        <v>739</v>
      </c>
      <c r="O160" s="18" t="s">
        <v>19</v>
      </c>
      <c r="P160" s="18">
        <v>739</v>
      </c>
      <c r="Q160" s="18">
        <v>30</v>
      </c>
      <c r="R160" s="18"/>
      <c r="S160" s="18"/>
      <c r="T160" s="18"/>
      <c r="U1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0" s="19">
        <f>IF(AUDITORIA[[#This Row],[CAT]]="",0,1)</f>
        <v>1</v>
      </c>
      <c r="W160" s="20">
        <v>46135</v>
      </c>
      <c r="X160" s="21" t="str">
        <f>UPPER(IF(AUDITORIA[[#This Row],[DATA VERIFICAÇÃO]]="","",TEXT(AUDITORIA[[#This Row],[DATA VERIFICAÇÃO]],"mmm")))</f>
        <v>ABR</v>
      </c>
      <c r="Y160" t="s">
        <v>598</v>
      </c>
      <c r="Z160" t="s">
        <v>599</v>
      </c>
      <c r="AA160" t="s">
        <v>600</v>
      </c>
    </row>
    <row r="161" spans="1:27" ht="14.4" hidden="1" customHeight="1" x14ac:dyDescent="0.3">
      <c r="A161" s="4" t="s">
        <v>279</v>
      </c>
      <c r="B161" s="4" t="s">
        <v>17</v>
      </c>
      <c r="C161" s="16" t="s">
        <v>18</v>
      </c>
      <c r="D161" s="4">
        <v>11</v>
      </c>
      <c r="E161" s="4" t="s">
        <v>745</v>
      </c>
      <c r="F161" t="s">
        <v>306</v>
      </c>
      <c r="G161" t="s">
        <v>290</v>
      </c>
      <c r="H161" t="s">
        <v>291</v>
      </c>
      <c r="I161" t="s">
        <v>292</v>
      </c>
      <c r="J161" s="4" t="s">
        <v>19</v>
      </c>
      <c r="K161" s="4" t="s">
        <v>20</v>
      </c>
      <c r="L161" s="4" t="s">
        <v>742</v>
      </c>
      <c r="M161" s="17">
        <v>30</v>
      </c>
      <c r="N161" s="17">
        <v>720</v>
      </c>
      <c r="O161" s="18" t="s">
        <v>19</v>
      </c>
      <c r="P161" s="18">
        <v>720</v>
      </c>
      <c r="Q161" s="18">
        <v>30</v>
      </c>
      <c r="R161" s="18"/>
      <c r="S161" s="18"/>
      <c r="T161" s="18"/>
      <c r="U1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1" s="19">
        <f>IF(AUDITORIA[[#This Row],[CAT]]="",0,1)</f>
        <v>1</v>
      </c>
      <c r="W161" s="20">
        <v>46135</v>
      </c>
      <c r="X161" s="21" t="str">
        <f>UPPER(IF(AUDITORIA[[#This Row],[DATA VERIFICAÇÃO]]="","",TEXT(AUDITORIA[[#This Row],[DATA VERIFICAÇÃO]],"mmm")))</f>
        <v>ABR</v>
      </c>
      <c r="Y161" t="s">
        <v>598</v>
      </c>
      <c r="Z161" t="s">
        <v>599</v>
      </c>
      <c r="AA161" t="s">
        <v>600</v>
      </c>
    </row>
    <row r="162" spans="1:27" ht="14.4" hidden="1" customHeight="1" x14ac:dyDescent="0.3">
      <c r="A162" s="4" t="s">
        <v>279</v>
      </c>
      <c r="B162" s="4" t="s">
        <v>17</v>
      </c>
      <c r="C162" s="16" t="s">
        <v>18</v>
      </c>
      <c r="D162" s="4">
        <v>11</v>
      </c>
      <c r="E162" s="4" t="s">
        <v>745</v>
      </c>
      <c r="F162" t="s">
        <v>304</v>
      </c>
      <c r="G162" t="s">
        <v>290</v>
      </c>
      <c r="H162" t="s">
        <v>291</v>
      </c>
      <c r="I162" t="s">
        <v>292</v>
      </c>
      <c r="J162" s="4" t="s">
        <v>19</v>
      </c>
      <c r="K162" s="4" t="s">
        <v>20</v>
      </c>
      <c r="L162" s="4" t="s">
        <v>742</v>
      </c>
      <c r="M162" s="17">
        <v>30</v>
      </c>
      <c r="N162" s="17">
        <v>755</v>
      </c>
      <c r="O162" s="18" t="s">
        <v>19</v>
      </c>
      <c r="P162" s="18">
        <v>755</v>
      </c>
      <c r="Q162" s="18">
        <v>30</v>
      </c>
      <c r="R162" s="18"/>
      <c r="S162" s="18"/>
      <c r="T162" s="18"/>
      <c r="U1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2" s="19">
        <f>IF(AUDITORIA[[#This Row],[CAT]]="",0,1)</f>
        <v>1</v>
      </c>
      <c r="W162" s="20">
        <v>46135</v>
      </c>
      <c r="X162" s="21" t="str">
        <f>UPPER(IF(AUDITORIA[[#This Row],[DATA VERIFICAÇÃO]]="","",TEXT(AUDITORIA[[#This Row],[DATA VERIFICAÇÃO]],"mmm")))</f>
        <v>ABR</v>
      </c>
      <c r="Y162" t="s">
        <v>598</v>
      </c>
      <c r="Z162" t="s">
        <v>599</v>
      </c>
      <c r="AA162" t="s">
        <v>600</v>
      </c>
    </row>
    <row r="163" spans="1:27" ht="14.4" hidden="1" customHeight="1" x14ac:dyDescent="0.3">
      <c r="A163" s="4" t="s">
        <v>279</v>
      </c>
      <c r="B163" s="4" t="s">
        <v>17</v>
      </c>
      <c r="C163" s="16" t="s">
        <v>18</v>
      </c>
      <c r="D163" s="4">
        <v>11</v>
      </c>
      <c r="E163" s="4" t="s">
        <v>745</v>
      </c>
      <c r="F163" t="s">
        <v>301</v>
      </c>
      <c r="G163" t="s">
        <v>290</v>
      </c>
      <c r="H163" t="s">
        <v>291</v>
      </c>
      <c r="I163" t="s">
        <v>292</v>
      </c>
      <c r="J163" s="4" t="s">
        <v>19</v>
      </c>
      <c r="K163" s="4" t="s">
        <v>20</v>
      </c>
      <c r="L163" s="4" t="s">
        <v>742</v>
      </c>
      <c r="M163" s="17">
        <v>30</v>
      </c>
      <c r="N163" s="17">
        <v>746</v>
      </c>
      <c r="O163" s="18" t="s">
        <v>19</v>
      </c>
      <c r="P163" s="18">
        <v>746</v>
      </c>
      <c r="Q163" s="18">
        <v>30</v>
      </c>
      <c r="R163" s="18"/>
      <c r="S163" s="18"/>
      <c r="T163" s="18"/>
      <c r="U1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3" s="19">
        <f>IF(AUDITORIA[[#This Row],[CAT]]="",0,1)</f>
        <v>1</v>
      </c>
      <c r="W163" s="20">
        <v>46135</v>
      </c>
      <c r="X163" s="21" t="str">
        <f>UPPER(IF(AUDITORIA[[#This Row],[DATA VERIFICAÇÃO]]="","",TEXT(AUDITORIA[[#This Row],[DATA VERIFICAÇÃO]],"mmm")))</f>
        <v>ABR</v>
      </c>
      <c r="Y163" t="s">
        <v>598</v>
      </c>
      <c r="Z163" t="s">
        <v>599</v>
      </c>
      <c r="AA163" t="s">
        <v>600</v>
      </c>
    </row>
    <row r="164" spans="1:27" ht="14.4" hidden="1" customHeight="1" x14ac:dyDescent="0.3">
      <c r="A164" s="4" t="s">
        <v>279</v>
      </c>
      <c r="B164" s="4" t="s">
        <v>17</v>
      </c>
      <c r="C164" s="16" t="s">
        <v>18</v>
      </c>
      <c r="D164" s="4">
        <v>11</v>
      </c>
      <c r="E164" s="4" t="s">
        <v>745</v>
      </c>
      <c r="F164" t="s">
        <v>298</v>
      </c>
      <c r="G164" t="s">
        <v>290</v>
      </c>
      <c r="H164" t="s">
        <v>291</v>
      </c>
      <c r="I164" t="s">
        <v>292</v>
      </c>
      <c r="J164" s="4" t="s">
        <v>19</v>
      </c>
      <c r="K164" s="4" t="s">
        <v>20</v>
      </c>
      <c r="L164" s="4" t="s">
        <v>742</v>
      </c>
      <c r="M164" s="17">
        <v>30</v>
      </c>
      <c r="N164" s="17">
        <v>800</v>
      </c>
      <c r="O164" s="18" t="s">
        <v>19</v>
      </c>
      <c r="P164" s="18">
        <v>800</v>
      </c>
      <c r="Q164" s="18">
        <v>30</v>
      </c>
      <c r="R164" s="18"/>
      <c r="S164" s="18"/>
      <c r="T164" s="18"/>
      <c r="U1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4" s="19">
        <f>IF(AUDITORIA[[#This Row],[CAT]]="",0,1)</f>
        <v>1</v>
      </c>
      <c r="W164" s="20">
        <v>46135</v>
      </c>
      <c r="X164" s="21" t="str">
        <f>UPPER(IF(AUDITORIA[[#This Row],[DATA VERIFICAÇÃO]]="","",TEXT(AUDITORIA[[#This Row],[DATA VERIFICAÇÃO]],"mmm")))</f>
        <v>ABR</v>
      </c>
      <c r="Y164" t="s">
        <v>598</v>
      </c>
      <c r="Z164" t="s">
        <v>599</v>
      </c>
      <c r="AA164" t="s">
        <v>600</v>
      </c>
    </row>
    <row r="165" spans="1:27" ht="14.4" hidden="1" customHeight="1" x14ac:dyDescent="0.3">
      <c r="A165" s="4" t="s">
        <v>279</v>
      </c>
      <c r="B165" s="4" t="s">
        <v>17</v>
      </c>
      <c r="C165" s="16" t="s">
        <v>18</v>
      </c>
      <c r="D165" s="4">
        <v>11</v>
      </c>
      <c r="E165" s="4" t="s">
        <v>745</v>
      </c>
      <c r="F165" t="s">
        <v>295</v>
      </c>
      <c r="G165" t="s">
        <v>290</v>
      </c>
      <c r="H165" t="s">
        <v>291</v>
      </c>
      <c r="I165" t="s">
        <v>292</v>
      </c>
      <c r="J165" s="4" t="s">
        <v>19</v>
      </c>
      <c r="K165" s="4" t="s">
        <v>20</v>
      </c>
      <c r="L165" s="4" t="s">
        <v>742</v>
      </c>
      <c r="M165" s="17">
        <v>30</v>
      </c>
      <c r="N165" s="17">
        <v>766</v>
      </c>
      <c r="O165" s="18" t="s">
        <v>19</v>
      </c>
      <c r="P165" s="18">
        <v>766</v>
      </c>
      <c r="Q165" s="18">
        <v>30</v>
      </c>
      <c r="R165" s="18"/>
      <c r="S165" s="18"/>
      <c r="T165" s="18"/>
      <c r="U1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5" s="19">
        <f>IF(AUDITORIA[[#This Row],[CAT]]="",0,1)</f>
        <v>1</v>
      </c>
      <c r="W165" s="20">
        <v>46135</v>
      </c>
      <c r="X165" s="21" t="str">
        <f>UPPER(IF(AUDITORIA[[#This Row],[DATA VERIFICAÇÃO]]="","",TEXT(AUDITORIA[[#This Row],[DATA VERIFICAÇÃO]],"mmm")))</f>
        <v>ABR</v>
      </c>
      <c r="Y165" t="s">
        <v>598</v>
      </c>
      <c r="Z165" t="s">
        <v>599</v>
      </c>
      <c r="AA165" t="s">
        <v>600</v>
      </c>
    </row>
    <row r="166" spans="1:27" ht="14.4" hidden="1" customHeight="1" x14ac:dyDescent="0.3">
      <c r="A166" s="4" t="s">
        <v>279</v>
      </c>
      <c r="B166" s="4" t="s">
        <v>17</v>
      </c>
      <c r="C166" s="16" t="s">
        <v>18</v>
      </c>
      <c r="D166" s="4">
        <v>11</v>
      </c>
      <c r="E166" s="4" t="s">
        <v>745</v>
      </c>
      <c r="F166" t="s">
        <v>289</v>
      </c>
      <c r="G166" t="s">
        <v>290</v>
      </c>
      <c r="H166" t="s">
        <v>291</v>
      </c>
      <c r="I166" t="s">
        <v>292</v>
      </c>
      <c r="J166" s="4" t="s">
        <v>19</v>
      </c>
      <c r="K166" s="4" t="s">
        <v>20</v>
      </c>
      <c r="L166" s="4" t="s">
        <v>742</v>
      </c>
      <c r="M166" s="17">
        <v>9</v>
      </c>
      <c r="N166" s="17">
        <v>777</v>
      </c>
      <c r="O166" s="18" t="s">
        <v>19</v>
      </c>
      <c r="P166" s="18">
        <v>777</v>
      </c>
      <c r="Q166" s="18">
        <v>9</v>
      </c>
      <c r="R166" s="18"/>
      <c r="S166" s="18"/>
      <c r="T166" s="18"/>
      <c r="U1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6" s="19">
        <f>IF(AUDITORIA[[#This Row],[CAT]]="",0,1)</f>
        <v>1</v>
      </c>
      <c r="W166" s="20">
        <v>46135</v>
      </c>
      <c r="X166" s="21" t="str">
        <f>UPPER(IF(AUDITORIA[[#This Row],[DATA VERIFICAÇÃO]]="","",TEXT(AUDITORIA[[#This Row],[DATA VERIFICAÇÃO]],"mmm")))</f>
        <v>ABR</v>
      </c>
      <c r="Y166" t="s">
        <v>598</v>
      </c>
      <c r="Z166" t="s">
        <v>599</v>
      </c>
      <c r="AA166" t="s">
        <v>600</v>
      </c>
    </row>
    <row r="167" spans="1:27" ht="14.4" hidden="1" customHeight="1" x14ac:dyDescent="0.3">
      <c r="A167" s="4" t="s">
        <v>279</v>
      </c>
      <c r="B167" s="4" t="s">
        <v>17</v>
      </c>
      <c r="C167" s="16" t="s">
        <v>18</v>
      </c>
      <c r="D167" s="4">
        <v>11</v>
      </c>
      <c r="E167" s="4" t="s">
        <v>745</v>
      </c>
      <c r="F167" t="s">
        <v>389</v>
      </c>
      <c r="G167" t="s">
        <v>290</v>
      </c>
      <c r="H167" t="s">
        <v>291</v>
      </c>
      <c r="I167" t="s">
        <v>292</v>
      </c>
      <c r="J167" s="4" t="s">
        <v>19</v>
      </c>
      <c r="K167" s="4" t="s">
        <v>21</v>
      </c>
      <c r="L167" s="4" t="s">
        <v>742</v>
      </c>
      <c r="M167" s="17">
        <v>24</v>
      </c>
      <c r="N167" s="17">
        <v>1010</v>
      </c>
      <c r="O167" s="18" t="s">
        <v>19</v>
      </c>
      <c r="P167" s="18">
        <v>1010</v>
      </c>
      <c r="Q167" s="18">
        <v>24</v>
      </c>
      <c r="R167" s="18"/>
      <c r="S167" s="18"/>
      <c r="T167" s="18"/>
      <c r="U1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7" s="19">
        <f>IF(AUDITORIA[[#This Row],[CAT]]="",0,1)</f>
        <v>1</v>
      </c>
      <c r="W167" s="20">
        <v>46135</v>
      </c>
      <c r="X167" s="21" t="str">
        <f>UPPER(IF(AUDITORIA[[#This Row],[DATA VERIFICAÇÃO]]="","",TEXT(AUDITORIA[[#This Row],[DATA VERIFICAÇÃO]],"mmm")))</f>
        <v>ABR</v>
      </c>
      <c r="Y167" t="s">
        <v>598</v>
      </c>
      <c r="Z167" t="s">
        <v>599</v>
      </c>
      <c r="AA167" t="s">
        <v>600</v>
      </c>
    </row>
    <row r="168" spans="1:27" ht="14.4" hidden="1" customHeight="1" x14ac:dyDescent="0.3">
      <c r="A168" s="4" t="s">
        <v>279</v>
      </c>
      <c r="B168" s="4" t="s">
        <v>17</v>
      </c>
      <c r="C168" s="16" t="s">
        <v>18</v>
      </c>
      <c r="D168" s="4">
        <v>11</v>
      </c>
      <c r="E168" s="4" t="s">
        <v>745</v>
      </c>
      <c r="F168" t="s">
        <v>358</v>
      </c>
      <c r="G168" t="s">
        <v>290</v>
      </c>
      <c r="H168" t="s">
        <v>291</v>
      </c>
      <c r="I168" t="s">
        <v>292</v>
      </c>
      <c r="J168" s="4" t="s">
        <v>19</v>
      </c>
      <c r="K168" s="4" t="s">
        <v>21</v>
      </c>
      <c r="L168" s="4" t="s">
        <v>742</v>
      </c>
      <c r="M168" s="17">
        <v>27</v>
      </c>
      <c r="N168" s="17">
        <v>998</v>
      </c>
      <c r="O168" s="18" t="s">
        <v>19</v>
      </c>
      <c r="P168" s="18">
        <v>998</v>
      </c>
      <c r="Q168" s="18">
        <v>27</v>
      </c>
      <c r="R168" s="18"/>
      <c r="S168" s="18"/>
      <c r="T168" s="18"/>
      <c r="U1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8" s="19">
        <f>IF(AUDITORIA[[#This Row],[CAT]]="",0,1)</f>
        <v>1</v>
      </c>
      <c r="W168" s="20">
        <v>46135</v>
      </c>
      <c r="X168" s="21" t="str">
        <f>UPPER(IF(AUDITORIA[[#This Row],[DATA VERIFICAÇÃO]]="","",TEXT(AUDITORIA[[#This Row],[DATA VERIFICAÇÃO]],"mmm")))</f>
        <v>ABR</v>
      </c>
      <c r="Y168" t="s">
        <v>598</v>
      </c>
      <c r="Z168" t="s">
        <v>599</v>
      </c>
      <c r="AA168" t="s">
        <v>600</v>
      </c>
    </row>
    <row r="169" spans="1:27" ht="14.4" hidden="1" customHeight="1" x14ac:dyDescent="0.3">
      <c r="A169" s="4" t="s">
        <v>279</v>
      </c>
      <c r="B169" s="4" t="s">
        <v>17</v>
      </c>
      <c r="C169" s="16" t="s">
        <v>18</v>
      </c>
      <c r="D169" s="4">
        <v>11</v>
      </c>
      <c r="E169" s="4" t="s">
        <v>745</v>
      </c>
      <c r="F169" t="s">
        <v>346</v>
      </c>
      <c r="G169" t="s">
        <v>290</v>
      </c>
      <c r="H169" t="s">
        <v>291</v>
      </c>
      <c r="I169" t="s">
        <v>292</v>
      </c>
      <c r="J169" s="4" t="s">
        <v>19</v>
      </c>
      <c r="K169" s="4" t="s">
        <v>21</v>
      </c>
      <c r="L169" s="4" t="s">
        <v>742</v>
      </c>
      <c r="M169" s="17">
        <v>27</v>
      </c>
      <c r="N169" s="17">
        <v>931</v>
      </c>
      <c r="O169" s="18" t="s">
        <v>19</v>
      </c>
      <c r="P169" s="18">
        <v>931</v>
      </c>
      <c r="Q169" s="18">
        <v>27</v>
      </c>
      <c r="R169" s="18"/>
      <c r="S169" s="18"/>
      <c r="T169" s="18"/>
      <c r="U1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9" s="19">
        <f>IF(AUDITORIA[[#This Row],[CAT]]="",0,1)</f>
        <v>1</v>
      </c>
      <c r="W169" s="20">
        <v>46135</v>
      </c>
      <c r="X169" s="21" t="str">
        <f>UPPER(IF(AUDITORIA[[#This Row],[DATA VERIFICAÇÃO]]="","",TEXT(AUDITORIA[[#This Row],[DATA VERIFICAÇÃO]],"mmm")))</f>
        <v>ABR</v>
      </c>
      <c r="Y169" t="s">
        <v>598</v>
      </c>
      <c r="Z169" t="s">
        <v>599</v>
      </c>
      <c r="AA169" t="s">
        <v>600</v>
      </c>
    </row>
    <row r="170" spans="1:27" ht="14.4" hidden="1" customHeight="1" x14ac:dyDescent="0.3">
      <c r="A170" s="4" t="s">
        <v>279</v>
      </c>
      <c r="B170" s="4" t="s">
        <v>17</v>
      </c>
      <c r="C170" s="16" t="s">
        <v>18</v>
      </c>
      <c r="D170" s="4">
        <v>11</v>
      </c>
      <c r="E170" s="4" t="s">
        <v>745</v>
      </c>
      <c r="F170" t="s">
        <v>337</v>
      </c>
      <c r="G170" t="s">
        <v>290</v>
      </c>
      <c r="H170" t="s">
        <v>291</v>
      </c>
      <c r="I170" t="s">
        <v>292</v>
      </c>
      <c r="J170" s="4" t="s">
        <v>31</v>
      </c>
      <c r="K170" s="4" t="s">
        <v>21</v>
      </c>
      <c r="L170" s="4" t="s">
        <v>742</v>
      </c>
      <c r="M170" s="17">
        <v>27</v>
      </c>
      <c r="N170" s="17">
        <v>928</v>
      </c>
      <c r="O170" s="18" t="s">
        <v>31</v>
      </c>
      <c r="P170" s="18">
        <v>928</v>
      </c>
      <c r="Q170" s="18">
        <v>27</v>
      </c>
      <c r="R170" s="18"/>
      <c r="S170" s="18"/>
      <c r="T170" s="18"/>
      <c r="U1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0" s="19">
        <f>IF(AUDITORIA[[#This Row],[CAT]]="",0,1)</f>
        <v>1</v>
      </c>
      <c r="W170" s="20">
        <v>46135</v>
      </c>
      <c r="X170" s="21" t="str">
        <f>UPPER(IF(AUDITORIA[[#This Row],[DATA VERIFICAÇÃO]]="","",TEXT(AUDITORIA[[#This Row],[DATA VERIFICAÇÃO]],"mmm")))</f>
        <v>ABR</v>
      </c>
      <c r="Y170" t="s">
        <v>598</v>
      </c>
      <c r="Z170" t="s">
        <v>599</v>
      </c>
      <c r="AA170" t="s">
        <v>600</v>
      </c>
    </row>
    <row r="171" spans="1:27" ht="14.4" hidden="1" customHeight="1" x14ac:dyDescent="0.3">
      <c r="A171" s="4" t="s">
        <v>279</v>
      </c>
      <c r="B171" s="4" t="s">
        <v>17</v>
      </c>
      <c r="C171" s="16" t="s">
        <v>18</v>
      </c>
      <c r="D171" s="4">
        <v>11</v>
      </c>
      <c r="E171" s="4" t="s">
        <v>745</v>
      </c>
      <c r="F171" t="s">
        <v>332</v>
      </c>
      <c r="G171" t="s">
        <v>290</v>
      </c>
      <c r="H171" t="s">
        <v>291</v>
      </c>
      <c r="I171" t="s">
        <v>292</v>
      </c>
      <c r="J171" s="4" t="s">
        <v>31</v>
      </c>
      <c r="K171" s="4" t="s">
        <v>21</v>
      </c>
      <c r="L171" s="4" t="s">
        <v>742</v>
      </c>
      <c r="M171" s="17">
        <v>27</v>
      </c>
      <c r="N171" s="17">
        <v>937</v>
      </c>
      <c r="O171" s="18" t="s">
        <v>31</v>
      </c>
      <c r="P171" s="18">
        <v>937</v>
      </c>
      <c r="Q171" s="18">
        <v>27</v>
      </c>
      <c r="R171" s="18"/>
      <c r="S171" s="18"/>
      <c r="T171" s="18"/>
      <c r="U1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1" s="19">
        <f>IF(AUDITORIA[[#This Row],[CAT]]="",0,1)</f>
        <v>1</v>
      </c>
      <c r="W171" s="20">
        <v>46135</v>
      </c>
      <c r="X171" s="21" t="str">
        <f>UPPER(IF(AUDITORIA[[#This Row],[DATA VERIFICAÇÃO]]="","",TEXT(AUDITORIA[[#This Row],[DATA VERIFICAÇÃO]],"mmm")))</f>
        <v>ABR</v>
      </c>
      <c r="Y171" t="s">
        <v>598</v>
      </c>
      <c r="Z171" t="s">
        <v>599</v>
      </c>
      <c r="AA171" t="s">
        <v>600</v>
      </c>
    </row>
    <row r="172" spans="1:27" ht="14.4" hidden="1" customHeight="1" x14ac:dyDescent="0.3">
      <c r="A172" s="4" t="s">
        <v>279</v>
      </c>
      <c r="B172" s="4" t="s">
        <v>17</v>
      </c>
      <c r="C172" s="16" t="s">
        <v>18</v>
      </c>
      <c r="D172" s="4">
        <v>11</v>
      </c>
      <c r="E172" s="4" t="s">
        <v>745</v>
      </c>
      <c r="F172" t="s">
        <v>324</v>
      </c>
      <c r="G172" t="s">
        <v>290</v>
      </c>
      <c r="H172" t="s">
        <v>291</v>
      </c>
      <c r="I172" t="s">
        <v>292</v>
      </c>
      <c r="J172" s="4" t="s">
        <v>31</v>
      </c>
      <c r="K172" s="4" t="s">
        <v>21</v>
      </c>
      <c r="L172" s="4" t="s">
        <v>742</v>
      </c>
      <c r="M172" s="17">
        <v>27</v>
      </c>
      <c r="N172" s="17">
        <v>934</v>
      </c>
      <c r="O172" s="18" t="s">
        <v>31</v>
      </c>
      <c r="P172" s="18">
        <v>934</v>
      </c>
      <c r="Q172" s="18">
        <v>27</v>
      </c>
      <c r="R172" s="18"/>
      <c r="S172" s="18"/>
      <c r="T172" s="18"/>
      <c r="U1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2" s="19">
        <f>IF(AUDITORIA[[#This Row],[CAT]]="",0,1)</f>
        <v>1</v>
      </c>
      <c r="W172" s="20">
        <v>46135</v>
      </c>
      <c r="X172" s="21" t="str">
        <f>UPPER(IF(AUDITORIA[[#This Row],[DATA VERIFICAÇÃO]]="","",TEXT(AUDITORIA[[#This Row],[DATA VERIFICAÇÃO]],"mmm")))</f>
        <v>ABR</v>
      </c>
      <c r="Y172" t="s">
        <v>598</v>
      </c>
      <c r="Z172" t="s">
        <v>599</v>
      </c>
      <c r="AA172" t="s">
        <v>600</v>
      </c>
    </row>
    <row r="173" spans="1:27" ht="14.4" hidden="1" customHeight="1" x14ac:dyDescent="0.3">
      <c r="A173" s="4" t="s">
        <v>279</v>
      </c>
      <c r="B173" s="4" t="s">
        <v>17</v>
      </c>
      <c r="C173" s="16" t="s">
        <v>18</v>
      </c>
      <c r="D173" s="4">
        <v>11</v>
      </c>
      <c r="E173" s="4" t="s">
        <v>745</v>
      </c>
      <c r="F173" t="s">
        <v>314</v>
      </c>
      <c r="G173" t="s">
        <v>290</v>
      </c>
      <c r="H173" t="s">
        <v>291</v>
      </c>
      <c r="I173" t="s">
        <v>292</v>
      </c>
      <c r="J173" s="4" t="s">
        <v>19</v>
      </c>
      <c r="K173" s="4" t="s">
        <v>21</v>
      </c>
      <c r="L173" s="4" t="s">
        <v>742</v>
      </c>
      <c r="M173" s="17">
        <v>27</v>
      </c>
      <c r="N173" s="17">
        <v>917</v>
      </c>
      <c r="O173" s="18" t="s">
        <v>19</v>
      </c>
      <c r="P173" s="18">
        <v>917</v>
      </c>
      <c r="Q173" s="18">
        <v>27</v>
      </c>
      <c r="R173" s="18"/>
      <c r="S173" s="18"/>
      <c r="T173" s="18"/>
      <c r="U1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3" s="19">
        <f>IF(AUDITORIA[[#This Row],[CAT]]="",0,1)</f>
        <v>1</v>
      </c>
      <c r="W173" s="20">
        <v>46135</v>
      </c>
      <c r="X173" s="21" t="str">
        <f>UPPER(IF(AUDITORIA[[#This Row],[DATA VERIFICAÇÃO]]="","",TEXT(AUDITORIA[[#This Row],[DATA VERIFICAÇÃO]],"mmm")))</f>
        <v>ABR</v>
      </c>
      <c r="Y173" t="s">
        <v>598</v>
      </c>
      <c r="Z173" t="s">
        <v>599</v>
      </c>
      <c r="AA173" t="s">
        <v>600</v>
      </c>
    </row>
    <row r="174" spans="1:27" ht="14.4" hidden="1" customHeight="1" x14ac:dyDescent="0.3">
      <c r="A174" s="4" t="s">
        <v>279</v>
      </c>
      <c r="B174" s="4" t="s">
        <v>17</v>
      </c>
      <c r="C174" s="16" t="s">
        <v>18</v>
      </c>
      <c r="D174" s="4">
        <v>11</v>
      </c>
      <c r="E174" s="4" t="s">
        <v>745</v>
      </c>
      <c r="F174" t="s">
        <v>302</v>
      </c>
      <c r="G174" t="s">
        <v>290</v>
      </c>
      <c r="H174" t="s">
        <v>291</v>
      </c>
      <c r="I174" t="s">
        <v>292</v>
      </c>
      <c r="J174" s="4" t="s">
        <v>19</v>
      </c>
      <c r="K174" s="4" t="s">
        <v>21</v>
      </c>
      <c r="L174" s="4" t="s">
        <v>742</v>
      </c>
      <c r="M174" s="17">
        <v>27</v>
      </c>
      <c r="N174" s="17">
        <v>933</v>
      </c>
      <c r="O174" s="18" t="s">
        <v>19</v>
      </c>
      <c r="P174" s="18">
        <v>933</v>
      </c>
      <c r="Q174" s="18">
        <v>27</v>
      </c>
      <c r="R174" s="18"/>
      <c r="S174" s="18"/>
      <c r="T174" s="18"/>
      <c r="U1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4" s="19">
        <f>IF(AUDITORIA[[#This Row],[CAT]]="",0,1)</f>
        <v>1</v>
      </c>
      <c r="W174" s="20">
        <v>46135</v>
      </c>
      <c r="X174" s="21" t="str">
        <f>UPPER(IF(AUDITORIA[[#This Row],[DATA VERIFICAÇÃO]]="","",TEXT(AUDITORIA[[#This Row],[DATA VERIFICAÇÃO]],"mmm")))</f>
        <v>ABR</v>
      </c>
      <c r="Y174" t="s">
        <v>598</v>
      </c>
      <c r="Z174" t="s">
        <v>599</v>
      </c>
      <c r="AA174" t="s">
        <v>600</v>
      </c>
    </row>
    <row r="175" spans="1:27" ht="14.4" hidden="1" customHeight="1" x14ac:dyDescent="0.3">
      <c r="A175" s="4" t="s">
        <v>279</v>
      </c>
      <c r="B175" s="4" t="s">
        <v>17</v>
      </c>
      <c r="C175" s="16" t="s">
        <v>18</v>
      </c>
      <c r="D175" s="4">
        <v>11</v>
      </c>
      <c r="E175" s="4" t="s">
        <v>745</v>
      </c>
      <c r="F175" t="s">
        <v>299</v>
      </c>
      <c r="G175" t="s">
        <v>290</v>
      </c>
      <c r="H175" t="s">
        <v>291</v>
      </c>
      <c r="I175" t="s">
        <v>292</v>
      </c>
      <c r="J175" s="4" t="s">
        <v>19</v>
      </c>
      <c r="K175" s="4" t="s">
        <v>21</v>
      </c>
      <c r="L175" s="4" t="s">
        <v>742</v>
      </c>
      <c r="M175" s="17">
        <v>30</v>
      </c>
      <c r="N175" s="17">
        <v>911</v>
      </c>
      <c r="O175" s="18" t="s">
        <v>19</v>
      </c>
      <c r="P175" s="18">
        <v>911</v>
      </c>
      <c r="Q175" s="18">
        <v>30</v>
      </c>
      <c r="R175" s="18"/>
      <c r="S175" s="18"/>
      <c r="T175" s="18"/>
      <c r="U1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5" s="19">
        <f>IF(AUDITORIA[[#This Row],[CAT]]="",0,1)</f>
        <v>1</v>
      </c>
      <c r="W175" s="20">
        <v>46135</v>
      </c>
      <c r="X175" s="21" t="str">
        <f>UPPER(IF(AUDITORIA[[#This Row],[DATA VERIFICAÇÃO]]="","",TEXT(AUDITORIA[[#This Row],[DATA VERIFICAÇÃO]],"mmm")))</f>
        <v>ABR</v>
      </c>
      <c r="Y175" t="s">
        <v>598</v>
      </c>
      <c r="Z175" t="s">
        <v>599</v>
      </c>
      <c r="AA175" t="s">
        <v>600</v>
      </c>
    </row>
    <row r="176" spans="1:27" ht="14.4" hidden="1" customHeight="1" x14ac:dyDescent="0.3">
      <c r="A176" s="4" t="s">
        <v>279</v>
      </c>
      <c r="B176" s="4" t="s">
        <v>17</v>
      </c>
      <c r="C176" s="16" t="s">
        <v>18</v>
      </c>
      <c r="D176" s="4">
        <v>11</v>
      </c>
      <c r="E176" s="4" t="s">
        <v>745</v>
      </c>
      <c r="F176" t="s">
        <v>293</v>
      </c>
      <c r="G176" t="s">
        <v>290</v>
      </c>
      <c r="H176" t="s">
        <v>291</v>
      </c>
      <c r="I176" t="s">
        <v>292</v>
      </c>
      <c r="J176" s="4" t="s">
        <v>19</v>
      </c>
      <c r="K176" s="4" t="s">
        <v>21</v>
      </c>
      <c r="L176" s="4" t="s">
        <v>742</v>
      </c>
      <c r="M176" s="17">
        <v>11</v>
      </c>
      <c r="N176" s="17">
        <v>928</v>
      </c>
      <c r="O176" s="18" t="s">
        <v>19</v>
      </c>
      <c r="P176" s="18">
        <v>928</v>
      </c>
      <c r="Q176" s="18">
        <v>11</v>
      </c>
      <c r="R176" s="18"/>
      <c r="S176" s="18"/>
      <c r="T176" s="18"/>
      <c r="U1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6" s="19">
        <f>IF(AUDITORIA[[#This Row],[CAT]]="",0,1)</f>
        <v>1</v>
      </c>
      <c r="W176" s="20">
        <v>46135</v>
      </c>
      <c r="X176" s="21" t="str">
        <f>UPPER(IF(AUDITORIA[[#This Row],[DATA VERIFICAÇÃO]]="","",TEXT(AUDITORIA[[#This Row],[DATA VERIFICAÇÃO]],"mmm")))</f>
        <v>ABR</v>
      </c>
      <c r="Y176" t="s">
        <v>598</v>
      </c>
      <c r="Z176" t="s">
        <v>599</v>
      </c>
      <c r="AA176" t="s">
        <v>600</v>
      </c>
    </row>
    <row r="177" spans="1:27" ht="14.4" hidden="1" customHeight="1" x14ac:dyDescent="0.3">
      <c r="A177" s="4" t="s">
        <v>279</v>
      </c>
      <c r="B177" s="4" t="s">
        <v>17</v>
      </c>
      <c r="C177" s="16" t="s">
        <v>18</v>
      </c>
      <c r="D177" s="4">
        <v>11</v>
      </c>
      <c r="E177" s="4" t="s">
        <v>745</v>
      </c>
      <c r="F177" t="s">
        <v>524</v>
      </c>
      <c r="G177" t="s">
        <v>85</v>
      </c>
      <c r="H177" t="s">
        <v>86</v>
      </c>
      <c r="I177" t="s">
        <v>87</v>
      </c>
      <c r="J177" s="4" t="s">
        <v>88</v>
      </c>
      <c r="K177" s="4" t="s">
        <v>20</v>
      </c>
      <c r="L177" s="4" t="s">
        <v>742</v>
      </c>
      <c r="M177" s="17">
        <v>30</v>
      </c>
      <c r="N177" s="17">
        <v>771</v>
      </c>
      <c r="O177" s="18" t="s">
        <v>88</v>
      </c>
      <c r="P177" s="18">
        <v>771</v>
      </c>
      <c r="Q177" s="18">
        <v>30</v>
      </c>
      <c r="R177" s="18"/>
      <c r="S177" s="18"/>
      <c r="T177" s="18"/>
      <c r="U1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7" s="19">
        <f>IF(AUDITORIA[[#This Row],[CAT]]="",0,1)</f>
        <v>1</v>
      </c>
      <c r="W177" s="20">
        <v>46135</v>
      </c>
      <c r="X177" s="21" t="str">
        <f>UPPER(IF(AUDITORIA[[#This Row],[DATA VERIFICAÇÃO]]="","",TEXT(AUDITORIA[[#This Row],[DATA VERIFICAÇÃO]],"mmm")))</f>
        <v>ABR</v>
      </c>
      <c r="Y177" t="s">
        <v>598</v>
      </c>
      <c r="Z177" t="s">
        <v>599</v>
      </c>
      <c r="AA177" t="s">
        <v>600</v>
      </c>
    </row>
    <row r="178" spans="1:27" ht="14.4" hidden="1" customHeight="1" x14ac:dyDescent="0.3">
      <c r="A178" s="4" t="s">
        <v>279</v>
      </c>
      <c r="B178" s="4" t="s">
        <v>17</v>
      </c>
      <c r="C178" s="16" t="s">
        <v>18</v>
      </c>
      <c r="D178" s="4">
        <v>11</v>
      </c>
      <c r="E178" s="4" t="s">
        <v>745</v>
      </c>
      <c r="F178" t="s">
        <v>530</v>
      </c>
      <c r="G178" t="s">
        <v>85</v>
      </c>
      <c r="H178" t="s">
        <v>86</v>
      </c>
      <c r="I178" t="s">
        <v>87</v>
      </c>
      <c r="J178" s="4" t="s">
        <v>88</v>
      </c>
      <c r="K178" s="4" t="s">
        <v>20</v>
      </c>
      <c r="L178" s="4" t="s">
        <v>742</v>
      </c>
      <c r="M178" s="17">
        <v>30</v>
      </c>
      <c r="N178" s="17">
        <v>683</v>
      </c>
      <c r="O178" s="18" t="s">
        <v>88</v>
      </c>
      <c r="P178" s="18">
        <v>683</v>
      </c>
      <c r="Q178" s="18">
        <v>30</v>
      </c>
      <c r="R178" s="18"/>
      <c r="S178" s="18"/>
      <c r="T178" s="18"/>
      <c r="U1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8" s="19">
        <f>IF(AUDITORIA[[#This Row],[CAT]]="",0,1)</f>
        <v>1</v>
      </c>
      <c r="W178" s="20">
        <v>46135</v>
      </c>
      <c r="X178" s="21" t="str">
        <f>UPPER(IF(AUDITORIA[[#This Row],[DATA VERIFICAÇÃO]]="","",TEXT(AUDITORIA[[#This Row],[DATA VERIFICAÇÃO]],"mmm")))</f>
        <v>ABR</v>
      </c>
      <c r="Y178" t="s">
        <v>598</v>
      </c>
      <c r="Z178" t="s">
        <v>599</v>
      </c>
      <c r="AA178" t="s">
        <v>600</v>
      </c>
    </row>
    <row r="179" spans="1:27" ht="14.4" hidden="1" customHeight="1" x14ac:dyDescent="0.3">
      <c r="A179" s="4" t="s">
        <v>279</v>
      </c>
      <c r="B179" s="4" t="s">
        <v>17</v>
      </c>
      <c r="C179" s="16" t="s">
        <v>18</v>
      </c>
      <c r="D179" s="4">
        <v>11</v>
      </c>
      <c r="E179" s="4" t="s">
        <v>745</v>
      </c>
      <c r="F179" t="s">
        <v>542</v>
      </c>
      <c r="G179" t="s">
        <v>85</v>
      </c>
      <c r="H179" t="s">
        <v>86</v>
      </c>
      <c r="I179" t="s">
        <v>87</v>
      </c>
      <c r="J179" s="4" t="s">
        <v>88</v>
      </c>
      <c r="K179" s="4" t="s">
        <v>20</v>
      </c>
      <c r="L179" s="4" t="s">
        <v>742</v>
      </c>
      <c r="M179" s="17">
        <v>30</v>
      </c>
      <c r="N179" s="17">
        <v>688</v>
      </c>
      <c r="O179" s="18" t="s">
        <v>88</v>
      </c>
      <c r="P179" s="18">
        <v>688</v>
      </c>
      <c r="Q179" s="18">
        <v>30</v>
      </c>
      <c r="R179" s="18"/>
      <c r="S179" s="18"/>
      <c r="T179" s="18"/>
      <c r="U1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9" s="19">
        <f>IF(AUDITORIA[[#This Row],[CAT]]="",0,1)</f>
        <v>1</v>
      </c>
      <c r="W179" s="20">
        <v>46135</v>
      </c>
      <c r="X179" s="21" t="str">
        <f>UPPER(IF(AUDITORIA[[#This Row],[DATA VERIFICAÇÃO]]="","",TEXT(AUDITORIA[[#This Row],[DATA VERIFICAÇÃO]],"mmm")))</f>
        <v>ABR</v>
      </c>
      <c r="Y179" t="s">
        <v>598</v>
      </c>
      <c r="Z179" t="s">
        <v>599</v>
      </c>
      <c r="AA179" t="s">
        <v>600</v>
      </c>
    </row>
    <row r="180" spans="1:27" ht="14.4" hidden="1" customHeight="1" x14ac:dyDescent="0.3">
      <c r="A180" s="4" t="s">
        <v>279</v>
      </c>
      <c r="B180" s="4" t="s">
        <v>17</v>
      </c>
      <c r="C180" s="16" t="s">
        <v>18</v>
      </c>
      <c r="D180" s="4">
        <v>11</v>
      </c>
      <c r="E180" s="4" t="s">
        <v>745</v>
      </c>
      <c r="F180" t="s">
        <v>549</v>
      </c>
      <c r="G180" t="s">
        <v>85</v>
      </c>
      <c r="H180" t="s">
        <v>86</v>
      </c>
      <c r="I180" t="s">
        <v>87</v>
      </c>
      <c r="J180" s="4" t="s">
        <v>88</v>
      </c>
      <c r="K180" s="4" t="s">
        <v>20</v>
      </c>
      <c r="L180" s="4" t="s">
        <v>742</v>
      </c>
      <c r="M180" s="17">
        <v>30</v>
      </c>
      <c r="N180" s="17">
        <v>689</v>
      </c>
      <c r="O180" s="18" t="s">
        <v>88</v>
      </c>
      <c r="P180" s="18">
        <v>689</v>
      </c>
      <c r="Q180" s="18">
        <v>30</v>
      </c>
      <c r="R180" s="18"/>
      <c r="S180" s="18"/>
      <c r="T180" s="18"/>
      <c r="U1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0" s="19">
        <f>IF(AUDITORIA[[#This Row],[CAT]]="",0,1)</f>
        <v>1</v>
      </c>
      <c r="W180" s="20">
        <v>46135</v>
      </c>
      <c r="X180" s="21" t="str">
        <f>UPPER(IF(AUDITORIA[[#This Row],[DATA VERIFICAÇÃO]]="","",TEXT(AUDITORIA[[#This Row],[DATA VERIFICAÇÃO]],"mmm")))</f>
        <v>ABR</v>
      </c>
      <c r="Y180" t="s">
        <v>598</v>
      </c>
      <c r="Z180" t="s">
        <v>599</v>
      </c>
      <c r="AA180" t="s">
        <v>600</v>
      </c>
    </row>
    <row r="181" spans="1:27" ht="14.4" hidden="1" customHeight="1" x14ac:dyDescent="0.3">
      <c r="A181" s="4" t="s">
        <v>279</v>
      </c>
      <c r="B181" s="4" t="s">
        <v>17</v>
      </c>
      <c r="C181" s="16" t="s">
        <v>18</v>
      </c>
      <c r="D181" s="4">
        <v>11</v>
      </c>
      <c r="E181" s="4" t="s">
        <v>745</v>
      </c>
      <c r="F181" t="s">
        <v>544</v>
      </c>
      <c r="G181" t="s">
        <v>85</v>
      </c>
      <c r="H181" t="s">
        <v>86</v>
      </c>
      <c r="I181" t="s">
        <v>87</v>
      </c>
      <c r="J181" s="4" t="s">
        <v>88</v>
      </c>
      <c r="K181" s="4" t="s">
        <v>20</v>
      </c>
      <c r="L181" s="4" t="s">
        <v>742</v>
      </c>
      <c r="M181" s="17">
        <v>30</v>
      </c>
      <c r="N181" s="17">
        <v>685</v>
      </c>
      <c r="O181" s="18" t="s">
        <v>88</v>
      </c>
      <c r="P181" s="18">
        <v>685</v>
      </c>
      <c r="Q181" s="18">
        <v>30</v>
      </c>
      <c r="R181" s="18"/>
      <c r="S181" s="18"/>
      <c r="T181" s="18"/>
      <c r="U1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1" s="19">
        <f>IF(AUDITORIA[[#This Row],[CAT]]="",0,1)</f>
        <v>1</v>
      </c>
      <c r="W181" s="20">
        <v>46135</v>
      </c>
      <c r="X181" s="21" t="str">
        <f>UPPER(IF(AUDITORIA[[#This Row],[DATA VERIFICAÇÃO]]="","",TEXT(AUDITORIA[[#This Row],[DATA VERIFICAÇÃO]],"mmm")))</f>
        <v>ABR</v>
      </c>
      <c r="Y181" t="s">
        <v>598</v>
      </c>
      <c r="Z181" t="s">
        <v>599</v>
      </c>
      <c r="AA181" t="s">
        <v>600</v>
      </c>
    </row>
    <row r="182" spans="1:27" ht="14.4" hidden="1" customHeight="1" x14ac:dyDescent="0.3">
      <c r="A182" s="4" t="s">
        <v>279</v>
      </c>
      <c r="B182" s="4" t="s">
        <v>17</v>
      </c>
      <c r="C182" s="16" t="s">
        <v>18</v>
      </c>
      <c r="D182" s="4">
        <v>11</v>
      </c>
      <c r="E182" s="4" t="s">
        <v>745</v>
      </c>
      <c r="F182" t="s">
        <v>545</v>
      </c>
      <c r="G182" t="s">
        <v>85</v>
      </c>
      <c r="H182" t="s">
        <v>86</v>
      </c>
      <c r="I182" t="s">
        <v>87</v>
      </c>
      <c r="J182" s="4" t="s">
        <v>88</v>
      </c>
      <c r="K182" s="4" t="s">
        <v>20</v>
      </c>
      <c r="L182" s="4" t="s">
        <v>742</v>
      </c>
      <c r="M182" s="17">
        <v>30</v>
      </c>
      <c r="N182" s="17">
        <v>680</v>
      </c>
      <c r="O182" s="18" t="s">
        <v>88</v>
      </c>
      <c r="P182" s="18">
        <v>680</v>
      </c>
      <c r="Q182" s="18">
        <v>30</v>
      </c>
      <c r="R182" s="18"/>
      <c r="S182" s="18"/>
      <c r="T182" s="18"/>
      <c r="U1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2" s="19">
        <f>IF(AUDITORIA[[#This Row],[CAT]]="",0,1)</f>
        <v>1</v>
      </c>
      <c r="W182" s="20">
        <v>46135</v>
      </c>
      <c r="X182" s="21" t="str">
        <f>UPPER(IF(AUDITORIA[[#This Row],[DATA VERIFICAÇÃO]]="","",TEXT(AUDITORIA[[#This Row],[DATA VERIFICAÇÃO]],"mmm")))</f>
        <v>ABR</v>
      </c>
      <c r="Y182" t="s">
        <v>598</v>
      </c>
      <c r="Z182" t="s">
        <v>599</v>
      </c>
      <c r="AA182" t="s">
        <v>600</v>
      </c>
    </row>
    <row r="183" spans="1:27" ht="14.4" hidden="1" customHeight="1" x14ac:dyDescent="0.3">
      <c r="A183" s="4" t="s">
        <v>279</v>
      </c>
      <c r="B183" s="4" t="s">
        <v>17</v>
      </c>
      <c r="C183" s="16" t="s">
        <v>18</v>
      </c>
      <c r="D183" s="4">
        <v>11</v>
      </c>
      <c r="E183" s="4" t="s">
        <v>745</v>
      </c>
      <c r="F183" t="s">
        <v>560</v>
      </c>
      <c r="G183" t="s">
        <v>85</v>
      </c>
      <c r="H183" t="s">
        <v>86</v>
      </c>
      <c r="I183" t="s">
        <v>87</v>
      </c>
      <c r="J183" s="4" t="s">
        <v>88</v>
      </c>
      <c r="K183" s="4" t="s">
        <v>20</v>
      </c>
      <c r="L183" s="4" t="s">
        <v>742</v>
      </c>
      <c r="M183" s="17">
        <v>30</v>
      </c>
      <c r="N183" s="17">
        <v>688</v>
      </c>
      <c r="O183" s="18" t="s">
        <v>88</v>
      </c>
      <c r="P183" s="18">
        <v>688</v>
      </c>
      <c r="Q183" s="18">
        <v>30</v>
      </c>
      <c r="R183" s="18"/>
      <c r="S183" s="18"/>
      <c r="T183" s="18"/>
      <c r="U1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3" s="19">
        <f>IF(AUDITORIA[[#This Row],[CAT]]="",0,1)</f>
        <v>1</v>
      </c>
      <c r="W183" s="20">
        <v>46135</v>
      </c>
      <c r="X183" s="21" t="str">
        <f>UPPER(IF(AUDITORIA[[#This Row],[DATA VERIFICAÇÃO]]="","",TEXT(AUDITORIA[[#This Row],[DATA VERIFICAÇÃO]],"mmm")))</f>
        <v>ABR</v>
      </c>
      <c r="Y183" t="s">
        <v>598</v>
      </c>
      <c r="Z183" t="s">
        <v>599</v>
      </c>
      <c r="AA183" t="s">
        <v>600</v>
      </c>
    </row>
    <row r="184" spans="1:27" ht="14.4" hidden="1" customHeight="1" x14ac:dyDescent="0.3">
      <c r="A184" s="4" t="s">
        <v>279</v>
      </c>
      <c r="B184" s="4" t="s">
        <v>17</v>
      </c>
      <c r="C184" s="16" t="s">
        <v>18</v>
      </c>
      <c r="D184" s="4">
        <v>11</v>
      </c>
      <c r="E184" s="4" t="s">
        <v>745</v>
      </c>
      <c r="F184" t="s">
        <v>564</v>
      </c>
      <c r="G184" t="s">
        <v>85</v>
      </c>
      <c r="H184" t="s">
        <v>86</v>
      </c>
      <c r="I184" t="s">
        <v>87</v>
      </c>
      <c r="J184" s="4" t="s">
        <v>88</v>
      </c>
      <c r="K184" s="4" t="s">
        <v>20</v>
      </c>
      <c r="L184" s="4" t="s">
        <v>742</v>
      </c>
      <c r="M184" s="17">
        <v>30</v>
      </c>
      <c r="N184" s="17">
        <v>688</v>
      </c>
      <c r="O184" s="18" t="s">
        <v>88</v>
      </c>
      <c r="P184" s="18">
        <v>688</v>
      </c>
      <c r="Q184" s="18">
        <v>30</v>
      </c>
      <c r="R184" s="18"/>
      <c r="S184" s="18"/>
      <c r="T184" s="18"/>
      <c r="U1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4" s="19">
        <f>IF(AUDITORIA[[#This Row],[CAT]]="",0,1)</f>
        <v>1</v>
      </c>
      <c r="W184" s="20">
        <v>46135</v>
      </c>
      <c r="X184" s="21" t="str">
        <f>UPPER(IF(AUDITORIA[[#This Row],[DATA VERIFICAÇÃO]]="","",TEXT(AUDITORIA[[#This Row],[DATA VERIFICAÇÃO]],"mmm")))</f>
        <v>ABR</v>
      </c>
      <c r="Y184" t="s">
        <v>598</v>
      </c>
      <c r="Z184" t="s">
        <v>599</v>
      </c>
      <c r="AA184" t="s">
        <v>600</v>
      </c>
    </row>
    <row r="185" spans="1:27" ht="14.4" hidden="1" customHeight="1" x14ac:dyDescent="0.3">
      <c r="A185" s="4" t="s">
        <v>279</v>
      </c>
      <c r="B185" s="4" t="s">
        <v>17</v>
      </c>
      <c r="C185" s="16" t="s">
        <v>18</v>
      </c>
      <c r="D185" s="4">
        <v>11</v>
      </c>
      <c r="E185" s="4" t="s">
        <v>745</v>
      </c>
      <c r="F185" t="s">
        <v>571</v>
      </c>
      <c r="G185" t="s">
        <v>85</v>
      </c>
      <c r="H185" t="s">
        <v>86</v>
      </c>
      <c r="I185" t="s">
        <v>87</v>
      </c>
      <c r="J185" s="4" t="s">
        <v>88</v>
      </c>
      <c r="K185" s="4" t="s">
        <v>20</v>
      </c>
      <c r="L185" s="4" t="s">
        <v>742</v>
      </c>
      <c r="M185" s="17">
        <v>30</v>
      </c>
      <c r="N185" s="17">
        <v>679</v>
      </c>
      <c r="O185" s="18" t="s">
        <v>88</v>
      </c>
      <c r="P185" s="18">
        <v>679</v>
      </c>
      <c r="Q185" s="18">
        <v>30</v>
      </c>
      <c r="R185" s="18"/>
      <c r="S185" s="18"/>
      <c r="T185" s="18"/>
      <c r="U1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5" s="19">
        <f>IF(AUDITORIA[[#This Row],[CAT]]="",0,1)</f>
        <v>1</v>
      </c>
      <c r="W185" s="20">
        <v>46135</v>
      </c>
      <c r="X185" s="21" t="str">
        <f>UPPER(IF(AUDITORIA[[#This Row],[DATA VERIFICAÇÃO]]="","",TEXT(AUDITORIA[[#This Row],[DATA VERIFICAÇÃO]],"mmm")))</f>
        <v>ABR</v>
      </c>
      <c r="Y185" t="s">
        <v>598</v>
      </c>
      <c r="Z185" t="s">
        <v>599</v>
      </c>
      <c r="AA185" t="s">
        <v>600</v>
      </c>
    </row>
    <row r="186" spans="1:27" ht="14.4" hidden="1" customHeight="1" x14ac:dyDescent="0.3">
      <c r="A186" s="4" t="s">
        <v>279</v>
      </c>
      <c r="B186" s="4" t="s">
        <v>17</v>
      </c>
      <c r="C186" s="16" t="s">
        <v>18</v>
      </c>
      <c r="D186" s="4">
        <v>11</v>
      </c>
      <c r="E186" s="4" t="s">
        <v>745</v>
      </c>
      <c r="F186" t="s">
        <v>567</v>
      </c>
      <c r="G186" t="s">
        <v>85</v>
      </c>
      <c r="H186" t="s">
        <v>86</v>
      </c>
      <c r="I186" t="s">
        <v>87</v>
      </c>
      <c r="J186" s="4" t="s">
        <v>88</v>
      </c>
      <c r="K186" s="4" t="s">
        <v>20</v>
      </c>
      <c r="L186" s="4" t="s">
        <v>742</v>
      </c>
      <c r="M186" s="17">
        <v>30</v>
      </c>
      <c r="N186" s="17">
        <v>678</v>
      </c>
      <c r="O186" s="18" t="s">
        <v>88</v>
      </c>
      <c r="P186" s="18">
        <v>678</v>
      </c>
      <c r="Q186" s="18">
        <v>30</v>
      </c>
      <c r="R186" s="18"/>
      <c r="S186" s="18"/>
      <c r="T186" s="18"/>
      <c r="U1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6" s="19">
        <f>IF(AUDITORIA[[#This Row],[CAT]]="",0,1)</f>
        <v>1</v>
      </c>
      <c r="W186" s="20">
        <v>46135</v>
      </c>
      <c r="X186" s="21" t="str">
        <f>UPPER(IF(AUDITORIA[[#This Row],[DATA VERIFICAÇÃO]]="","",TEXT(AUDITORIA[[#This Row],[DATA VERIFICAÇÃO]],"mmm")))</f>
        <v>ABR</v>
      </c>
      <c r="Y186" t="s">
        <v>598</v>
      </c>
      <c r="Z186" t="s">
        <v>599</v>
      </c>
      <c r="AA186" t="s">
        <v>600</v>
      </c>
    </row>
    <row r="187" spans="1:27" ht="14.4" hidden="1" customHeight="1" x14ac:dyDescent="0.3">
      <c r="A187" s="4" t="s">
        <v>279</v>
      </c>
      <c r="B187" s="4" t="s">
        <v>17</v>
      </c>
      <c r="C187" s="16" t="s">
        <v>18</v>
      </c>
      <c r="D187" s="4">
        <v>11</v>
      </c>
      <c r="E187" s="4" t="s">
        <v>745</v>
      </c>
      <c r="F187" t="s">
        <v>577</v>
      </c>
      <c r="G187" t="s">
        <v>85</v>
      </c>
      <c r="H187" t="s">
        <v>86</v>
      </c>
      <c r="I187" t="s">
        <v>87</v>
      </c>
      <c r="J187" s="4" t="s">
        <v>88</v>
      </c>
      <c r="K187" s="4" t="s">
        <v>20</v>
      </c>
      <c r="L187" s="4" t="s">
        <v>742</v>
      </c>
      <c r="M187" s="17">
        <v>30</v>
      </c>
      <c r="N187" s="17">
        <v>682</v>
      </c>
      <c r="O187" s="18" t="s">
        <v>88</v>
      </c>
      <c r="P187" s="18">
        <v>682</v>
      </c>
      <c r="Q187" s="18">
        <v>30</v>
      </c>
      <c r="R187" s="18"/>
      <c r="S187" s="18"/>
      <c r="T187" s="18"/>
      <c r="U1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7" s="19">
        <f>IF(AUDITORIA[[#This Row],[CAT]]="",0,1)</f>
        <v>1</v>
      </c>
      <c r="W187" s="20">
        <v>46135</v>
      </c>
      <c r="X187" s="21" t="str">
        <f>UPPER(IF(AUDITORIA[[#This Row],[DATA VERIFICAÇÃO]]="","",TEXT(AUDITORIA[[#This Row],[DATA VERIFICAÇÃO]],"mmm")))</f>
        <v>ABR</v>
      </c>
      <c r="Y187" t="s">
        <v>598</v>
      </c>
      <c r="Z187" t="s">
        <v>599</v>
      </c>
      <c r="AA187" t="s">
        <v>600</v>
      </c>
    </row>
    <row r="188" spans="1:27" ht="14.4" hidden="1" customHeight="1" x14ac:dyDescent="0.3">
      <c r="A188" s="4" t="s">
        <v>279</v>
      </c>
      <c r="B188" s="4" t="s">
        <v>17</v>
      </c>
      <c r="C188" s="16" t="s">
        <v>18</v>
      </c>
      <c r="D188" s="4">
        <v>11</v>
      </c>
      <c r="E188" s="4" t="s">
        <v>745</v>
      </c>
      <c r="F188" t="s">
        <v>576</v>
      </c>
      <c r="G188" t="s">
        <v>85</v>
      </c>
      <c r="H188" t="s">
        <v>86</v>
      </c>
      <c r="I188" t="s">
        <v>87</v>
      </c>
      <c r="J188" s="4" t="s">
        <v>88</v>
      </c>
      <c r="K188" s="4" t="s">
        <v>20</v>
      </c>
      <c r="L188" s="4" t="s">
        <v>742</v>
      </c>
      <c r="M188" s="17">
        <v>30</v>
      </c>
      <c r="N188" s="17">
        <v>673</v>
      </c>
      <c r="O188" s="18" t="s">
        <v>88</v>
      </c>
      <c r="P188" s="18">
        <v>673</v>
      </c>
      <c r="Q188" s="18">
        <v>30</v>
      </c>
      <c r="R188" s="18"/>
      <c r="S188" s="18"/>
      <c r="T188" s="18"/>
      <c r="U1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8" s="19">
        <f>IF(AUDITORIA[[#This Row],[CAT]]="",0,1)</f>
        <v>1</v>
      </c>
      <c r="W188" s="20">
        <v>46135</v>
      </c>
      <c r="X188" s="21" t="str">
        <f>UPPER(IF(AUDITORIA[[#This Row],[DATA VERIFICAÇÃO]]="","",TEXT(AUDITORIA[[#This Row],[DATA VERIFICAÇÃO]],"mmm")))</f>
        <v>ABR</v>
      </c>
      <c r="Y188" t="s">
        <v>598</v>
      </c>
      <c r="Z188" t="s">
        <v>599</v>
      </c>
      <c r="AA188" t="s">
        <v>600</v>
      </c>
    </row>
    <row r="189" spans="1:27" ht="14.4" hidden="1" customHeight="1" x14ac:dyDescent="0.3">
      <c r="A189" s="4" t="s">
        <v>279</v>
      </c>
      <c r="B189" s="4" t="s">
        <v>17</v>
      </c>
      <c r="C189" s="16" t="s">
        <v>18</v>
      </c>
      <c r="D189" s="4">
        <v>11</v>
      </c>
      <c r="E189" s="4" t="s">
        <v>745</v>
      </c>
      <c r="F189" t="s">
        <v>495</v>
      </c>
      <c r="G189" t="s">
        <v>85</v>
      </c>
      <c r="H189" t="s">
        <v>86</v>
      </c>
      <c r="I189" t="s">
        <v>87</v>
      </c>
      <c r="J189" s="4" t="s">
        <v>88</v>
      </c>
      <c r="K189" s="4" t="s">
        <v>20</v>
      </c>
      <c r="L189" s="4" t="s">
        <v>742</v>
      </c>
      <c r="M189" s="17">
        <v>5</v>
      </c>
      <c r="N189" s="17">
        <v>676</v>
      </c>
      <c r="O189" s="18" t="s">
        <v>88</v>
      </c>
      <c r="P189" s="18">
        <v>676</v>
      </c>
      <c r="Q189" s="18">
        <v>5</v>
      </c>
      <c r="R189" s="18"/>
      <c r="S189" s="18"/>
      <c r="T189" s="18"/>
      <c r="U1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9" s="19">
        <f>IF(AUDITORIA[[#This Row],[CAT]]="",0,1)</f>
        <v>1</v>
      </c>
      <c r="W189" s="20">
        <v>46135</v>
      </c>
      <c r="X189" s="21" t="str">
        <f>UPPER(IF(AUDITORIA[[#This Row],[DATA VERIFICAÇÃO]]="","",TEXT(AUDITORIA[[#This Row],[DATA VERIFICAÇÃO]],"mmm")))</f>
        <v>ABR</v>
      </c>
      <c r="Y189" t="s">
        <v>598</v>
      </c>
      <c r="Z189" t="s">
        <v>599</v>
      </c>
      <c r="AA189" t="s">
        <v>600</v>
      </c>
    </row>
    <row r="190" spans="1:27" ht="14.4" hidden="1" customHeight="1" x14ac:dyDescent="0.3">
      <c r="A190" s="4" t="s">
        <v>279</v>
      </c>
      <c r="B190" s="4" t="s">
        <v>17</v>
      </c>
      <c r="C190" s="16" t="s">
        <v>18</v>
      </c>
      <c r="D190" s="4">
        <v>11</v>
      </c>
      <c r="E190" s="4" t="s">
        <v>745</v>
      </c>
      <c r="F190" t="s">
        <v>533</v>
      </c>
      <c r="G190" t="s">
        <v>85</v>
      </c>
      <c r="H190" t="s">
        <v>86</v>
      </c>
      <c r="I190" t="s">
        <v>87</v>
      </c>
      <c r="J190" s="4" t="s">
        <v>88</v>
      </c>
      <c r="K190" s="4" t="s">
        <v>21</v>
      </c>
      <c r="L190" s="4" t="s">
        <v>742</v>
      </c>
      <c r="M190" s="17">
        <v>27</v>
      </c>
      <c r="N190" s="17">
        <v>941</v>
      </c>
      <c r="O190" s="18" t="s">
        <v>88</v>
      </c>
      <c r="P190" s="18">
        <v>941</v>
      </c>
      <c r="Q190" s="18">
        <v>27</v>
      </c>
      <c r="R190" s="18"/>
      <c r="S190" s="18"/>
      <c r="T190" s="18"/>
      <c r="U1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0" s="19">
        <f>IF(AUDITORIA[[#This Row],[CAT]]="",0,1)</f>
        <v>1</v>
      </c>
      <c r="W190" s="20">
        <v>46135</v>
      </c>
      <c r="X190" s="21" t="str">
        <f>UPPER(IF(AUDITORIA[[#This Row],[DATA VERIFICAÇÃO]]="","",TEXT(AUDITORIA[[#This Row],[DATA VERIFICAÇÃO]],"mmm")))</f>
        <v>ABR</v>
      </c>
      <c r="Y190" t="s">
        <v>598</v>
      </c>
      <c r="Z190" t="s">
        <v>599</v>
      </c>
      <c r="AA190" t="s">
        <v>600</v>
      </c>
    </row>
    <row r="191" spans="1:27" ht="14.4" hidden="1" customHeight="1" x14ac:dyDescent="0.3">
      <c r="A191" s="4" t="s">
        <v>279</v>
      </c>
      <c r="B191" s="4" t="s">
        <v>17</v>
      </c>
      <c r="C191" s="16" t="s">
        <v>18</v>
      </c>
      <c r="D191" s="4">
        <v>11</v>
      </c>
      <c r="E191" s="4" t="s">
        <v>745</v>
      </c>
      <c r="F191" t="s">
        <v>529</v>
      </c>
      <c r="G191" t="s">
        <v>85</v>
      </c>
      <c r="H191" t="s">
        <v>86</v>
      </c>
      <c r="I191" t="s">
        <v>87</v>
      </c>
      <c r="J191" s="4" t="s">
        <v>88</v>
      </c>
      <c r="K191" s="4" t="s">
        <v>21</v>
      </c>
      <c r="L191" s="4" t="s">
        <v>742</v>
      </c>
      <c r="M191" s="17">
        <v>30</v>
      </c>
      <c r="N191" s="17">
        <v>870</v>
      </c>
      <c r="O191" s="18" t="s">
        <v>88</v>
      </c>
      <c r="P191" s="18">
        <v>870</v>
      </c>
      <c r="Q191" s="18">
        <v>30</v>
      </c>
      <c r="R191" s="18"/>
      <c r="S191" s="18"/>
      <c r="T191" s="18"/>
      <c r="U1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1" s="19">
        <f>IF(AUDITORIA[[#This Row],[CAT]]="",0,1)</f>
        <v>1</v>
      </c>
      <c r="W191" s="20">
        <v>46135</v>
      </c>
      <c r="X191" s="21" t="str">
        <f>UPPER(IF(AUDITORIA[[#This Row],[DATA VERIFICAÇÃO]]="","",TEXT(AUDITORIA[[#This Row],[DATA VERIFICAÇÃO]],"mmm")))</f>
        <v>ABR</v>
      </c>
      <c r="Y191" t="s">
        <v>598</v>
      </c>
      <c r="Z191" t="s">
        <v>599</v>
      </c>
      <c r="AA191" t="s">
        <v>600</v>
      </c>
    </row>
    <row r="192" spans="1:27" ht="14.4" hidden="1" customHeight="1" x14ac:dyDescent="0.3">
      <c r="A192" s="4" t="s">
        <v>279</v>
      </c>
      <c r="B192" s="4" t="s">
        <v>17</v>
      </c>
      <c r="C192" s="16" t="s">
        <v>18</v>
      </c>
      <c r="D192" s="4">
        <v>11</v>
      </c>
      <c r="E192" s="4" t="s">
        <v>745</v>
      </c>
      <c r="F192" t="s">
        <v>538</v>
      </c>
      <c r="G192" t="s">
        <v>85</v>
      </c>
      <c r="H192" t="s">
        <v>86</v>
      </c>
      <c r="I192" t="s">
        <v>87</v>
      </c>
      <c r="J192" s="4" t="s">
        <v>88</v>
      </c>
      <c r="K192" s="4" t="s">
        <v>21</v>
      </c>
      <c r="L192" s="4" t="s">
        <v>742</v>
      </c>
      <c r="M192" s="17">
        <v>30</v>
      </c>
      <c r="N192" s="17">
        <v>874</v>
      </c>
      <c r="O192" s="18" t="s">
        <v>88</v>
      </c>
      <c r="P192" s="18">
        <v>874</v>
      </c>
      <c r="Q192" s="18">
        <v>30</v>
      </c>
      <c r="R192" s="18"/>
      <c r="S192" s="18"/>
      <c r="T192" s="18"/>
      <c r="U1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2" s="19">
        <f>IF(AUDITORIA[[#This Row],[CAT]]="",0,1)</f>
        <v>1</v>
      </c>
      <c r="W192" s="20">
        <v>46135</v>
      </c>
      <c r="X192" s="21" t="str">
        <f>UPPER(IF(AUDITORIA[[#This Row],[DATA VERIFICAÇÃO]]="","",TEXT(AUDITORIA[[#This Row],[DATA VERIFICAÇÃO]],"mmm")))</f>
        <v>ABR</v>
      </c>
      <c r="Y192" t="s">
        <v>598</v>
      </c>
      <c r="Z192" t="s">
        <v>599</v>
      </c>
      <c r="AA192" t="s">
        <v>600</v>
      </c>
    </row>
    <row r="193" spans="1:27" ht="14.4" hidden="1" customHeight="1" x14ac:dyDescent="0.3">
      <c r="A193" s="4" t="s">
        <v>279</v>
      </c>
      <c r="B193" s="4" t="s">
        <v>17</v>
      </c>
      <c r="C193" s="16" t="s">
        <v>18</v>
      </c>
      <c r="D193" s="4">
        <v>11</v>
      </c>
      <c r="E193" s="4" t="s">
        <v>745</v>
      </c>
      <c r="F193" t="s">
        <v>548</v>
      </c>
      <c r="G193" t="s">
        <v>85</v>
      </c>
      <c r="H193" t="s">
        <v>86</v>
      </c>
      <c r="I193" t="s">
        <v>87</v>
      </c>
      <c r="J193" s="4" t="s">
        <v>88</v>
      </c>
      <c r="K193" s="4" t="s">
        <v>21</v>
      </c>
      <c r="L193" s="4" t="s">
        <v>742</v>
      </c>
      <c r="M193" s="17">
        <v>30</v>
      </c>
      <c r="N193" s="17">
        <v>874</v>
      </c>
      <c r="O193" s="18" t="s">
        <v>88</v>
      </c>
      <c r="P193" s="18">
        <v>874</v>
      </c>
      <c r="Q193" s="18">
        <v>30</v>
      </c>
      <c r="R193" s="18"/>
      <c r="S193" s="18"/>
      <c r="T193" s="18"/>
      <c r="U1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3" s="19">
        <f>IF(AUDITORIA[[#This Row],[CAT]]="",0,1)</f>
        <v>1</v>
      </c>
      <c r="W193" s="20">
        <v>46135</v>
      </c>
      <c r="X193" s="21" t="str">
        <f>UPPER(IF(AUDITORIA[[#This Row],[DATA VERIFICAÇÃO]]="","",TEXT(AUDITORIA[[#This Row],[DATA VERIFICAÇÃO]],"mmm")))</f>
        <v>ABR</v>
      </c>
      <c r="Y193" t="s">
        <v>598</v>
      </c>
      <c r="Z193" t="s">
        <v>599</v>
      </c>
      <c r="AA193" t="s">
        <v>600</v>
      </c>
    </row>
    <row r="194" spans="1:27" ht="14.4" hidden="1" customHeight="1" x14ac:dyDescent="0.3">
      <c r="A194" s="4" t="s">
        <v>279</v>
      </c>
      <c r="B194" s="4" t="s">
        <v>17</v>
      </c>
      <c r="C194" s="16" t="s">
        <v>18</v>
      </c>
      <c r="D194" s="4">
        <v>11</v>
      </c>
      <c r="E194" s="4" t="s">
        <v>745</v>
      </c>
      <c r="F194" t="s">
        <v>546</v>
      </c>
      <c r="G194" t="s">
        <v>85</v>
      </c>
      <c r="H194" t="s">
        <v>86</v>
      </c>
      <c r="I194" t="s">
        <v>87</v>
      </c>
      <c r="J194" s="4" t="s">
        <v>88</v>
      </c>
      <c r="K194" s="4" t="s">
        <v>21</v>
      </c>
      <c r="L194" s="4" t="s">
        <v>742</v>
      </c>
      <c r="M194" s="17">
        <v>30</v>
      </c>
      <c r="N194" s="17">
        <v>865</v>
      </c>
      <c r="O194" s="18" t="s">
        <v>88</v>
      </c>
      <c r="P194" s="18">
        <v>865</v>
      </c>
      <c r="Q194" s="18">
        <v>30</v>
      </c>
      <c r="R194" s="18"/>
      <c r="S194" s="18"/>
      <c r="T194" s="18"/>
      <c r="U1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4" s="19">
        <f>IF(AUDITORIA[[#This Row],[CAT]]="",0,1)</f>
        <v>1</v>
      </c>
      <c r="W194" s="20">
        <v>46135</v>
      </c>
      <c r="X194" s="21" t="str">
        <f>UPPER(IF(AUDITORIA[[#This Row],[DATA VERIFICAÇÃO]]="","",TEXT(AUDITORIA[[#This Row],[DATA VERIFICAÇÃO]],"mmm")))</f>
        <v>ABR</v>
      </c>
      <c r="Y194" t="s">
        <v>598</v>
      </c>
      <c r="Z194" t="s">
        <v>599</v>
      </c>
      <c r="AA194" t="s">
        <v>600</v>
      </c>
    </row>
    <row r="195" spans="1:27" ht="14.4" hidden="1" customHeight="1" x14ac:dyDescent="0.3">
      <c r="A195" s="4" t="s">
        <v>279</v>
      </c>
      <c r="B195" s="4" t="s">
        <v>17</v>
      </c>
      <c r="C195" s="16" t="s">
        <v>18</v>
      </c>
      <c r="D195" s="4">
        <v>11</v>
      </c>
      <c r="E195" s="4" t="s">
        <v>745</v>
      </c>
      <c r="F195" t="s">
        <v>553</v>
      </c>
      <c r="G195" t="s">
        <v>85</v>
      </c>
      <c r="H195" t="s">
        <v>86</v>
      </c>
      <c r="I195" t="s">
        <v>87</v>
      </c>
      <c r="J195" s="4" t="s">
        <v>88</v>
      </c>
      <c r="K195" s="4" t="s">
        <v>21</v>
      </c>
      <c r="L195" s="4" t="s">
        <v>742</v>
      </c>
      <c r="M195" s="17">
        <v>30</v>
      </c>
      <c r="N195" s="17">
        <v>872</v>
      </c>
      <c r="O195" s="18" t="s">
        <v>88</v>
      </c>
      <c r="P195" s="18">
        <v>872</v>
      </c>
      <c r="Q195" s="18">
        <v>30</v>
      </c>
      <c r="R195" s="18"/>
      <c r="S195" s="18"/>
      <c r="T195" s="18"/>
      <c r="U1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5" s="19">
        <f>IF(AUDITORIA[[#This Row],[CAT]]="",0,1)</f>
        <v>1</v>
      </c>
      <c r="W195" s="20">
        <v>46135</v>
      </c>
      <c r="X195" s="21" t="str">
        <f>UPPER(IF(AUDITORIA[[#This Row],[DATA VERIFICAÇÃO]]="","",TEXT(AUDITORIA[[#This Row],[DATA VERIFICAÇÃO]],"mmm")))</f>
        <v>ABR</v>
      </c>
      <c r="Y195" t="s">
        <v>598</v>
      </c>
      <c r="Z195" t="s">
        <v>599</v>
      </c>
      <c r="AA195" t="s">
        <v>600</v>
      </c>
    </row>
    <row r="196" spans="1:27" ht="14.4" hidden="1" customHeight="1" x14ac:dyDescent="0.3">
      <c r="A196" s="4" t="s">
        <v>279</v>
      </c>
      <c r="B196" s="4" t="s">
        <v>17</v>
      </c>
      <c r="C196" s="16" t="s">
        <v>18</v>
      </c>
      <c r="D196" s="4">
        <v>11</v>
      </c>
      <c r="E196" s="4" t="s">
        <v>745</v>
      </c>
      <c r="F196" t="s">
        <v>559</v>
      </c>
      <c r="G196" t="s">
        <v>85</v>
      </c>
      <c r="H196" t="s">
        <v>86</v>
      </c>
      <c r="I196" t="s">
        <v>87</v>
      </c>
      <c r="J196" s="4" t="s">
        <v>88</v>
      </c>
      <c r="K196" s="4" t="s">
        <v>21</v>
      </c>
      <c r="L196" s="4" t="s">
        <v>742</v>
      </c>
      <c r="M196" s="17">
        <v>30</v>
      </c>
      <c r="N196" s="17">
        <v>878</v>
      </c>
      <c r="O196" s="18" t="s">
        <v>88</v>
      </c>
      <c r="P196" s="18">
        <v>878</v>
      </c>
      <c r="Q196" s="18">
        <v>30</v>
      </c>
      <c r="R196" s="18"/>
      <c r="S196" s="18"/>
      <c r="T196" s="18"/>
      <c r="U1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6" s="19">
        <f>IF(AUDITORIA[[#This Row],[CAT]]="",0,1)</f>
        <v>1</v>
      </c>
      <c r="W196" s="20">
        <v>46135</v>
      </c>
      <c r="X196" s="21" t="str">
        <f>UPPER(IF(AUDITORIA[[#This Row],[DATA VERIFICAÇÃO]]="","",TEXT(AUDITORIA[[#This Row],[DATA VERIFICAÇÃO]],"mmm")))</f>
        <v>ABR</v>
      </c>
      <c r="Y196" t="s">
        <v>598</v>
      </c>
      <c r="Z196" t="s">
        <v>599</v>
      </c>
      <c r="AA196" t="s">
        <v>600</v>
      </c>
    </row>
    <row r="197" spans="1:27" ht="14.4" hidden="1" customHeight="1" x14ac:dyDescent="0.3">
      <c r="A197" s="4" t="s">
        <v>279</v>
      </c>
      <c r="B197" s="4" t="s">
        <v>17</v>
      </c>
      <c r="C197" s="16" t="s">
        <v>18</v>
      </c>
      <c r="D197" s="4">
        <v>11</v>
      </c>
      <c r="E197" s="4" t="s">
        <v>745</v>
      </c>
      <c r="F197" t="s">
        <v>558</v>
      </c>
      <c r="G197" t="s">
        <v>85</v>
      </c>
      <c r="H197" t="s">
        <v>86</v>
      </c>
      <c r="I197" t="s">
        <v>87</v>
      </c>
      <c r="J197" s="4" t="s">
        <v>88</v>
      </c>
      <c r="K197" s="4" t="s">
        <v>21</v>
      </c>
      <c r="L197" s="4" t="s">
        <v>742</v>
      </c>
      <c r="M197" s="17">
        <v>30</v>
      </c>
      <c r="N197" s="17">
        <v>885</v>
      </c>
      <c r="O197" s="18" t="s">
        <v>88</v>
      </c>
      <c r="P197" s="18">
        <v>885</v>
      </c>
      <c r="Q197" s="18">
        <v>30</v>
      </c>
      <c r="R197" s="18"/>
      <c r="S197" s="18"/>
      <c r="T197" s="18"/>
      <c r="U1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7" s="19">
        <f>IF(AUDITORIA[[#This Row],[CAT]]="",0,1)</f>
        <v>1</v>
      </c>
      <c r="W197" s="20">
        <v>46135</v>
      </c>
      <c r="X197" s="21" t="str">
        <f>UPPER(IF(AUDITORIA[[#This Row],[DATA VERIFICAÇÃO]]="","",TEXT(AUDITORIA[[#This Row],[DATA VERIFICAÇÃO]],"mmm")))</f>
        <v>ABR</v>
      </c>
      <c r="Y197" t="s">
        <v>598</v>
      </c>
      <c r="Z197" t="s">
        <v>599</v>
      </c>
      <c r="AA197" t="s">
        <v>600</v>
      </c>
    </row>
    <row r="198" spans="1:27" ht="14.4" hidden="1" customHeight="1" x14ac:dyDescent="0.3">
      <c r="A198" s="4" t="s">
        <v>279</v>
      </c>
      <c r="B198" s="4" t="s">
        <v>17</v>
      </c>
      <c r="C198" s="16" t="s">
        <v>18</v>
      </c>
      <c r="D198" s="4">
        <v>11</v>
      </c>
      <c r="E198" s="4" t="s">
        <v>745</v>
      </c>
      <c r="F198" t="s">
        <v>562</v>
      </c>
      <c r="G198" t="s">
        <v>85</v>
      </c>
      <c r="H198" t="s">
        <v>86</v>
      </c>
      <c r="I198" t="s">
        <v>87</v>
      </c>
      <c r="J198" s="4" t="s">
        <v>88</v>
      </c>
      <c r="K198" s="4" t="s">
        <v>21</v>
      </c>
      <c r="L198" s="4" t="s">
        <v>742</v>
      </c>
      <c r="M198" s="17">
        <v>30</v>
      </c>
      <c r="N198" s="17">
        <v>871</v>
      </c>
      <c r="O198" s="18" t="s">
        <v>88</v>
      </c>
      <c r="P198" s="18">
        <v>871</v>
      </c>
      <c r="Q198" s="18">
        <v>30</v>
      </c>
      <c r="R198" s="18"/>
      <c r="S198" s="18"/>
      <c r="T198" s="18"/>
      <c r="U1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8" s="19">
        <f>IF(AUDITORIA[[#This Row],[CAT]]="",0,1)</f>
        <v>1</v>
      </c>
      <c r="W198" s="20">
        <v>46135</v>
      </c>
      <c r="X198" s="21" t="str">
        <f>UPPER(IF(AUDITORIA[[#This Row],[DATA VERIFICAÇÃO]]="","",TEXT(AUDITORIA[[#This Row],[DATA VERIFICAÇÃO]],"mmm")))</f>
        <v>ABR</v>
      </c>
      <c r="Y198" t="s">
        <v>598</v>
      </c>
      <c r="Z198" t="s">
        <v>599</v>
      </c>
      <c r="AA198" t="s">
        <v>600</v>
      </c>
    </row>
    <row r="199" spans="1:27" ht="14.4" hidden="1" customHeight="1" x14ac:dyDescent="0.3">
      <c r="A199" s="4" t="s">
        <v>279</v>
      </c>
      <c r="B199" s="4" t="s">
        <v>17</v>
      </c>
      <c r="C199" s="16" t="s">
        <v>18</v>
      </c>
      <c r="D199" s="4">
        <v>11</v>
      </c>
      <c r="E199" s="4" t="s">
        <v>745</v>
      </c>
      <c r="F199" t="s">
        <v>572</v>
      </c>
      <c r="G199" t="s">
        <v>85</v>
      </c>
      <c r="H199" t="s">
        <v>86</v>
      </c>
      <c r="I199" t="s">
        <v>87</v>
      </c>
      <c r="J199" s="4" t="s">
        <v>88</v>
      </c>
      <c r="K199" s="4" t="s">
        <v>21</v>
      </c>
      <c r="L199" s="4" t="s">
        <v>742</v>
      </c>
      <c r="M199" s="17">
        <v>30</v>
      </c>
      <c r="N199" s="17">
        <v>879</v>
      </c>
      <c r="O199" s="18" t="s">
        <v>88</v>
      </c>
      <c r="P199" s="18">
        <v>879</v>
      </c>
      <c r="Q199" s="18">
        <v>30</v>
      </c>
      <c r="R199" s="18"/>
      <c r="S199" s="18"/>
      <c r="T199" s="18"/>
      <c r="U1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9" s="19">
        <f>IF(AUDITORIA[[#This Row],[CAT]]="",0,1)</f>
        <v>1</v>
      </c>
      <c r="W199" s="20">
        <v>46135</v>
      </c>
      <c r="X199" s="21" t="str">
        <f>UPPER(IF(AUDITORIA[[#This Row],[DATA VERIFICAÇÃO]]="","",TEXT(AUDITORIA[[#This Row],[DATA VERIFICAÇÃO]],"mmm")))</f>
        <v>ABR</v>
      </c>
      <c r="Y199" t="s">
        <v>598</v>
      </c>
      <c r="Z199" t="s">
        <v>599</v>
      </c>
      <c r="AA199" t="s">
        <v>600</v>
      </c>
    </row>
    <row r="200" spans="1:27" ht="14.4" hidden="1" customHeight="1" x14ac:dyDescent="0.3">
      <c r="A200" s="4" t="s">
        <v>279</v>
      </c>
      <c r="B200" s="4" t="s">
        <v>17</v>
      </c>
      <c r="C200" s="16" t="s">
        <v>18</v>
      </c>
      <c r="D200" s="4">
        <v>11</v>
      </c>
      <c r="E200" s="4" t="s">
        <v>745</v>
      </c>
      <c r="F200" t="s">
        <v>568</v>
      </c>
      <c r="G200" t="s">
        <v>85</v>
      </c>
      <c r="H200" t="s">
        <v>86</v>
      </c>
      <c r="I200" t="s">
        <v>87</v>
      </c>
      <c r="J200" s="4" t="s">
        <v>88</v>
      </c>
      <c r="K200" s="4" t="s">
        <v>21</v>
      </c>
      <c r="L200" s="4" t="s">
        <v>742</v>
      </c>
      <c r="M200" s="17">
        <v>30</v>
      </c>
      <c r="N200" s="17">
        <v>878</v>
      </c>
      <c r="O200" s="18" t="s">
        <v>88</v>
      </c>
      <c r="P200" s="18">
        <v>878</v>
      </c>
      <c r="Q200" s="18">
        <v>30</v>
      </c>
      <c r="R200" s="18"/>
      <c r="S200" s="18"/>
      <c r="T200" s="18"/>
      <c r="U2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0" s="19">
        <f>IF(AUDITORIA[[#This Row],[CAT]]="",0,1)</f>
        <v>1</v>
      </c>
      <c r="W200" s="20">
        <v>46135</v>
      </c>
      <c r="X200" s="21" t="str">
        <f>UPPER(IF(AUDITORIA[[#This Row],[DATA VERIFICAÇÃO]]="","",TEXT(AUDITORIA[[#This Row],[DATA VERIFICAÇÃO]],"mmm")))</f>
        <v>ABR</v>
      </c>
      <c r="Y200" t="s">
        <v>598</v>
      </c>
      <c r="Z200" t="s">
        <v>599</v>
      </c>
      <c r="AA200" t="s">
        <v>600</v>
      </c>
    </row>
    <row r="201" spans="1:27" ht="14.4" hidden="1" customHeight="1" x14ac:dyDescent="0.3">
      <c r="A201" s="4" t="s">
        <v>279</v>
      </c>
      <c r="B201" s="4" t="s">
        <v>17</v>
      </c>
      <c r="C201" s="16" t="s">
        <v>18</v>
      </c>
      <c r="D201" s="4">
        <v>11</v>
      </c>
      <c r="E201" s="4" t="s">
        <v>745</v>
      </c>
      <c r="F201" t="s">
        <v>575</v>
      </c>
      <c r="G201" t="s">
        <v>85</v>
      </c>
      <c r="H201" t="s">
        <v>86</v>
      </c>
      <c r="I201" t="s">
        <v>87</v>
      </c>
      <c r="J201" s="4" t="s">
        <v>88</v>
      </c>
      <c r="K201" s="4" t="s">
        <v>21</v>
      </c>
      <c r="L201" s="4" t="s">
        <v>742</v>
      </c>
      <c r="M201" s="17">
        <v>30</v>
      </c>
      <c r="N201" s="17">
        <v>870</v>
      </c>
      <c r="O201" s="18" t="s">
        <v>88</v>
      </c>
      <c r="P201" s="18">
        <v>870</v>
      </c>
      <c r="Q201" s="18">
        <v>30</v>
      </c>
      <c r="R201" s="18"/>
      <c r="S201" s="18"/>
      <c r="T201" s="18"/>
      <c r="U2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1" s="19">
        <f>IF(AUDITORIA[[#This Row],[CAT]]="",0,1)</f>
        <v>1</v>
      </c>
      <c r="W201" s="20">
        <v>46135</v>
      </c>
      <c r="X201" s="21" t="str">
        <f>UPPER(IF(AUDITORIA[[#This Row],[DATA VERIFICAÇÃO]]="","",TEXT(AUDITORIA[[#This Row],[DATA VERIFICAÇÃO]],"mmm")))</f>
        <v>ABR</v>
      </c>
      <c r="Y201" t="s">
        <v>598</v>
      </c>
      <c r="Z201" t="s">
        <v>599</v>
      </c>
      <c r="AA201" t="s">
        <v>600</v>
      </c>
    </row>
    <row r="202" spans="1:27" ht="14.4" hidden="1" customHeight="1" x14ac:dyDescent="0.3">
      <c r="A202" s="4" t="s">
        <v>279</v>
      </c>
      <c r="B202" s="4" t="s">
        <v>17</v>
      </c>
      <c r="C202" s="16" t="s">
        <v>18</v>
      </c>
      <c r="D202" s="4">
        <v>11</v>
      </c>
      <c r="E202" s="4" t="s">
        <v>745</v>
      </c>
      <c r="F202" t="s">
        <v>578</v>
      </c>
      <c r="G202" t="s">
        <v>85</v>
      </c>
      <c r="H202" t="s">
        <v>86</v>
      </c>
      <c r="I202" t="s">
        <v>87</v>
      </c>
      <c r="J202" s="4" t="s">
        <v>88</v>
      </c>
      <c r="K202" s="4" t="s">
        <v>21</v>
      </c>
      <c r="L202" s="4" t="s">
        <v>742</v>
      </c>
      <c r="M202" s="17">
        <v>30</v>
      </c>
      <c r="N202" s="17">
        <v>874</v>
      </c>
      <c r="O202" s="18" t="s">
        <v>88</v>
      </c>
      <c r="P202" s="18">
        <v>874</v>
      </c>
      <c r="Q202" s="18">
        <v>30</v>
      </c>
      <c r="R202" s="18"/>
      <c r="S202" s="18"/>
      <c r="T202" s="18"/>
      <c r="U2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2" s="19">
        <f>IF(AUDITORIA[[#This Row],[CAT]]="",0,1)</f>
        <v>1</v>
      </c>
      <c r="W202" s="20">
        <v>46135</v>
      </c>
      <c r="X202" s="21" t="str">
        <f>UPPER(IF(AUDITORIA[[#This Row],[DATA VERIFICAÇÃO]]="","",TEXT(AUDITORIA[[#This Row],[DATA VERIFICAÇÃO]],"mmm")))</f>
        <v>ABR</v>
      </c>
      <c r="Y202" t="s">
        <v>598</v>
      </c>
      <c r="Z202" t="s">
        <v>599</v>
      </c>
      <c r="AA202" t="s">
        <v>600</v>
      </c>
    </row>
    <row r="203" spans="1:27" ht="14.4" hidden="1" customHeight="1" x14ac:dyDescent="0.3">
      <c r="A203" s="4" t="s">
        <v>279</v>
      </c>
      <c r="B203" s="4" t="s">
        <v>17</v>
      </c>
      <c r="C203" s="16" t="s">
        <v>18</v>
      </c>
      <c r="D203" s="4">
        <v>11</v>
      </c>
      <c r="E203" s="4" t="s">
        <v>745</v>
      </c>
      <c r="F203" t="s">
        <v>579</v>
      </c>
      <c r="G203" t="s">
        <v>85</v>
      </c>
      <c r="H203" t="s">
        <v>86</v>
      </c>
      <c r="I203" t="s">
        <v>87</v>
      </c>
      <c r="J203" s="4" t="s">
        <v>88</v>
      </c>
      <c r="K203" s="4" t="s">
        <v>21</v>
      </c>
      <c r="L203" s="4" t="s">
        <v>742</v>
      </c>
      <c r="M203" s="17">
        <v>30</v>
      </c>
      <c r="N203" s="17">
        <v>866</v>
      </c>
      <c r="O203" s="18" t="s">
        <v>88</v>
      </c>
      <c r="P203" s="18">
        <v>866</v>
      </c>
      <c r="Q203" s="18">
        <v>30</v>
      </c>
      <c r="R203" s="18"/>
      <c r="S203" s="18"/>
      <c r="T203" s="18"/>
      <c r="U2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3" s="19">
        <f>IF(AUDITORIA[[#This Row],[CAT]]="",0,1)</f>
        <v>1</v>
      </c>
      <c r="W203" s="20">
        <v>46135</v>
      </c>
      <c r="X203" s="21" t="str">
        <f>UPPER(IF(AUDITORIA[[#This Row],[DATA VERIFICAÇÃO]]="","",TEXT(AUDITORIA[[#This Row],[DATA VERIFICAÇÃO]],"mmm")))</f>
        <v>ABR</v>
      </c>
      <c r="Y203" t="s">
        <v>598</v>
      </c>
      <c r="Z203" t="s">
        <v>599</v>
      </c>
      <c r="AA203" t="s">
        <v>600</v>
      </c>
    </row>
    <row r="204" spans="1:27" ht="14.4" hidden="1" customHeight="1" x14ac:dyDescent="0.3">
      <c r="A204" s="4" t="s">
        <v>279</v>
      </c>
      <c r="B204" s="4" t="s">
        <v>17</v>
      </c>
      <c r="C204" s="16" t="s">
        <v>18</v>
      </c>
      <c r="D204" s="4">
        <v>11</v>
      </c>
      <c r="E204" s="4" t="s">
        <v>745</v>
      </c>
      <c r="F204" t="s">
        <v>580</v>
      </c>
      <c r="G204" t="s">
        <v>85</v>
      </c>
      <c r="H204" t="s">
        <v>86</v>
      </c>
      <c r="I204" t="s">
        <v>87</v>
      </c>
      <c r="J204" s="4" t="s">
        <v>88</v>
      </c>
      <c r="K204" s="4" t="s">
        <v>21</v>
      </c>
      <c r="L204" s="4" t="s">
        <v>742</v>
      </c>
      <c r="M204" s="17">
        <v>27</v>
      </c>
      <c r="N204" s="17">
        <v>881</v>
      </c>
      <c r="O204" s="18" t="s">
        <v>88</v>
      </c>
      <c r="P204" s="18">
        <v>881</v>
      </c>
      <c r="Q204" s="18">
        <v>27</v>
      </c>
      <c r="R204" s="18"/>
      <c r="S204" s="18"/>
      <c r="T204" s="18"/>
      <c r="U2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4" s="19">
        <f>IF(AUDITORIA[[#This Row],[CAT]]="",0,1)</f>
        <v>1</v>
      </c>
      <c r="W204" s="20">
        <v>46135</v>
      </c>
      <c r="X204" s="21" t="str">
        <f>UPPER(IF(AUDITORIA[[#This Row],[DATA VERIFICAÇÃO]]="","",TEXT(AUDITORIA[[#This Row],[DATA VERIFICAÇÃO]],"mmm")))</f>
        <v>ABR</v>
      </c>
      <c r="Y204" t="s">
        <v>598</v>
      </c>
      <c r="Z204" t="s">
        <v>599</v>
      </c>
      <c r="AA204" t="s">
        <v>600</v>
      </c>
    </row>
    <row r="205" spans="1:27" ht="14.4" hidden="1" customHeight="1" x14ac:dyDescent="0.3">
      <c r="A205" s="4" t="s">
        <v>279</v>
      </c>
      <c r="B205" s="4" t="s">
        <v>17</v>
      </c>
      <c r="C205" s="16" t="s">
        <v>18</v>
      </c>
      <c r="D205" s="4">
        <v>11</v>
      </c>
      <c r="E205" s="4" t="s">
        <v>745</v>
      </c>
      <c r="F205" t="s">
        <v>280</v>
      </c>
      <c r="G205" t="s">
        <v>281</v>
      </c>
      <c r="H205" t="s">
        <v>282</v>
      </c>
      <c r="I205" t="s">
        <v>283</v>
      </c>
      <c r="J205" s="4" t="s">
        <v>31</v>
      </c>
      <c r="K205" s="4" t="s">
        <v>20</v>
      </c>
      <c r="L205" s="4" t="s">
        <v>742</v>
      </c>
      <c r="M205" s="17">
        <v>30</v>
      </c>
      <c r="N205" s="17">
        <v>846</v>
      </c>
      <c r="O205" s="18" t="s">
        <v>31</v>
      </c>
      <c r="P205" s="18">
        <v>846</v>
      </c>
      <c r="Q205" s="18">
        <v>30</v>
      </c>
      <c r="R205" s="18"/>
      <c r="S205" s="18"/>
      <c r="T205" s="18"/>
      <c r="U2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5" s="19">
        <f>IF(AUDITORIA[[#This Row],[CAT]]="",0,1)</f>
        <v>1</v>
      </c>
      <c r="W205" s="20">
        <v>46135</v>
      </c>
      <c r="X205" s="21" t="str">
        <f>UPPER(IF(AUDITORIA[[#This Row],[DATA VERIFICAÇÃO]]="","",TEXT(AUDITORIA[[#This Row],[DATA VERIFICAÇÃO]],"mmm")))</f>
        <v>ABR</v>
      </c>
      <c r="Y205" t="s">
        <v>598</v>
      </c>
      <c r="Z205" t="s">
        <v>599</v>
      </c>
      <c r="AA205" t="s">
        <v>600</v>
      </c>
    </row>
    <row r="206" spans="1:27" ht="14.4" hidden="1" customHeight="1" x14ac:dyDescent="0.3">
      <c r="A206" s="4" t="s">
        <v>279</v>
      </c>
      <c r="B206" s="4" t="s">
        <v>17</v>
      </c>
      <c r="C206" s="16" t="s">
        <v>18</v>
      </c>
      <c r="D206" s="4">
        <v>11</v>
      </c>
      <c r="E206" s="4" t="s">
        <v>745</v>
      </c>
      <c r="F206" t="s">
        <v>508</v>
      </c>
      <c r="G206" t="s">
        <v>281</v>
      </c>
      <c r="H206" t="s">
        <v>282</v>
      </c>
      <c r="I206" t="s">
        <v>283</v>
      </c>
      <c r="J206" s="4" t="s">
        <v>31</v>
      </c>
      <c r="K206" s="4" t="s">
        <v>20</v>
      </c>
      <c r="L206" s="4" t="s">
        <v>742</v>
      </c>
      <c r="M206" s="17">
        <v>30</v>
      </c>
      <c r="N206" s="17">
        <v>848</v>
      </c>
      <c r="O206" s="18" t="s">
        <v>31</v>
      </c>
      <c r="P206" s="18">
        <v>848</v>
      </c>
      <c r="Q206" s="18">
        <v>30</v>
      </c>
      <c r="R206" s="18"/>
      <c r="S206" s="18"/>
      <c r="T206" s="18"/>
      <c r="U2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6" s="19">
        <f>IF(AUDITORIA[[#This Row],[CAT]]="",0,1)</f>
        <v>1</v>
      </c>
      <c r="W206" s="20">
        <v>46135</v>
      </c>
      <c r="X206" s="21" t="str">
        <f>UPPER(IF(AUDITORIA[[#This Row],[DATA VERIFICAÇÃO]]="","",TEXT(AUDITORIA[[#This Row],[DATA VERIFICAÇÃO]],"mmm")))</f>
        <v>ABR</v>
      </c>
      <c r="Y206" t="s">
        <v>598</v>
      </c>
      <c r="Z206" t="s">
        <v>599</v>
      </c>
      <c r="AA206" t="s">
        <v>600</v>
      </c>
    </row>
    <row r="207" spans="1:27" ht="14.4" hidden="1" customHeight="1" x14ac:dyDescent="0.3">
      <c r="A207" s="4" t="s">
        <v>279</v>
      </c>
      <c r="B207" s="4" t="s">
        <v>17</v>
      </c>
      <c r="C207" s="16" t="s">
        <v>18</v>
      </c>
      <c r="D207" s="4">
        <v>11</v>
      </c>
      <c r="E207" s="4" t="s">
        <v>745</v>
      </c>
      <c r="F207" t="s">
        <v>504</v>
      </c>
      <c r="G207" t="s">
        <v>281</v>
      </c>
      <c r="H207" t="s">
        <v>282</v>
      </c>
      <c r="I207" t="s">
        <v>283</v>
      </c>
      <c r="J207" s="4" t="s">
        <v>31</v>
      </c>
      <c r="K207" s="4" t="s">
        <v>20</v>
      </c>
      <c r="L207" s="4" t="s">
        <v>742</v>
      </c>
      <c r="M207" s="17">
        <v>30</v>
      </c>
      <c r="N207" s="17">
        <v>855</v>
      </c>
      <c r="O207" s="18" t="s">
        <v>31</v>
      </c>
      <c r="P207" s="18">
        <v>855</v>
      </c>
      <c r="Q207" s="18">
        <v>30</v>
      </c>
      <c r="R207" s="18"/>
      <c r="S207" s="18"/>
      <c r="T207" s="18"/>
      <c r="U2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7" s="19">
        <f>IF(AUDITORIA[[#This Row],[CAT]]="",0,1)</f>
        <v>1</v>
      </c>
      <c r="W207" s="20">
        <v>46135</v>
      </c>
      <c r="X207" s="21" t="str">
        <f>UPPER(IF(AUDITORIA[[#This Row],[DATA VERIFICAÇÃO]]="","",TEXT(AUDITORIA[[#This Row],[DATA VERIFICAÇÃO]],"mmm")))</f>
        <v>ABR</v>
      </c>
      <c r="Y207" t="s">
        <v>598</v>
      </c>
      <c r="Z207" t="s">
        <v>599</v>
      </c>
      <c r="AA207" t="s">
        <v>600</v>
      </c>
    </row>
    <row r="208" spans="1:27" ht="14.4" hidden="1" customHeight="1" x14ac:dyDescent="0.3">
      <c r="A208" s="4" t="s">
        <v>279</v>
      </c>
      <c r="B208" s="4" t="s">
        <v>17</v>
      </c>
      <c r="C208" s="16" t="s">
        <v>18</v>
      </c>
      <c r="D208" s="4">
        <v>11</v>
      </c>
      <c r="E208" s="4" t="s">
        <v>745</v>
      </c>
      <c r="F208" t="s">
        <v>510</v>
      </c>
      <c r="G208" t="s">
        <v>281</v>
      </c>
      <c r="H208" t="s">
        <v>282</v>
      </c>
      <c r="I208" t="s">
        <v>283</v>
      </c>
      <c r="J208" s="4" t="s">
        <v>31</v>
      </c>
      <c r="K208" s="4" t="s">
        <v>20</v>
      </c>
      <c r="L208" s="4" t="s">
        <v>742</v>
      </c>
      <c r="M208" s="17">
        <v>30</v>
      </c>
      <c r="N208" s="17">
        <v>846</v>
      </c>
      <c r="O208" s="18" t="s">
        <v>31</v>
      </c>
      <c r="P208" s="18">
        <v>846</v>
      </c>
      <c r="Q208" s="18">
        <v>30</v>
      </c>
      <c r="R208" s="18"/>
      <c r="S208" s="18"/>
      <c r="T208" s="18"/>
      <c r="U2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8" s="19">
        <f>IF(AUDITORIA[[#This Row],[CAT]]="",0,1)</f>
        <v>1</v>
      </c>
      <c r="W208" s="20">
        <v>46135</v>
      </c>
      <c r="X208" s="21" t="str">
        <f>UPPER(IF(AUDITORIA[[#This Row],[DATA VERIFICAÇÃO]]="","",TEXT(AUDITORIA[[#This Row],[DATA VERIFICAÇÃO]],"mmm")))</f>
        <v>ABR</v>
      </c>
      <c r="Y208" t="s">
        <v>598</v>
      </c>
      <c r="Z208" t="s">
        <v>599</v>
      </c>
      <c r="AA208" t="s">
        <v>600</v>
      </c>
    </row>
    <row r="209" spans="1:27" ht="14.4" hidden="1" customHeight="1" x14ac:dyDescent="0.3">
      <c r="A209" s="4" t="s">
        <v>279</v>
      </c>
      <c r="B209" s="4" t="s">
        <v>17</v>
      </c>
      <c r="C209" s="16" t="s">
        <v>18</v>
      </c>
      <c r="D209" s="4">
        <v>11</v>
      </c>
      <c r="E209" s="4" t="s">
        <v>745</v>
      </c>
      <c r="F209" t="s">
        <v>523</v>
      </c>
      <c r="G209" t="s">
        <v>281</v>
      </c>
      <c r="H209" t="s">
        <v>282</v>
      </c>
      <c r="I209" t="s">
        <v>283</v>
      </c>
      <c r="J209" s="4" t="s">
        <v>31</v>
      </c>
      <c r="K209" s="4" t="s">
        <v>20</v>
      </c>
      <c r="L209" s="4" t="s">
        <v>742</v>
      </c>
      <c r="M209" s="17">
        <v>30</v>
      </c>
      <c r="N209" s="17">
        <v>850</v>
      </c>
      <c r="O209" s="18" t="s">
        <v>31</v>
      </c>
      <c r="P209" s="18">
        <v>850</v>
      </c>
      <c r="Q209" s="18">
        <v>30</v>
      </c>
      <c r="R209" s="18"/>
      <c r="S209" s="18"/>
      <c r="T209" s="18"/>
      <c r="U2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9" s="19">
        <f>IF(AUDITORIA[[#This Row],[CAT]]="",0,1)</f>
        <v>1</v>
      </c>
      <c r="W209" s="20">
        <v>46135</v>
      </c>
      <c r="X209" s="21" t="str">
        <f>UPPER(IF(AUDITORIA[[#This Row],[DATA VERIFICAÇÃO]]="","",TEXT(AUDITORIA[[#This Row],[DATA VERIFICAÇÃO]],"mmm")))</f>
        <v>ABR</v>
      </c>
      <c r="Y209" t="s">
        <v>598</v>
      </c>
      <c r="Z209" t="s">
        <v>599</v>
      </c>
      <c r="AA209" t="s">
        <v>600</v>
      </c>
    </row>
    <row r="210" spans="1:27" ht="14.4" hidden="1" customHeight="1" x14ac:dyDescent="0.3">
      <c r="A210" s="4" t="s">
        <v>279</v>
      </c>
      <c r="B210" s="4" t="s">
        <v>17</v>
      </c>
      <c r="C210" s="16" t="s">
        <v>18</v>
      </c>
      <c r="D210" s="4">
        <v>11</v>
      </c>
      <c r="E210" s="4" t="s">
        <v>745</v>
      </c>
      <c r="F210" t="s">
        <v>521</v>
      </c>
      <c r="G210" t="s">
        <v>281</v>
      </c>
      <c r="H210" t="s">
        <v>282</v>
      </c>
      <c r="I210" t="s">
        <v>283</v>
      </c>
      <c r="J210" s="4" t="s">
        <v>31</v>
      </c>
      <c r="K210" s="4" t="s">
        <v>20</v>
      </c>
      <c r="L210" s="4" t="s">
        <v>742</v>
      </c>
      <c r="M210" s="17">
        <v>2</v>
      </c>
      <c r="N210" s="17">
        <v>851</v>
      </c>
      <c r="O210" s="18" t="s">
        <v>31</v>
      </c>
      <c r="P210" s="18">
        <v>851</v>
      </c>
      <c r="Q210" s="18">
        <v>2</v>
      </c>
      <c r="R210" s="18"/>
      <c r="S210" s="18"/>
      <c r="T210" s="18"/>
      <c r="U2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0" s="19">
        <f>IF(AUDITORIA[[#This Row],[CAT]]="",0,1)</f>
        <v>1</v>
      </c>
      <c r="W210" s="20">
        <v>46135</v>
      </c>
      <c r="X210" s="21" t="str">
        <f>UPPER(IF(AUDITORIA[[#This Row],[DATA VERIFICAÇÃO]]="","",TEXT(AUDITORIA[[#This Row],[DATA VERIFICAÇÃO]],"mmm")))</f>
        <v>ABR</v>
      </c>
      <c r="Y210" t="s">
        <v>598</v>
      </c>
      <c r="Z210" t="s">
        <v>599</v>
      </c>
      <c r="AA210" t="s">
        <v>600</v>
      </c>
    </row>
    <row r="211" spans="1:27" ht="14.4" hidden="1" customHeight="1" x14ac:dyDescent="0.3">
      <c r="A211" s="4" t="s">
        <v>279</v>
      </c>
      <c r="B211" s="4" t="s">
        <v>17</v>
      </c>
      <c r="C211" s="16" t="s">
        <v>18</v>
      </c>
      <c r="D211" s="4">
        <v>11</v>
      </c>
      <c r="E211" s="4" t="s">
        <v>745</v>
      </c>
      <c r="F211" t="s">
        <v>501</v>
      </c>
      <c r="G211" t="s">
        <v>281</v>
      </c>
      <c r="H211" t="s">
        <v>282</v>
      </c>
      <c r="I211" t="s">
        <v>283</v>
      </c>
      <c r="J211" s="4" t="s">
        <v>31</v>
      </c>
      <c r="K211" s="4" t="s">
        <v>21</v>
      </c>
      <c r="L211" s="4" t="s">
        <v>742</v>
      </c>
      <c r="M211" s="17">
        <v>24</v>
      </c>
      <c r="N211" s="17">
        <v>1039</v>
      </c>
      <c r="O211" s="18" t="s">
        <v>31</v>
      </c>
      <c r="P211" s="18">
        <v>1039</v>
      </c>
      <c r="Q211" s="18">
        <v>24</v>
      </c>
      <c r="R211" s="18"/>
      <c r="S211" s="18"/>
      <c r="T211" s="18"/>
      <c r="U2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1" s="19">
        <f>IF(AUDITORIA[[#This Row],[CAT]]="",0,1)</f>
        <v>1</v>
      </c>
      <c r="W211" s="20">
        <v>46135</v>
      </c>
      <c r="X211" s="21" t="str">
        <f>UPPER(IF(AUDITORIA[[#This Row],[DATA VERIFICAÇÃO]]="","",TEXT(AUDITORIA[[#This Row],[DATA VERIFICAÇÃO]],"mmm")))</f>
        <v>ABR</v>
      </c>
      <c r="Y211" t="s">
        <v>598</v>
      </c>
      <c r="Z211" t="s">
        <v>599</v>
      </c>
      <c r="AA211" t="s">
        <v>600</v>
      </c>
    </row>
    <row r="212" spans="1:27" ht="14.4" hidden="1" customHeight="1" x14ac:dyDescent="0.3">
      <c r="A212" s="4" t="s">
        <v>279</v>
      </c>
      <c r="B212" s="4" t="s">
        <v>17</v>
      </c>
      <c r="C212" s="16" t="s">
        <v>18</v>
      </c>
      <c r="D212" s="4">
        <v>11</v>
      </c>
      <c r="E212" s="4" t="s">
        <v>745</v>
      </c>
      <c r="F212" t="s">
        <v>498</v>
      </c>
      <c r="G212" t="s">
        <v>281</v>
      </c>
      <c r="H212" t="s">
        <v>282</v>
      </c>
      <c r="I212" t="s">
        <v>283</v>
      </c>
      <c r="J212" s="4" t="s">
        <v>31</v>
      </c>
      <c r="K212" s="4" t="s">
        <v>21</v>
      </c>
      <c r="L212" s="4" t="s">
        <v>742</v>
      </c>
      <c r="M212" s="17">
        <v>24</v>
      </c>
      <c r="N212" s="17">
        <v>1032</v>
      </c>
      <c r="O212" s="18" t="s">
        <v>31</v>
      </c>
      <c r="P212" s="18">
        <v>1032</v>
      </c>
      <c r="Q212" s="18">
        <v>24</v>
      </c>
      <c r="R212" s="18"/>
      <c r="S212" s="18"/>
      <c r="T212" s="18"/>
      <c r="U2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2" s="19">
        <f>IF(AUDITORIA[[#This Row],[CAT]]="",0,1)</f>
        <v>1</v>
      </c>
      <c r="W212" s="20">
        <v>46135</v>
      </c>
      <c r="X212" s="21" t="str">
        <f>UPPER(IF(AUDITORIA[[#This Row],[DATA VERIFICAÇÃO]]="","",TEXT(AUDITORIA[[#This Row],[DATA VERIFICAÇÃO]],"mmm")))</f>
        <v>ABR</v>
      </c>
      <c r="Y212" t="s">
        <v>598</v>
      </c>
      <c r="Z212" t="s">
        <v>599</v>
      </c>
      <c r="AA212" t="s">
        <v>600</v>
      </c>
    </row>
    <row r="213" spans="1:27" ht="14.4" hidden="1" customHeight="1" x14ac:dyDescent="0.3">
      <c r="A213" s="4" t="s">
        <v>279</v>
      </c>
      <c r="B213" s="4" t="s">
        <v>17</v>
      </c>
      <c r="C213" s="16" t="s">
        <v>18</v>
      </c>
      <c r="D213" s="4">
        <v>11</v>
      </c>
      <c r="E213" s="4" t="s">
        <v>745</v>
      </c>
      <c r="F213" t="s">
        <v>517</v>
      </c>
      <c r="G213" t="s">
        <v>281</v>
      </c>
      <c r="H213" t="s">
        <v>282</v>
      </c>
      <c r="I213" t="s">
        <v>283</v>
      </c>
      <c r="J213" s="4" t="s">
        <v>31</v>
      </c>
      <c r="K213" s="4" t="s">
        <v>21</v>
      </c>
      <c r="L213" s="4" t="s">
        <v>742</v>
      </c>
      <c r="M213" s="17">
        <v>24</v>
      </c>
      <c r="N213" s="17">
        <v>1032</v>
      </c>
      <c r="O213" s="18" t="s">
        <v>31</v>
      </c>
      <c r="P213" s="18">
        <v>1032</v>
      </c>
      <c r="Q213" s="18">
        <v>24</v>
      </c>
      <c r="R213" s="18"/>
      <c r="S213" s="18"/>
      <c r="T213" s="18"/>
      <c r="U2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3" s="19">
        <f>IF(AUDITORIA[[#This Row],[CAT]]="",0,1)</f>
        <v>1</v>
      </c>
      <c r="W213" s="20">
        <v>46135</v>
      </c>
      <c r="X213" s="21" t="str">
        <f>UPPER(IF(AUDITORIA[[#This Row],[DATA VERIFICAÇÃO]]="","",TEXT(AUDITORIA[[#This Row],[DATA VERIFICAÇÃO]],"mmm")))</f>
        <v>ABR</v>
      </c>
      <c r="Y213" t="s">
        <v>598</v>
      </c>
      <c r="Z213" t="s">
        <v>599</v>
      </c>
      <c r="AA213" t="s">
        <v>600</v>
      </c>
    </row>
    <row r="214" spans="1:27" ht="14.4" hidden="1" customHeight="1" x14ac:dyDescent="0.3">
      <c r="A214" s="4" t="s">
        <v>279</v>
      </c>
      <c r="B214" s="4" t="s">
        <v>17</v>
      </c>
      <c r="C214" s="16" t="s">
        <v>18</v>
      </c>
      <c r="D214" s="4">
        <v>11</v>
      </c>
      <c r="E214" s="4" t="s">
        <v>745</v>
      </c>
      <c r="F214" t="s">
        <v>519</v>
      </c>
      <c r="G214" t="s">
        <v>281</v>
      </c>
      <c r="H214" t="s">
        <v>282</v>
      </c>
      <c r="I214" t="s">
        <v>283</v>
      </c>
      <c r="J214" s="4" t="s">
        <v>31</v>
      </c>
      <c r="K214" s="4" t="s">
        <v>21</v>
      </c>
      <c r="L214" s="4" t="s">
        <v>742</v>
      </c>
      <c r="M214" s="17">
        <v>17</v>
      </c>
      <c r="N214" s="17">
        <v>1029</v>
      </c>
      <c r="O214" s="18" t="s">
        <v>31</v>
      </c>
      <c r="P214" s="18">
        <v>1029</v>
      </c>
      <c r="Q214" s="18">
        <v>17</v>
      </c>
      <c r="R214" s="18"/>
      <c r="S214" s="18"/>
      <c r="T214" s="18"/>
      <c r="U2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4" s="19">
        <f>IF(AUDITORIA[[#This Row],[CAT]]="",0,1)</f>
        <v>1</v>
      </c>
      <c r="W214" s="20">
        <v>46135</v>
      </c>
      <c r="X214" s="21" t="str">
        <f>UPPER(IF(AUDITORIA[[#This Row],[DATA VERIFICAÇÃO]]="","",TEXT(AUDITORIA[[#This Row],[DATA VERIFICAÇÃO]],"mmm")))</f>
        <v>ABR</v>
      </c>
      <c r="Y214" t="s">
        <v>598</v>
      </c>
      <c r="Z214" t="s">
        <v>599</v>
      </c>
      <c r="AA214" t="s">
        <v>600</v>
      </c>
    </row>
    <row r="215" spans="1:27" ht="14.4" hidden="1" customHeight="1" x14ac:dyDescent="0.3">
      <c r="A215" s="4" t="s">
        <v>279</v>
      </c>
      <c r="B215" s="4" t="s">
        <v>17</v>
      </c>
      <c r="C215" s="16" t="s">
        <v>18</v>
      </c>
      <c r="D215" s="4">
        <v>11</v>
      </c>
      <c r="E215" s="4" t="s">
        <v>745</v>
      </c>
      <c r="F215" t="s">
        <v>462</v>
      </c>
      <c r="G215" t="s">
        <v>368</v>
      </c>
      <c r="H215" t="s">
        <v>369</v>
      </c>
      <c r="I215" t="s">
        <v>370</v>
      </c>
      <c r="J215" s="4" t="s">
        <v>88</v>
      </c>
      <c r="K215" s="4" t="s">
        <v>20</v>
      </c>
      <c r="L215" s="4" t="s">
        <v>742</v>
      </c>
      <c r="M215" s="17">
        <v>30</v>
      </c>
      <c r="N215" s="17">
        <v>815</v>
      </c>
      <c r="O215" s="18" t="s">
        <v>88</v>
      </c>
      <c r="P215" s="18">
        <v>815</v>
      </c>
      <c r="Q215" s="18">
        <v>30</v>
      </c>
      <c r="R215" s="18"/>
      <c r="S215" s="18"/>
      <c r="T215" s="18"/>
      <c r="U2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5" s="19">
        <f>IF(AUDITORIA[[#This Row],[CAT]]="",0,1)</f>
        <v>1</v>
      </c>
      <c r="W215" s="20">
        <v>46135</v>
      </c>
      <c r="X215" s="21" t="str">
        <f>UPPER(IF(AUDITORIA[[#This Row],[DATA VERIFICAÇÃO]]="","",TEXT(AUDITORIA[[#This Row],[DATA VERIFICAÇÃO]],"mmm")))</f>
        <v>ABR</v>
      </c>
      <c r="Y215" t="s">
        <v>598</v>
      </c>
      <c r="Z215" t="s">
        <v>599</v>
      </c>
      <c r="AA215" t="s">
        <v>600</v>
      </c>
    </row>
    <row r="216" spans="1:27" ht="14.4" hidden="1" customHeight="1" x14ac:dyDescent="0.3">
      <c r="A216" s="4" t="s">
        <v>279</v>
      </c>
      <c r="B216" s="4" t="s">
        <v>17</v>
      </c>
      <c r="C216" s="16" t="s">
        <v>18</v>
      </c>
      <c r="D216" s="4">
        <v>11</v>
      </c>
      <c r="E216" s="4" t="s">
        <v>745</v>
      </c>
      <c r="F216" t="s">
        <v>463</v>
      </c>
      <c r="G216" t="s">
        <v>368</v>
      </c>
      <c r="H216" t="s">
        <v>369</v>
      </c>
      <c r="I216" t="s">
        <v>370</v>
      </c>
      <c r="J216" s="4" t="s">
        <v>88</v>
      </c>
      <c r="K216" s="4" t="s">
        <v>20</v>
      </c>
      <c r="L216" s="4" t="s">
        <v>742</v>
      </c>
      <c r="M216" s="17">
        <v>30</v>
      </c>
      <c r="N216" s="17">
        <v>823</v>
      </c>
      <c r="O216" s="18" t="s">
        <v>88</v>
      </c>
      <c r="P216" s="18">
        <v>823</v>
      </c>
      <c r="Q216" s="18">
        <v>30</v>
      </c>
      <c r="R216" s="18"/>
      <c r="S216" s="18"/>
      <c r="T216" s="18"/>
      <c r="U2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6" s="19">
        <f>IF(AUDITORIA[[#This Row],[CAT]]="",0,1)</f>
        <v>1</v>
      </c>
      <c r="W216" s="20">
        <v>46135</v>
      </c>
      <c r="X216" s="21" t="str">
        <f>UPPER(IF(AUDITORIA[[#This Row],[DATA VERIFICAÇÃO]]="","",TEXT(AUDITORIA[[#This Row],[DATA VERIFICAÇÃO]],"mmm")))</f>
        <v>ABR</v>
      </c>
      <c r="Y216" t="s">
        <v>598</v>
      </c>
      <c r="Z216" t="s">
        <v>599</v>
      </c>
      <c r="AA216" t="s">
        <v>600</v>
      </c>
    </row>
    <row r="217" spans="1:27" ht="14.4" hidden="1" customHeight="1" x14ac:dyDescent="0.3">
      <c r="A217" s="4" t="s">
        <v>279</v>
      </c>
      <c r="B217" s="4" t="s">
        <v>17</v>
      </c>
      <c r="C217" s="16" t="s">
        <v>18</v>
      </c>
      <c r="D217" s="4">
        <v>11</v>
      </c>
      <c r="E217" s="4" t="s">
        <v>745</v>
      </c>
      <c r="F217" t="s">
        <v>367</v>
      </c>
      <c r="G217" t="s">
        <v>368</v>
      </c>
      <c r="H217" t="s">
        <v>369</v>
      </c>
      <c r="I217" t="s">
        <v>370</v>
      </c>
      <c r="J217" s="4" t="s">
        <v>88</v>
      </c>
      <c r="K217" s="4" t="s">
        <v>20</v>
      </c>
      <c r="L217" s="4" t="s">
        <v>742</v>
      </c>
      <c r="M217" s="17">
        <v>19</v>
      </c>
      <c r="N217" s="17">
        <v>832</v>
      </c>
      <c r="O217" s="18" t="s">
        <v>88</v>
      </c>
      <c r="P217" s="18">
        <v>832</v>
      </c>
      <c r="Q217" s="18">
        <v>19</v>
      </c>
      <c r="R217" s="18"/>
      <c r="S217" s="18"/>
      <c r="T217" s="18"/>
      <c r="U2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7" s="19">
        <f>IF(AUDITORIA[[#This Row],[CAT]]="",0,1)</f>
        <v>1</v>
      </c>
      <c r="W217" s="20">
        <v>46135</v>
      </c>
      <c r="X217" s="21" t="str">
        <f>UPPER(IF(AUDITORIA[[#This Row],[DATA VERIFICAÇÃO]]="","",TEXT(AUDITORIA[[#This Row],[DATA VERIFICAÇÃO]],"mmm")))</f>
        <v>ABR</v>
      </c>
      <c r="Y217" t="s">
        <v>598</v>
      </c>
      <c r="Z217" t="s">
        <v>599</v>
      </c>
      <c r="AA217" t="s">
        <v>600</v>
      </c>
    </row>
    <row r="218" spans="1:27" ht="14.4" hidden="1" customHeight="1" x14ac:dyDescent="0.3">
      <c r="A218" s="4" t="s">
        <v>279</v>
      </c>
      <c r="B218" s="4" t="s">
        <v>17</v>
      </c>
      <c r="C218" s="16" t="s">
        <v>18</v>
      </c>
      <c r="D218" s="4">
        <v>11</v>
      </c>
      <c r="E218" s="4" t="s">
        <v>745</v>
      </c>
      <c r="F218" t="s">
        <v>583</v>
      </c>
      <c r="G218" t="s">
        <v>368</v>
      </c>
      <c r="H218" t="s">
        <v>369</v>
      </c>
      <c r="I218" t="s">
        <v>370</v>
      </c>
      <c r="J218" s="4" t="s">
        <v>88</v>
      </c>
      <c r="K218" s="4" t="s">
        <v>20</v>
      </c>
      <c r="L218" s="4" t="s">
        <v>742</v>
      </c>
      <c r="M218" s="17">
        <v>30</v>
      </c>
      <c r="N218" s="17">
        <v>689</v>
      </c>
      <c r="O218" s="18" t="s">
        <v>88</v>
      </c>
      <c r="P218" s="18">
        <v>689</v>
      </c>
      <c r="Q218" s="18">
        <v>30</v>
      </c>
      <c r="R218" s="18"/>
      <c r="S218" s="18"/>
      <c r="T218" s="18"/>
      <c r="U2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8" s="19">
        <f>IF(AUDITORIA[[#This Row],[CAT]]="",0,1)</f>
        <v>1</v>
      </c>
      <c r="W218" s="20">
        <v>46135</v>
      </c>
      <c r="X218" s="21" t="str">
        <f>UPPER(IF(AUDITORIA[[#This Row],[DATA VERIFICAÇÃO]]="","",TEXT(AUDITORIA[[#This Row],[DATA VERIFICAÇÃO]],"mmm")))</f>
        <v>ABR</v>
      </c>
      <c r="Y218" t="s">
        <v>598</v>
      </c>
      <c r="Z218" t="s">
        <v>599</v>
      </c>
      <c r="AA218" t="s">
        <v>600</v>
      </c>
    </row>
    <row r="219" spans="1:27" ht="14.4" hidden="1" customHeight="1" x14ac:dyDescent="0.3">
      <c r="A219" s="4" t="s">
        <v>279</v>
      </c>
      <c r="B219" s="4" t="s">
        <v>17</v>
      </c>
      <c r="C219" s="16" t="s">
        <v>18</v>
      </c>
      <c r="D219" s="4">
        <v>11</v>
      </c>
      <c r="E219" s="4" t="s">
        <v>745</v>
      </c>
      <c r="F219" t="s">
        <v>581</v>
      </c>
      <c r="G219" t="s">
        <v>368</v>
      </c>
      <c r="H219" t="s">
        <v>369</v>
      </c>
      <c r="I219" t="s">
        <v>370</v>
      </c>
      <c r="J219" s="4" t="s">
        <v>88</v>
      </c>
      <c r="K219" s="4" t="s">
        <v>20</v>
      </c>
      <c r="L219" s="4" t="s">
        <v>742</v>
      </c>
      <c r="M219" s="17">
        <v>30</v>
      </c>
      <c r="N219" s="17">
        <v>668</v>
      </c>
      <c r="O219" s="18" t="s">
        <v>88</v>
      </c>
      <c r="P219" s="18">
        <v>668</v>
      </c>
      <c r="Q219" s="18">
        <v>30</v>
      </c>
      <c r="R219" s="18"/>
      <c r="S219" s="18"/>
      <c r="T219" s="18"/>
      <c r="U2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9" s="19">
        <f>IF(AUDITORIA[[#This Row],[CAT]]="",0,1)</f>
        <v>1</v>
      </c>
      <c r="W219" s="20">
        <v>46135</v>
      </c>
      <c r="X219" s="21" t="str">
        <f>UPPER(IF(AUDITORIA[[#This Row],[DATA VERIFICAÇÃO]]="","",TEXT(AUDITORIA[[#This Row],[DATA VERIFICAÇÃO]],"mmm")))</f>
        <v>ABR</v>
      </c>
      <c r="Y219" t="s">
        <v>598</v>
      </c>
      <c r="Z219" t="s">
        <v>599</v>
      </c>
      <c r="AA219" t="s">
        <v>600</v>
      </c>
    </row>
    <row r="220" spans="1:27" ht="14.4" hidden="1" customHeight="1" x14ac:dyDescent="0.3">
      <c r="A220" s="4" t="s">
        <v>279</v>
      </c>
      <c r="B220" s="4" t="s">
        <v>17</v>
      </c>
      <c r="C220" s="16" t="s">
        <v>18</v>
      </c>
      <c r="D220" s="4">
        <v>11</v>
      </c>
      <c r="E220" s="4" t="s">
        <v>745</v>
      </c>
      <c r="F220" t="s">
        <v>584</v>
      </c>
      <c r="G220" t="s">
        <v>368</v>
      </c>
      <c r="H220" t="s">
        <v>369</v>
      </c>
      <c r="I220" t="s">
        <v>370</v>
      </c>
      <c r="J220" s="4" t="s">
        <v>88</v>
      </c>
      <c r="K220" s="4" t="s">
        <v>20</v>
      </c>
      <c r="L220" s="4" t="s">
        <v>742</v>
      </c>
      <c r="M220" s="17">
        <v>30</v>
      </c>
      <c r="N220" s="17">
        <v>668</v>
      </c>
      <c r="O220" s="18" t="s">
        <v>88</v>
      </c>
      <c r="P220" s="18">
        <v>668</v>
      </c>
      <c r="Q220" s="18">
        <v>30</v>
      </c>
      <c r="R220" s="18"/>
      <c r="S220" s="18"/>
      <c r="T220" s="18"/>
      <c r="U2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0" s="19">
        <f>IF(AUDITORIA[[#This Row],[CAT]]="",0,1)</f>
        <v>1</v>
      </c>
      <c r="W220" s="20">
        <v>46135</v>
      </c>
      <c r="X220" s="21" t="str">
        <f>UPPER(IF(AUDITORIA[[#This Row],[DATA VERIFICAÇÃO]]="","",TEXT(AUDITORIA[[#This Row],[DATA VERIFICAÇÃO]],"mmm")))</f>
        <v>ABR</v>
      </c>
      <c r="Y220" t="s">
        <v>598</v>
      </c>
      <c r="Z220" t="s">
        <v>599</v>
      </c>
      <c r="AA220" t="s">
        <v>600</v>
      </c>
    </row>
    <row r="221" spans="1:27" ht="14.4" hidden="1" customHeight="1" x14ac:dyDescent="0.3">
      <c r="A221" s="4" t="s">
        <v>279</v>
      </c>
      <c r="B221" s="4" t="s">
        <v>17</v>
      </c>
      <c r="C221" s="16" t="s">
        <v>18</v>
      </c>
      <c r="D221" s="4">
        <v>11</v>
      </c>
      <c r="E221" s="4" t="s">
        <v>745</v>
      </c>
      <c r="F221" t="s">
        <v>589</v>
      </c>
      <c r="G221" t="s">
        <v>368</v>
      </c>
      <c r="H221" t="s">
        <v>369</v>
      </c>
      <c r="I221" t="s">
        <v>370</v>
      </c>
      <c r="J221" s="4" t="s">
        <v>88</v>
      </c>
      <c r="K221" s="4" t="s">
        <v>20</v>
      </c>
      <c r="L221" s="4" t="s">
        <v>742</v>
      </c>
      <c r="M221" s="17">
        <v>30</v>
      </c>
      <c r="N221" s="17">
        <v>673</v>
      </c>
      <c r="O221" s="18" t="s">
        <v>88</v>
      </c>
      <c r="P221" s="18">
        <v>673</v>
      </c>
      <c r="Q221" s="18">
        <v>30</v>
      </c>
      <c r="R221" s="18"/>
      <c r="S221" s="18"/>
      <c r="T221" s="18"/>
      <c r="U2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1" s="19">
        <f>IF(AUDITORIA[[#This Row],[CAT]]="",0,1)</f>
        <v>1</v>
      </c>
      <c r="W221" s="20">
        <v>46135</v>
      </c>
      <c r="X221" s="21" t="str">
        <f>UPPER(IF(AUDITORIA[[#This Row],[DATA VERIFICAÇÃO]]="","",TEXT(AUDITORIA[[#This Row],[DATA VERIFICAÇÃO]],"mmm")))</f>
        <v>ABR</v>
      </c>
      <c r="Y221" t="s">
        <v>598</v>
      </c>
      <c r="Z221" t="s">
        <v>599</v>
      </c>
      <c r="AA221" t="s">
        <v>600</v>
      </c>
    </row>
    <row r="222" spans="1:27" ht="14.4" hidden="1" customHeight="1" x14ac:dyDescent="0.3">
      <c r="A222" s="4" t="s">
        <v>279</v>
      </c>
      <c r="B222" s="4" t="s">
        <v>17</v>
      </c>
      <c r="C222" s="16" t="s">
        <v>18</v>
      </c>
      <c r="D222" s="4">
        <v>11</v>
      </c>
      <c r="E222" s="4" t="s">
        <v>745</v>
      </c>
      <c r="F222" t="s">
        <v>587</v>
      </c>
      <c r="G222" t="s">
        <v>368</v>
      </c>
      <c r="H222" t="s">
        <v>369</v>
      </c>
      <c r="I222" t="s">
        <v>370</v>
      </c>
      <c r="J222" s="4" t="s">
        <v>88</v>
      </c>
      <c r="K222" s="4" t="s">
        <v>20</v>
      </c>
      <c r="L222" s="4" t="s">
        <v>742</v>
      </c>
      <c r="M222" s="17">
        <v>30</v>
      </c>
      <c r="N222" s="17">
        <v>669</v>
      </c>
      <c r="O222" s="18" t="s">
        <v>88</v>
      </c>
      <c r="P222" s="18">
        <v>669</v>
      </c>
      <c r="Q222" s="18">
        <v>30</v>
      </c>
      <c r="R222" s="18"/>
      <c r="S222" s="18"/>
      <c r="T222" s="18"/>
      <c r="U2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2" s="19">
        <f>IF(AUDITORIA[[#This Row],[CAT]]="",0,1)</f>
        <v>1</v>
      </c>
      <c r="W222" s="20">
        <v>46135</v>
      </c>
      <c r="X222" s="21" t="str">
        <f>UPPER(IF(AUDITORIA[[#This Row],[DATA VERIFICAÇÃO]]="","",TEXT(AUDITORIA[[#This Row],[DATA VERIFICAÇÃO]],"mmm")))</f>
        <v>ABR</v>
      </c>
      <c r="Y222" t="s">
        <v>598</v>
      </c>
      <c r="Z222" t="s">
        <v>599</v>
      </c>
      <c r="AA222" t="s">
        <v>600</v>
      </c>
    </row>
    <row r="223" spans="1:27" ht="14.4" hidden="1" customHeight="1" x14ac:dyDescent="0.3">
      <c r="A223" s="4" t="s">
        <v>279</v>
      </c>
      <c r="B223" s="4" t="s">
        <v>17</v>
      </c>
      <c r="C223" s="16" t="s">
        <v>18</v>
      </c>
      <c r="D223" s="4">
        <v>11</v>
      </c>
      <c r="E223" s="4" t="s">
        <v>745</v>
      </c>
      <c r="F223" t="s">
        <v>591</v>
      </c>
      <c r="G223" t="s">
        <v>368</v>
      </c>
      <c r="H223" t="s">
        <v>369</v>
      </c>
      <c r="I223" t="s">
        <v>370</v>
      </c>
      <c r="J223" s="4" t="s">
        <v>88</v>
      </c>
      <c r="K223" s="4" t="s">
        <v>20</v>
      </c>
      <c r="L223" s="4" t="s">
        <v>742</v>
      </c>
      <c r="M223" s="17">
        <v>30</v>
      </c>
      <c r="N223" s="17">
        <v>676</v>
      </c>
      <c r="O223" s="18" t="s">
        <v>88</v>
      </c>
      <c r="P223" s="18">
        <v>676</v>
      </c>
      <c r="Q223" s="18">
        <v>30</v>
      </c>
      <c r="R223" s="18"/>
      <c r="S223" s="18"/>
      <c r="T223" s="18"/>
      <c r="U2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3" s="19">
        <f>IF(AUDITORIA[[#This Row],[CAT]]="",0,1)</f>
        <v>1</v>
      </c>
      <c r="W223" s="20">
        <v>46135</v>
      </c>
      <c r="X223" s="21" t="str">
        <f>UPPER(IF(AUDITORIA[[#This Row],[DATA VERIFICAÇÃO]]="","",TEXT(AUDITORIA[[#This Row],[DATA VERIFICAÇÃO]],"mmm")))</f>
        <v>ABR</v>
      </c>
      <c r="Y223" t="s">
        <v>598</v>
      </c>
      <c r="Z223" t="s">
        <v>599</v>
      </c>
      <c r="AA223" t="s">
        <v>600</v>
      </c>
    </row>
    <row r="224" spans="1:27" ht="14.4" hidden="1" customHeight="1" x14ac:dyDescent="0.3">
      <c r="A224" s="4" t="s">
        <v>279</v>
      </c>
      <c r="B224" s="4" t="s">
        <v>17</v>
      </c>
      <c r="C224" s="16" t="s">
        <v>18</v>
      </c>
      <c r="D224" s="4">
        <v>11</v>
      </c>
      <c r="E224" s="4" t="s">
        <v>745</v>
      </c>
      <c r="F224" t="s">
        <v>592</v>
      </c>
      <c r="G224" t="s">
        <v>368</v>
      </c>
      <c r="H224" t="s">
        <v>369</v>
      </c>
      <c r="I224" t="s">
        <v>370</v>
      </c>
      <c r="J224" s="4" t="s">
        <v>88</v>
      </c>
      <c r="K224" s="4" t="s">
        <v>20</v>
      </c>
      <c r="L224" s="4" t="s">
        <v>742</v>
      </c>
      <c r="M224" s="17">
        <v>30</v>
      </c>
      <c r="N224" s="17">
        <v>667</v>
      </c>
      <c r="O224" s="18" t="s">
        <v>88</v>
      </c>
      <c r="P224" s="18">
        <v>667</v>
      </c>
      <c r="Q224" s="18">
        <v>30</v>
      </c>
      <c r="R224" s="18"/>
      <c r="S224" s="18"/>
      <c r="T224" s="18"/>
      <c r="U2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4" s="19">
        <f>IF(AUDITORIA[[#This Row],[CAT]]="",0,1)</f>
        <v>1</v>
      </c>
      <c r="W224" s="20">
        <v>46135</v>
      </c>
      <c r="X224" s="21" t="str">
        <f>UPPER(IF(AUDITORIA[[#This Row],[DATA VERIFICAÇÃO]]="","",TEXT(AUDITORIA[[#This Row],[DATA VERIFICAÇÃO]],"mmm")))</f>
        <v>ABR</v>
      </c>
      <c r="Y224" t="s">
        <v>598</v>
      </c>
      <c r="Z224" t="s">
        <v>599</v>
      </c>
      <c r="AA224" t="s">
        <v>600</v>
      </c>
    </row>
    <row r="225" spans="1:27" ht="14.4" hidden="1" customHeight="1" x14ac:dyDescent="0.3">
      <c r="A225" s="4" t="s">
        <v>279</v>
      </c>
      <c r="B225" s="4" t="s">
        <v>17</v>
      </c>
      <c r="C225" s="16" t="s">
        <v>18</v>
      </c>
      <c r="D225" s="4">
        <v>11</v>
      </c>
      <c r="E225" s="4" t="s">
        <v>745</v>
      </c>
      <c r="F225" t="s">
        <v>497</v>
      </c>
      <c r="G225" t="s">
        <v>368</v>
      </c>
      <c r="H225" t="s">
        <v>369</v>
      </c>
      <c r="I225" t="s">
        <v>370</v>
      </c>
      <c r="J225" s="4" t="s">
        <v>88</v>
      </c>
      <c r="K225" s="4" t="s">
        <v>20</v>
      </c>
      <c r="L225" s="4" t="s">
        <v>742</v>
      </c>
      <c r="M225" s="17">
        <v>30</v>
      </c>
      <c r="N225" s="17">
        <v>680</v>
      </c>
      <c r="O225" s="18" t="s">
        <v>88</v>
      </c>
      <c r="P225" s="18">
        <v>680</v>
      </c>
      <c r="Q225" s="18">
        <v>30</v>
      </c>
      <c r="R225" s="18"/>
      <c r="S225" s="18"/>
      <c r="T225" s="18"/>
      <c r="U2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5" s="19">
        <f>IF(AUDITORIA[[#This Row],[CAT]]="",0,1)</f>
        <v>1</v>
      </c>
      <c r="W225" s="20">
        <v>46135</v>
      </c>
      <c r="X225" s="21" t="str">
        <f>UPPER(IF(AUDITORIA[[#This Row],[DATA VERIFICAÇÃO]]="","",TEXT(AUDITORIA[[#This Row],[DATA VERIFICAÇÃO]],"mmm")))</f>
        <v>ABR</v>
      </c>
      <c r="Y225" t="s">
        <v>598</v>
      </c>
      <c r="Z225" t="s">
        <v>599</v>
      </c>
      <c r="AA225" t="s">
        <v>600</v>
      </c>
    </row>
    <row r="226" spans="1:27" ht="14.4" hidden="1" customHeight="1" x14ac:dyDescent="0.3">
      <c r="A226" s="4" t="s">
        <v>279</v>
      </c>
      <c r="B226" s="4" t="s">
        <v>17</v>
      </c>
      <c r="C226" s="16" t="s">
        <v>18</v>
      </c>
      <c r="D226" s="4">
        <v>11</v>
      </c>
      <c r="E226" s="4" t="s">
        <v>745</v>
      </c>
      <c r="F226" t="s">
        <v>593</v>
      </c>
      <c r="G226" t="s">
        <v>368</v>
      </c>
      <c r="H226" t="s">
        <v>369</v>
      </c>
      <c r="I226" t="s">
        <v>370</v>
      </c>
      <c r="J226" s="4" t="s">
        <v>88</v>
      </c>
      <c r="K226" s="4" t="s">
        <v>20</v>
      </c>
      <c r="L226" s="4" t="s">
        <v>742</v>
      </c>
      <c r="M226" s="17">
        <v>30</v>
      </c>
      <c r="N226" s="17">
        <v>703</v>
      </c>
      <c r="O226" s="18" t="s">
        <v>88</v>
      </c>
      <c r="P226" s="18">
        <v>703</v>
      </c>
      <c r="Q226" s="18">
        <v>30</v>
      </c>
      <c r="R226" s="18"/>
      <c r="S226" s="18"/>
      <c r="T226" s="18"/>
      <c r="U2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6" s="19">
        <f>IF(AUDITORIA[[#This Row],[CAT]]="",0,1)</f>
        <v>1</v>
      </c>
      <c r="W226" s="20">
        <v>46135</v>
      </c>
      <c r="X226" s="21" t="str">
        <f>UPPER(IF(AUDITORIA[[#This Row],[DATA VERIFICAÇÃO]]="","",TEXT(AUDITORIA[[#This Row],[DATA VERIFICAÇÃO]],"mmm")))</f>
        <v>ABR</v>
      </c>
      <c r="Y226" t="s">
        <v>598</v>
      </c>
      <c r="Z226" t="s">
        <v>599</v>
      </c>
      <c r="AA226" t="s">
        <v>600</v>
      </c>
    </row>
    <row r="227" spans="1:27" ht="14.4" hidden="1" customHeight="1" x14ac:dyDescent="0.3">
      <c r="A227" s="4" t="s">
        <v>279</v>
      </c>
      <c r="B227" s="4" t="s">
        <v>17</v>
      </c>
      <c r="C227" s="16" t="s">
        <v>18</v>
      </c>
      <c r="D227" s="4">
        <v>11</v>
      </c>
      <c r="E227" s="4" t="s">
        <v>745</v>
      </c>
      <c r="F227" t="s">
        <v>594</v>
      </c>
      <c r="G227" t="s">
        <v>368</v>
      </c>
      <c r="H227" t="s">
        <v>369</v>
      </c>
      <c r="I227" t="s">
        <v>370</v>
      </c>
      <c r="J227" s="4" t="s">
        <v>88</v>
      </c>
      <c r="K227" s="4" t="s">
        <v>20</v>
      </c>
      <c r="L227" s="4" t="s">
        <v>742</v>
      </c>
      <c r="M227" s="17">
        <v>11</v>
      </c>
      <c r="N227" s="17">
        <v>702</v>
      </c>
      <c r="O227" s="18" t="s">
        <v>88</v>
      </c>
      <c r="P227" s="18">
        <v>702</v>
      </c>
      <c r="Q227" s="18">
        <v>11</v>
      </c>
      <c r="R227" s="18"/>
      <c r="S227" s="18"/>
      <c r="T227" s="18"/>
      <c r="U2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7" s="19">
        <f>IF(AUDITORIA[[#This Row],[CAT]]="",0,1)</f>
        <v>1</v>
      </c>
      <c r="W227" s="20">
        <v>46135</v>
      </c>
      <c r="X227" s="21" t="str">
        <f>UPPER(IF(AUDITORIA[[#This Row],[DATA VERIFICAÇÃO]]="","",TEXT(AUDITORIA[[#This Row],[DATA VERIFICAÇÃO]],"mmm")))</f>
        <v>ABR</v>
      </c>
      <c r="Y227" t="s">
        <v>598</v>
      </c>
      <c r="Z227" t="s">
        <v>599</v>
      </c>
      <c r="AA227" t="s">
        <v>600</v>
      </c>
    </row>
    <row r="228" spans="1:27" ht="14.4" hidden="1" customHeight="1" x14ac:dyDescent="0.3">
      <c r="A228" s="4" t="s">
        <v>279</v>
      </c>
      <c r="B228" s="4" t="s">
        <v>17</v>
      </c>
      <c r="C228" s="16" t="s">
        <v>18</v>
      </c>
      <c r="D228" s="4">
        <v>11</v>
      </c>
      <c r="E228" s="4" t="s">
        <v>745</v>
      </c>
      <c r="F228" t="s">
        <v>468</v>
      </c>
      <c r="G228" t="s">
        <v>368</v>
      </c>
      <c r="H228" t="s">
        <v>369</v>
      </c>
      <c r="I228" t="s">
        <v>370</v>
      </c>
      <c r="J228" s="4" t="s">
        <v>88</v>
      </c>
      <c r="K228" s="4" t="s">
        <v>21</v>
      </c>
      <c r="L228" s="4" t="s">
        <v>742</v>
      </c>
      <c r="M228" s="17">
        <v>24</v>
      </c>
      <c r="N228" s="17">
        <v>1003</v>
      </c>
      <c r="O228" s="18" t="s">
        <v>88</v>
      </c>
      <c r="P228" s="18">
        <v>1003</v>
      </c>
      <c r="Q228" s="18">
        <v>24</v>
      </c>
      <c r="R228" s="18"/>
      <c r="S228" s="18"/>
      <c r="T228" s="18"/>
      <c r="U2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8" s="19">
        <f>IF(AUDITORIA[[#This Row],[CAT]]="",0,1)</f>
        <v>1</v>
      </c>
      <c r="W228" s="20">
        <v>46135</v>
      </c>
      <c r="X228" s="21" t="str">
        <f>UPPER(IF(AUDITORIA[[#This Row],[DATA VERIFICAÇÃO]]="","",TEXT(AUDITORIA[[#This Row],[DATA VERIFICAÇÃO]],"mmm")))</f>
        <v>ABR</v>
      </c>
      <c r="Y228" t="s">
        <v>598</v>
      </c>
      <c r="Z228" t="s">
        <v>599</v>
      </c>
      <c r="AA228" t="s">
        <v>600</v>
      </c>
    </row>
    <row r="229" spans="1:27" ht="14.4" hidden="1" customHeight="1" x14ac:dyDescent="0.3">
      <c r="A229" s="4" t="s">
        <v>279</v>
      </c>
      <c r="B229" s="4" t="s">
        <v>17</v>
      </c>
      <c r="C229" s="16" t="s">
        <v>18</v>
      </c>
      <c r="D229" s="4">
        <v>11</v>
      </c>
      <c r="E229" s="4" t="s">
        <v>745</v>
      </c>
      <c r="F229" t="s">
        <v>466</v>
      </c>
      <c r="G229" t="s">
        <v>368</v>
      </c>
      <c r="H229" t="s">
        <v>369</v>
      </c>
      <c r="I229" t="s">
        <v>370</v>
      </c>
      <c r="J229" s="4" t="s">
        <v>88</v>
      </c>
      <c r="K229" s="4" t="s">
        <v>21</v>
      </c>
      <c r="L229" s="4" t="s">
        <v>742</v>
      </c>
      <c r="M229" s="17">
        <v>27</v>
      </c>
      <c r="N229" s="17">
        <v>1000</v>
      </c>
      <c r="O229" s="18" t="s">
        <v>88</v>
      </c>
      <c r="P229" s="18">
        <v>1000</v>
      </c>
      <c r="Q229" s="18">
        <v>27</v>
      </c>
      <c r="R229" s="18"/>
      <c r="S229" s="18"/>
      <c r="T229" s="18"/>
      <c r="U2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9" s="19">
        <f>IF(AUDITORIA[[#This Row],[CAT]]="",0,1)</f>
        <v>1</v>
      </c>
      <c r="W229" s="20">
        <v>46135</v>
      </c>
      <c r="X229" s="21" t="str">
        <f>UPPER(IF(AUDITORIA[[#This Row],[DATA VERIFICAÇÃO]]="","",TEXT(AUDITORIA[[#This Row],[DATA VERIFICAÇÃO]],"mmm")))</f>
        <v>ABR</v>
      </c>
      <c r="Y229" t="s">
        <v>598</v>
      </c>
      <c r="Z229" t="s">
        <v>599</v>
      </c>
      <c r="AA229" t="s">
        <v>600</v>
      </c>
    </row>
    <row r="230" spans="1:27" ht="14.4" hidden="1" customHeight="1" x14ac:dyDescent="0.3">
      <c r="A230" s="4" t="s">
        <v>279</v>
      </c>
      <c r="B230" s="4" t="s">
        <v>17</v>
      </c>
      <c r="C230" s="16" t="s">
        <v>18</v>
      </c>
      <c r="D230" s="4">
        <v>11</v>
      </c>
      <c r="E230" s="4" t="s">
        <v>745</v>
      </c>
      <c r="F230" t="s">
        <v>404</v>
      </c>
      <c r="G230" t="s">
        <v>368</v>
      </c>
      <c r="H230" t="s">
        <v>369</v>
      </c>
      <c r="I230" t="s">
        <v>370</v>
      </c>
      <c r="J230" s="4" t="s">
        <v>88</v>
      </c>
      <c r="K230" s="4" t="s">
        <v>21</v>
      </c>
      <c r="L230" s="4" t="s">
        <v>742</v>
      </c>
      <c r="M230" s="17">
        <v>24</v>
      </c>
      <c r="N230" s="17">
        <v>1019</v>
      </c>
      <c r="O230" s="18" t="s">
        <v>88</v>
      </c>
      <c r="P230" s="18">
        <v>1019</v>
      </c>
      <c r="Q230" s="18">
        <v>24</v>
      </c>
      <c r="R230" s="18"/>
      <c r="S230" s="18"/>
      <c r="T230" s="18"/>
      <c r="U2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0" s="19">
        <f>IF(AUDITORIA[[#This Row],[CAT]]="",0,1)</f>
        <v>1</v>
      </c>
      <c r="W230" s="20">
        <v>46135</v>
      </c>
      <c r="X230" s="21" t="str">
        <f>UPPER(IF(AUDITORIA[[#This Row],[DATA VERIFICAÇÃO]]="","",TEXT(AUDITORIA[[#This Row],[DATA VERIFICAÇÃO]],"mmm")))</f>
        <v>ABR</v>
      </c>
      <c r="Y230" t="s">
        <v>598</v>
      </c>
      <c r="Z230" t="s">
        <v>599</v>
      </c>
      <c r="AA230" t="s">
        <v>600</v>
      </c>
    </row>
    <row r="231" spans="1:27" ht="14.4" hidden="1" customHeight="1" x14ac:dyDescent="0.3">
      <c r="A231" s="4" t="s">
        <v>279</v>
      </c>
      <c r="B231" s="4" t="s">
        <v>17</v>
      </c>
      <c r="C231" s="16" t="s">
        <v>18</v>
      </c>
      <c r="D231" s="4">
        <v>11</v>
      </c>
      <c r="E231" s="4" t="s">
        <v>745</v>
      </c>
      <c r="F231" t="s">
        <v>371</v>
      </c>
      <c r="G231" t="s">
        <v>368</v>
      </c>
      <c r="H231" t="s">
        <v>369</v>
      </c>
      <c r="I231" t="s">
        <v>370</v>
      </c>
      <c r="J231" s="4" t="s">
        <v>88</v>
      </c>
      <c r="K231" s="4" t="s">
        <v>21</v>
      </c>
      <c r="L231" s="4" t="s">
        <v>742</v>
      </c>
      <c r="M231" s="17">
        <v>14</v>
      </c>
      <c r="N231" s="17">
        <v>955</v>
      </c>
      <c r="O231" s="18" t="s">
        <v>88</v>
      </c>
      <c r="P231" s="18">
        <v>955</v>
      </c>
      <c r="Q231" s="18">
        <v>14</v>
      </c>
      <c r="R231" s="18"/>
      <c r="S231" s="18"/>
      <c r="T231" s="18"/>
      <c r="U2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1" s="19">
        <f>IF(AUDITORIA[[#This Row],[CAT]]="",0,1)</f>
        <v>1</v>
      </c>
      <c r="W231" s="20">
        <v>46135</v>
      </c>
      <c r="X231" s="21" t="str">
        <f>UPPER(IF(AUDITORIA[[#This Row],[DATA VERIFICAÇÃO]]="","",TEXT(AUDITORIA[[#This Row],[DATA VERIFICAÇÃO]],"mmm")))</f>
        <v>ABR</v>
      </c>
      <c r="Y231" t="s">
        <v>598</v>
      </c>
      <c r="Z231" t="s">
        <v>599</v>
      </c>
      <c r="AA231" t="s">
        <v>600</v>
      </c>
    </row>
    <row r="232" spans="1:27" ht="14.4" hidden="1" customHeight="1" x14ac:dyDescent="0.3">
      <c r="A232" s="4" t="s">
        <v>279</v>
      </c>
      <c r="B232" s="4" t="s">
        <v>17</v>
      </c>
      <c r="C232" s="16" t="s">
        <v>18</v>
      </c>
      <c r="D232" s="4">
        <v>11</v>
      </c>
      <c r="E232" s="4" t="s">
        <v>745</v>
      </c>
      <c r="F232" t="s">
        <v>582</v>
      </c>
      <c r="G232" t="s">
        <v>368</v>
      </c>
      <c r="H232" t="s">
        <v>369</v>
      </c>
      <c r="I232" t="s">
        <v>370</v>
      </c>
      <c r="J232" s="4" t="s">
        <v>88</v>
      </c>
      <c r="K232" s="4" t="s">
        <v>21</v>
      </c>
      <c r="L232" s="4" t="s">
        <v>742</v>
      </c>
      <c r="M232" s="17">
        <v>30</v>
      </c>
      <c r="N232" s="17">
        <v>884</v>
      </c>
      <c r="O232" s="18" t="s">
        <v>88</v>
      </c>
      <c r="P232" s="18">
        <v>884</v>
      </c>
      <c r="Q232" s="18">
        <v>30</v>
      </c>
      <c r="R232" s="18"/>
      <c r="S232" s="18"/>
      <c r="T232" s="18"/>
      <c r="U2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2" s="19">
        <f>IF(AUDITORIA[[#This Row],[CAT]]="",0,1)</f>
        <v>1</v>
      </c>
      <c r="W232" s="20">
        <v>46135</v>
      </c>
      <c r="X232" s="21" t="str">
        <f>UPPER(IF(AUDITORIA[[#This Row],[DATA VERIFICAÇÃO]]="","",TEXT(AUDITORIA[[#This Row],[DATA VERIFICAÇÃO]],"mmm")))</f>
        <v>ABR</v>
      </c>
      <c r="Y232" t="s">
        <v>598</v>
      </c>
      <c r="Z232" t="s">
        <v>599</v>
      </c>
      <c r="AA232" t="s">
        <v>600</v>
      </c>
    </row>
    <row r="233" spans="1:27" ht="14.4" hidden="1" customHeight="1" x14ac:dyDescent="0.3">
      <c r="A233" s="4" t="s">
        <v>279</v>
      </c>
      <c r="B233" s="4" t="s">
        <v>17</v>
      </c>
      <c r="C233" s="16" t="s">
        <v>18</v>
      </c>
      <c r="D233" s="4">
        <v>11</v>
      </c>
      <c r="E233" s="4" t="s">
        <v>745</v>
      </c>
      <c r="F233" t="s">
        <v>585</v>
      </c>
      <c r="G233" t="s">
        <v>368</v>
      </c>
      <c r="H233" t="s">
        <v>369</v>
      </c>
      <c r="I233" t="s">
        <v>370</v>
      </c>
      <c r="J233" s="4" t="s">
        <v>88</v>
      </c>
      <c r="K233" s="4" t="s">
        <v>21</v>
      </c>
      <c r="L233" s="4" t="s">
        <v>742</v>
      </c>
      <c r="M233" s="17">
        <v>30</v>
      </c>
      <c r="N233" s="17">
        <v>859</v>
      </c>
      <c r="O233" s="18" t="s">
        <v>88</v>
      </c>
      <c r="P233" s="18">
        <v>859</v>
      </c>
      <c r="Q233" s="18">
        <v>30</v>
      </c>
      <c r="R233" s="18"/>
      <c r="S233" s="18"/>
      <c r="T233" s="18"/>
      <c r="U2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3" s="19">
        <f>IF(AUDITORIA[[#This Row],[CAT]]="",0,1)</f>
        <v>1</v>
      </c>
      <c r="W233" s="20">
        <v>46135</v>
      </c>
      <c r="X233" s="21" t="str">
        <f>UPPER(IF(AUDITORIA[[#This Row],[DATA VERIFICAÇÃO]]="","",TEXT(AUDITORIA[[#This Row],[DATA VERIFICAÇÃO]],"mmm")))</f>
        <v>ABR</v>
      </c>
      <c r="Y233" t="s">
        <v>598</v>
      </c>
      <c r="Z233" t="s">
        <v>599</v>
      </c>
      <c r="AA233" t="s">
        <v>600</v>
      </c>
    </row>
    <row r="234" spans="1:27" ht="14.4" hidden="1" customHeight="1" x14ac:dyDescent="0.3">
      <c r="A234" s="4" t="s">
        <v>279</v>
      </c>
      <c r="B234" s="4" t="s">
        <v>17</v>
      </c>
      <c r="C234" s="16" t="s">
        <v>18</v>
      </c>
      <c r="D234" s="4">
        <v>11</v>
      </c>
      <c r="E234" s="4" t="s">
        <v>745</v>
      </c>
      <c r="F234" t="s">
        <v>588</v>
      </c>
      <c r="G234" t="s">
        <v>368</v>
      </c>
      <c r="H234" t="s">
        <v>369</v>
      </c>
      <c r="I234" t="s">
        <v>370</v>
      </c>
      <c r="J234" s="4" t="s">
        <v>88</v>
      </c>
      <c r="K234" s="4" t="s">
        <v>21</v>
      </c>
      <c r="L234" s="4" t="s">
        <v>742</v>
      </c>
      <c r="M234" s="17">
        <v>30</v>
      </c>
      <c r="N234" s="17">
        <v>868</v>
      </c>
      <c r="O234" s="18" t="s">
        <v>88</v>
      </c>
      <c r="P234" s="18">
        <v>868</v>
      </c>
      <c r="Q234" s="18">
        <v>30</v>
      </c>
      <c r="R234" s="18"/>
      <c r="S234" s="18"/>
      <c r="T234" s="18"/>
      <c r="U2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4" s="19">
        <f>IF(AUDITORIA[[#This Row],[CAT]]="",0,1)</f>
        <v>1</v>
      </c>
      <c r="W234" s="20">
        <v>46135</v>
      </c>
      <c r="X234" s="21" t="str">
        <f>UPPER(IF(AUDITORIA[[#This Row],[DATA VERIFICAÇÃO]]="","",TEXT(AUDITORIA[[#This Row],[DATA VERIFICAÇÃO]],"mmm")))</f>
        <v>ABR</v>
      </c>
      <c r="Y234" t="s">
        <v>598</v>
      </c>
      <c r="Z234" t="s">
        <v>599</v>
      </c>
      <c r="AA234" t="s">
        <v>600</v>
      </c>
    </row>
    <row r="235" spans="1:27" ht="14.4" hidden="1" customHeight="1" x14ac:dyDescent="0.3">
      <c r="A235" s="4" t="s">
        <v>279</v>
      </c>
      <c r="B235" s="4" t="s">
        <v>17</v>
      </c>
      <c r="C235" s="16" t="s">
        <v>18</v>
      </c>
      <c r="D235" s="4">
        <v>11</v>
      </c>
      <c r="E235" s="4" t="s">
        <v>745</v>
      </c>
      <c r="F235" t="s">
        <v>586</v>
      </c>
      <c r="G235" t="s">
        <v>368</v>
      </c>
      <c r="H235" t="s">
        <v>369</v>
      </c>
      <c r="I235" t="s">
        <v>370</v>
      </c>
      <c r="J235" s="4" t="s">
        <v>88</v>
      </c>
      <c r="K235" s="4" t="s">
        <v>21</v>
      </c>
      <c r="L235" s="4" t="s">
        <v>742</v>
      </c>
      <c r="M235" s="17">
        <v>30</v>
      </c>
      <c r="N235" s="17">
        <v>861</v>
      </c>
      <c r="O235" s="18" t="s">
        <v>88</v>
      </c>
      <c r="P235" s="18">
        <v>861</v>
      </c>
      <c r="Q235" s="18">
        <v>30</v>
      </c>
      <c r="R235" s="18"/>
      <c r="S235" s="18"/>
      <c r="T235" s="18"/>
      <c r="U2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5" s="19">
        <f>IF(AUDITORIA[[#This Row],[CAT]]="",0,1)</f>
        <v>1</v>
      </c>
      <c r="W235" s="20">
        <v>46135</v>
      </c>
      <c r="X235" s="21" t="str">
        <f>UPPER(IF(AUDITORIA[[#This Row],[DATA VERIFICAÇÃO]]="","",TEXT(AUDITORIA[[#This Row],[DATA VERIFICAÇÃO]],"mmm")))</f>
        <v>ABR</v>
      </c>
      <c r="Y235" t="s">
        <v>598</v>
      </c>
      <c r="Z235" t="s">
        <v>599</v>
      </c>
      <c r="AA235" t="s">
        <v>600</v>
      </c>
    </row>
    <row r="236" spans="1:27" ht="14.4" hidden="1" customHeight="1" x14ac:dyDescent="0.3">
      <c r="A236" s="4" t="s">
        <v>279</v>
      </c>
      <c r="B236" s="4" t="s">
        <v>17</v>
      </c>
      <c r="C236" s="16" t="s">
        <v>18</v>
      </c>
      <c r="D236" s="4">
        <v>11</v>
      </c>
      <c r="E236" s="4" t="s">
        <v>745</v>
      </c>
      <c r="F236" t="s">
        <v>590</v>
      </c>
      <c r="G236" t="s">
        <v>368</v>
      </c>
      <c r="H236" t="s">
        <v>369</v>
      </c>
      <c r="I236" t="s">
        <v>370</v>
      </c>
      <c r="J236" s="4" t="s">
        <v>88</v>
      </c>
      <c r="K236" s="4" t="s">
        <v>21</v>
      </c>
      <c r="L236" s="4" t="s">
        <v>742</v>
      </c>
      <c r="M236" s="17">
        <v>30</v>
      </c>
      <c r="N236" s="17">
        <v>869</v>
      </c>
      <c r="O236" s="18" t="s">
        <v>88</v>
      </c>
      <c r="P236" s="18">
        <v>869</v>
      </c>
      <c r="Q236" s="18">
        <v>30</v>
      </c>
      <c r="R236" s="18"/>
      <c r="S236" s="18"/>
      <c r="T236" s="18"/>
      <c r="U2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6" s="19">
        <f>IF(AUDITORIA[[#This Row],[CAT]]="",0,1)</f>
        <v>1</v>
      </c>
      <c r="W236" s="20">
        <v>46135</v>
      </c>
      <c r="X236" s="21" t="str">
        <f>UPPER(IF(AUDITORIA[[#This Row],[DATA VERIFICAÇÃO]]="","",TEXT(AUDITORIA[[#This Row],[DATA VERIFICAÇÃO]],"mmm")))</f>
        <v>ABR</v>
      </c>
      <c r="Y236" t="s">
        <v>598</v>
      </c>
      <c r="Z236" t="s">
        <v>599</v>
      </c>
      <c r="AA236" t="s">
        <v>600</v>
      </c>
    </row>
    <row r="237" spans="1:27" ht="14.4" hidden="1" customHeight="1" x14ac:dyDescent="0.3">
      <c r="A237" s="4" t="s">
        <v>279</v>
      </c>
      <c r="B237" s="4" t="s">
        <v>17</v>
      </c>
      <c r="C237" s="16" t="s">
        <v>18</v>
      </c>
      <c r="D237" s="4">
        <v>11</v>
      </c>
      <c r="E237" s="4" t="s">
        <v>745</v>
      </c>
      <c r="F237" t="s">
        <v>496</v>
      </c>
      <c r="G237" t="s">
        <v>368</v>
      </c>
      <c r="H237" t="s">
        <v>369</v>
      </c>
      <c r="I237" t="s">
        <v>370</v>
      </c>
      <c r="J237" s="4" t="s">
        <v>88</v>
      </c>
      <c r="K237" s="4" t="s">
        <v>21</v>
      </c>
      <c r="L237" s="4" t="s">
        <v>742</v>
      </c>
      <c r="M237" s="17">
        <v>30</v>
      </c>
      <c r="N237" s="17">
        <v>880</v>
      </c>
      <c r="O237" s="18" t="s">
        <v>88</v>
      </c>
      <c r="P237" s="18">
        <v>880</v>
      </c>
      <c r="Q237" s="18">
        <v>30</v>
      </c>
      <c r="R237" s="18"/>
      <c r="S237" s="18"/>
      <c r="T237" s="18"/>
      <c r="U2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7" s="19">
        <f>IF(AUDITORIA[[#This Row],[CAT]]="",0,1)</f>
        <v>1</v>
      </c>
      <c r="W237" s="20">
        <v>46135</v>
      </c>
      <c r="X237" s="21" t="str">
        <f>UPPER(IF(AUDITORIA[[#This Row],[DATA VERIFICAÇÃO]]="","",TEXT(AUDITORIA[[#This Row],[DATA VERIFICAÇÃO]],"mmm")))</f>
        <v>ABR</v>
      </c>
      <c r="Y237" t="s">
        <v>598</v>
      </c>
      <c r="Z237" t="s">
        <v>599</v>
      </c>
      <c r="AA237" t="s">
        <v>600</v>
      </c>
    </row>
    <row r="238" spans="1:27" ht="14.4" hidden="1" customHeight="1" x14ac:dyDescent="0.3">
      <c r="A238" s="4" t="s">
        <v>279</v>
      </c>
      <c r="B238" s="4" t="s">
        <v>17</v>
      </c>
      <c r="C238" s="16" t="s">
        <v>18</v>
      </c>
      <c r="D238" s="4">
        <v>11</v>
      </c>
      <c r="E238" s="4" t="s">
        <v>745</v>
      </c>
      <c r="F238" t="s">
        <v>596</v>
      </c>
      <c r="G238" t="s">
        <v>368</v>
      </c>
      <c r="H238" t="s">
        <v>369</v>
      </c>
      <c r="I238" t="s">
        <v>370</v>
      </c>
      <c r="J238" s="4" t="s">
        <v>88</v>
      </c>
      <c r="K238" s="4" t="s">
        <v>21</v>
      </c>
      <c r="L238" s="4" t="s">
        <v>742</v>
      </c>
      <c r="M238" s="17">
        <v>30</v>
      </c>
      <c r="N238" s="17">
        <v>884</v>
      </c>
      <c r="O238" s="18" t="s">
        <v>88</v>
      </c>
      <c r="P238" s="18">
        <v>884</v>
      </c>
      <c r="Q238" s="18">
        <v>30</v>
      </c>
      <c r="R238" s="18"/>
      <c r="S238" s="18"/>
      <c r="T238" s="18"/>
      <c r="U2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8" s="19">
        <f>IF(AUDITORIA[[#This Row],[CAT]]="",0,1)</f>
        <v>1</v>
      </c>
      <c r="W238" s="20">
        <v>46135</v>
      </c>
      <c r="X238" s="21" t="str">
        <f>UPPER(IF(AUDITORIA[[#This Row],[DATA VERIFICAÇÃO]]="","",TEXT(AUDITORIA[[#This Row],[DATA VERIFICAÇÃO]],"mmm")))</f>
        <v>ABR</v>
      </c>
      <c r="Y238" t="s">
        <v>598</v>
      </c>
      <c r="Z238" t="s">
        <v>599</v>
      </c>
      <c r="AA238" t="s">
        <v>600</v>
      </c>
    </row>
    <row r="239" spans="1:27" ht="14.4" hidden="1" customHeight="1" x14ac:dyDescent="0.3">
      <c r="A239" s="4" t="s">
        <v>279</v>
      </c>
      <c r="B239" s="4" t="s">
        <v>17</v>
      </c>
      <c r="C239" s="16" t="s">
        <v>18</v>
      </c>
      <c r="D239" s="4">
        <v>11</v>
      </c>
      <c r="E239" s="4" t="s">
        <v>745</v>
      </c>
      <c r="F239" t="s">
        <v>595</v>
      </c>
      <c r="G239" t="s">
        <v>368</v>
      </c>
      <c r="H239" t="s">
        <v>369</v>
      </c>
      <c r="I239" t="s">
        <v>370</v>
      </c>
      <c r="J239" s="4" t="s">
        <v>88</v>
      </c>
      <c r="K239" s="4" t="s">
        <v>21</v>
      </c>
      <c r="L239" s="4" t="s">
        <v>742</v>
      </c>
      <c r="M239" s="17">
        <v>21</v>
      </c>
      <c r="N239" s="17">
        <v>884</v>
      </c>
      <c r="O239" s="18" t="s">
        <v>88</v>
      </c>
      <c r="P239" s="18">
        <v>884</v>
      </c>
      <c r="Q239" s="18">
        <v>21</v>
      </c>
      <c r="R239" s="18"/>
      <c r="S239" s="18"/>
      <c r="T239" s="18"/>
      <c r="U2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9" s="19">
        <f>IF(AUDITORIA[[#This Row],[CAT]]="",0,1)</f>
        <v>1</v>
      </c>
      <c r="W239" s="20">
        <v>46135</v>
      </c>
      <c r="X239" s="21" t="str">
        <f>UPPER(IF(AUDITORIA[[#This Row],[DATA VERIFICAÇÃO]]="","",TEXT(AUDITORIA[[#This Row],[DATA VERIFICAÇÃO]],"mmm")))</f>
        <v>ABR</v>
      </c>
      <c r="Y239" t="s">
        <v>598</v>
      </c>
      <c r="Z239" t="s">
        <v>599</v>
      </c>
      <c r="AA239" t="s">
        <v>600</v>
      </c>
    </row>
    <row r="240" spans="1:27" ht="14.4" hidden="1" customHeight="1" x14ac:dyDescent="0.3">
      <c r="A240" s="4" t="s">
        <v>279</v>
      </c>
      <c r="B240" s="4" t="s">
        <v>17</v>
      </c>
      <c r="C240" s="16" t="s">
        <v>18</v>
      </c>
      <c r="D240" s="4">
        <v>11</v>
      </c>
      <c r="E240" s="4" t="s">
        <v>745</v>
      </c>
      <c r="F240" t="s">
        <v>522</v>
      </c>
      <c r="G240" t="s">
        <v>514</v>
      </c>
      <c r="H240" t="s">
        <v>515</v>
      </c>
      <c r="I240" t="s">
        <v>516</v>
      </c>
      <c r="J240" s="4" t="s">
        <v>31</v>
      </c>
      <c r="K240" s="4" t="s">
        <v>20</v>
      </c>
      <c r="L240" s="4" t="s">
        <v>742</v>
      </c>
      <c r="M240" s="17">
        <v>30</v>
      </c>
      <c r="N240" s="17">
        <v>652</v>
      </c>
      <c r="O240" s="18" t="s">
        <v>31</v>
      </c>
      <c r="P240" s="18">
        <v>652</v>
      </c>
      <c r="Q240" s="18">
        <v>30</v>
      </c>
      <c r="R240" s="18"/>
      <c r="S240" s="18"/>
      <c r="T240" s="18"/>
      <c r="U2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0" s="19">
        <f>IF(AUDITORIA[[#This Row],[CAT]]="",0,1)</f>
        <v>1</v>
      </c>
      <c r="W240" s="20">
        <v>46135</v>
      </c>
      <c r="X240" s="21" t="str">
        <f>UPPER(IF(AUDITORIA[[#This Row],[DATA VERIFICAÇÃO]]="","",TEXT(AUDITORIA[[#This Row],[DATA VERIFICAÇÃO]],"mmm")))</f>
        <v>ABR</v>
      </c>
      <c r="Y240" t="s">
        <v>598</v>
      </c>
      <c r="Z240" t="s">
        <v>599</v>
      </c>
      <c r="AA240" t="s">
        <v>600</v>
      </c>
    </row>
    <row r="241" spans="1:27" ht="14.4" hidden="1" customHeight="1" x14ac:dyDescent="0.3">
      <c r="A241" s="4" t="s">
        <v>279</v>
      </c>
      <c r="B241" s="4" t="s">
        <v>17</v>
      </c>
      <c r="C241" s="16" t="s">
        <v>18</v>
      </c>
      <c r="D241" s="4">
        <v>11</v>
      </c>
      <c r="E241" s="4" t="s">
        <v>745</v>
      </c>
      <c r="F241" t="s">
        <v>520</v>
      </c>
      <c r="G241" t="s">
        <v>514</v>
      </c>
      <c r="H241" t="s">
        <v>515</v>
      </c>
      <c r="I241" t="s">
        <v>516</v>
      </c>
      <c r="J241" s="4" t="s">
        <v>31</v>
      </c>
      <c r="K241" s="4" t="s">
        <v>20</v>
      </c>
      <c r="L241" s="4" t="s">
        <v>742</v>
      </c>
      <c r="M241" s="17">
        <v>30</v>
      </c>
      <c r="N241" s="17">
        <v>656</v>
      </c>
      <c r="O241" s="18" t="s">
        <v>31</v>
      </c>
      <c r="P241" s="18">
        <v>656</v>
      </c>
      <c r="Q241" s="18">
        <v>30</v>
      </c>
      <c r="R241" s="18"/>
      <c r="S241" s="18"/>
      <c r="T241" s="18"/>
      <c r="U2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1" s="19">
        <f>IF(AUDITORIA[[#This Row],[CAT]]="",0,1)</f>
        <v>1</v>
      </c>
      <c r="W241" s="20">
        <v>46135</v>
      </c>
      <c r="X241" s="21" t="str">
        <f>UPPER(IF(AUDITORIA[[#This Row],[DATA VERIFICAÇÃO]]="","",TEXT(AUDITORIA[[#This Row],[DATA VERIFICAÇÃO]],"mmm")))</f>
        <v>ABR</v>
      </c>
      <c r="Y241" t="s">
        <v>598</v>
      </c>
      <c r="Z241" t="s">
        <v>599</v>
      </c>
      <c r="AA241" t="s">
        <v>600</v>
      </c>
    </row>
    <row r="242" spans="1:27" ht="14.4" hidden="1" customHeight="1" x14ac:dyDescent="0.3">
      <c r="A242" s="4" t="s">
        <v>279</v>
      </c>
      <c r="B242" s="4" t="s">
        <v>17</v>
      </c>
      <c r="C242" s="16" t="s">
        <v>18</v>
      </c>
      <c r="D242" s="4">
        <v>11</v>
      </c>
      <c r="E242" s="4" t="s">
        <v>745</v>
      </c>
      <c r="F242" t="s">
        <v>527</v>
      </c>
      <c r="G242" t="s">
        <v>514</v>
      </c>
      <c r="H242" t="s">
        <v>515</v>
      </c>
      <c r="I242" t="s">
        <v>516</v>
      </c>
      <c r="J242" s="4" t="s">
        <v>31</v>
      </c>
      <c r="K242" s="4" t="s">
        <v>20</v>
      </c>
      <c r="L242" s="4" t="s">
        <v>742</v>
      </c>
      <c r="M242" s="17">
        <v>30</v>
      </c>
      <c r="N242" s="17">
        <v>656</v>
      </c>
      <c r="O242" s="18" t="s">
        <v>31</v>
      </c>
      <c r="P242" s="18">
        <v>656</v>
      </c>
      <c r="Q242" s="18">
        <v>30</v>
      </c>
      <c r="R242" s="18"/>
      <c r="S242" s="18"/>
      <c r="T242" s="18"/>
      <c r="U2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2" s="19">
        <f>IF(AUDITORIA[[#This Row],[CAT]]="",0,1)</f>
        <v>1</v>
      </c>
      <c r="W242" s="20">
        <v>46135</v>
      </c>
      <c r="X242" s="21" t="str">
        <f>UPPER(IF(AUDITORIA[[#This Row],[DATA VERIFICAÇÃO]]="","",TEXT(AUDITORIA[[#This Row],[DATA VERIFICAÇÃO]],"mmm")))</f>
        <v>ABR</v>
      </c>
      <c r="Y242" t="s">
        <v>598</v>
      </c>
      <c r="Z242" t="s">
        <v>599</v>
      </c>
      <c r="AA242" t="s">
        <v>600</v>
      </c>
    </row>
    <row r="243" spans="1:27" ht="14.4" hidden="1" customHeight="1" x14ac:dyDescent="0.3">
      <c r="A243" s="4" t="s">
        <v>279</v>
      </c>
      <c r="B243" s="4" t="s">
        <v>17</v>
      </c>
      <c r="C243" s="16" t="s">
        <v>18</v>
      </c>
      <c r="D243" s="4">
        <v>11</v>
      </c>
      <c r="E243" s="4" t="s">
        <v>745</v>
      </c>
      <c r="F243" t="s">
        <v>526</v>
      </c>
      <c r="G243" t="s">
        <v>514</v>
      </c>
      <c r="H243" t="s">
        <v>515</v>
      </c>
      <c r="I243" t="s">
        <v>516</v>
      </c>
      <c r="J243" s="4" t="s">
        <v>31</v>
      </c>
      <c r="K243" s="4" t="s">
        <v>20</v>
      </c>
      <c r="L243" s="4" t="s">
        <v>742</v>
      </c>
      <c r="M243" s="17">
        <v>30</v>
      </c>
      <c r="N243" s="17">
        <v>658</v>
      </c>
      <c r="O243" s="18" t="s">
        <v>31</v>
      </c>
      <c r="P243" s="18">
        <v>658</v>
      </c>
      <c r="Q243" s="18">
        <v>30</v>
      </c>
      <c r="R243" s="18"/>
      <c r="S243" s="18"/>
      <c r="T243" s="18"/>
      <c r="U2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3" s="19">
        <f>IF(AUDITORIA[[#This Row],[CAT]]="",0,1)</f>
        <v>1</v>
      </c>
      <c r="W243" s="20">
        <v>46135</v>
      </c>
      <c r="X243" s="21" t="str">
        <f>UPPER(IF(AUDITORIA[[#This Row],[DATA VERIFICAÇÃO]]="","",TEXT(AUDITORIA[[#This Row],[DATA VERIFICAÇÃO]],"mmm")))</f>
        <v>ABR</v>
      </c>
      <c r="Y243" t="s">
        <v>598</v>
      </c>
      <c r="Z243" t="s">
        <v>599</v>
      </c>
      <c r="AA243" t="s">
        <v>600</v>
      </c>
    </row>
    <row r="244" spans="1:27" ht="14.4" hidden="1" customHeight="1" x14ac:dyDescent="0.3">
      <c r="A244" s="4" t="s">
        <v>279</v>
      </c>
      <c r="B244" s="4" t="s">
        <v>17</v>
      </c>
      <c r="C244" s="16" t="s">
        <v>18</v>
      </c>
      <c r="D244" s="4">
        <v>11</v>
      </c>
      <c r="E244" s="4" t="s">
        <v>745</v>
      </c>
      <c r="F244" t="s">
        <v>532</v>
      </c>
      <c r="G244" t="s">
        <v>514</v>
      </c>
      <c r="H244" t="s">
        <v>515</v>
      </c>
      <c r="I244" t="s">
        <v>516</v>
      </c>
      <c r="J244" s="4" t="s">
        <v>31</v>
      </c>
      <c r="K244" s="4" t="s">
        <v>20</v>
      </c>
      <c r="L244" s="4" t="s">
        <v>742</v>
      </c>
      <c r="M244" s="17">
        <v>18</v>
      </c>
      <c r="N244" s="17">
        <v>640</v>
      </c>
      <c r="O244" s="18" t="s">
        <v>31</v>
      </c>
      <c r="P244" s="18">
        <v>640</v>
      </c>
      <c r="Q244" s="18">
        <v>18</v>
      </c>
      <c r="R244" s="18"/>
      <c r="S244" s="18"/>
      <c r="T244" s="18"/>
      <c r="U2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4" s="19">
        <f>IF(AUDITORIA[[#This Row],[CAT]]="",0,1)</f>
        <v>1</v>
      </c>
      <c r="W244" s="20">
        <v>46135</v>
      </c>
      <c r="X244" s="21" t="str">
        <f>UPPER(IF(AUDITORIA[[#This Row],[DATA VERIFICAÇÃO]]="","",TEXT(AUDITORIA[[#This Row],[DATA VERIFICAÇÃO]],"mmm")))</f>
        <v>ABR</v>
      </c>
      <c r="Y244" t="s">
        <v>598</v>
      </c>
      <c r="Z244" t="s">
        <v>599</v>
      </c>
      <c r="AA244" t="s">
        <v>600</v>
      </c>
    </row>
    <row r="245" spans="1:27" ht="14.4" hidden="1" customHeight="1" x14ac:dyDescent="0.3">
      <c r="A245" s="4" t="s">
        <v>279</v>
      </c>
      <c r="B245" s="4" t="s">
        <v>17</v>
      </c>
      <c r="C245" s="16" t="s">
        <v>18</v>
      </c>
      <c r="D245" s="4">
        <v>11</v>
      </c>
      <c r="E245" s="4" t="s">
        <v>745</v>
      </c>
      <c r="F245" t="s">
        <v>513</v>
      </c>
      <c r="G245" t="s">
        <v>514</v>
      </c>
      <c r="H245" t="s">
        <v>515</v>
      </c>
      <c r="I245" t="s">
        <v>516</v>
      </c>
      <c r="J245" s="4" t="s">
        <v>31</v>
      </c>
      <c r="K245" s="4" t="s">
        <v>21</v>
      </c>
      <c r="L245" s="4" t="s">
        <v>742</v>
      </c>
      <c r="M245" s="17">
        <v>30</v>
      </c>
      <c r="N245" s="17">
        <v>809</v>
      </c>
      <c r="O245" s="18" t="s">
        <v>31</v>
      </c>
      <c r="P245" s="18">
        <v>809</v>
      </c>
      <c r="Q245" s="18">
        <v>30</v>
      </c>
      <c r="R245" s="18"/>
      <c r="S245" s="18"/>
      <c r="T245" s="18"/>
      <c r="U2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5" s="19">
        <f>IF(AUDITORIA[[#This Row],[CAT]]="",0,1)</f>
        <v>1</v>
      </c>
      <c r="W245" s="20">
        <v>46135</v>
      </c>
      <c r="X245" s="21" t="str">
        <f>UPPER(IF(AUDITORIA[[#This Row],[DATA VERIFICAÇÃO]]="","",TEXT(AUDITORIA[[#This Row],[DATA VERIFICAÇÃO]],"mmm")))</f>
        <v>ABR</v>
      </c>
      <c r="Y245" t="s">
        <v>598</v>
      </c>
      <c r="Z245" t="s">
        <v>599</v>
      </c>
      <c r="AA245" t="s">
        <v>600</v>
      </c>
    </row>
    <row r="246" spans="1:27" ht="14.4" hidden="1" customHeight="1" x14ac:dyDescent="0.3">
      <c r="A246" s="4" t="s">
        <v>279</v>
      </c>
      <c r="B246" s="4" t="s">
        <v>17</v>
      </c>
      <c r="C246" s="16" t="s">
        <v>18</v>
      </c>
      <c r="D246" s="4">
        <v>11</v>
      </c>
      <c r="E246" s="4" t="s">
        <v>745</v>
      </c>
      <c r="F246" t="s">
        <v>528</v>
      </c>
      <c r="G246" t="s">
        <v>514</v>
      </c>
      <c r="H246" t="s">
        <v>515</v>
      </c>
      <c r="I246" t="s">
        <v>516</v>
      </c>
      <c r="J246" s="4" t="s">
        <v>31</v>
      </c>
      <c r="K246" s="4" t="s">
        <v>21</v>
      </c>
      <c r="L246" s="4" t="s">
        <v>742</v>
      </c>
      <c r="M246" s="17">
        <v>30</v>
      </c>
      <c r="N246" s="17">
        <v>801</v>
      </c>
      <c r="O246" s="18" t="s">
        <v>31</v>
      </c>
      <c r="P246" s="18">
        <v>801</v>
      </c>
      <c r="Q246" s="18">
        <v>30</v>
      </c>
      <c r="R246" s="18"/>
      <c r="S246" s="18"/>
      <c r="T246" s="18"/>
      <c r="U2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6" s="19">
        <f>IF(AUDITORIA[[#This Row],[CAT]]="",0,1)</f>
        <v>1</v>
      </c>
      <c r="W246" s="20">
        <v>46135</v>
      </c>
      <c r="X246" s="21" t="str">
        <f>UPPER(IF(AUDITORIA[[#This Row],[DATA VERIFICAÇÃO]]="","",TEXT(AUDITORIA[[#This Row],[DATA VERIFICAÇÃO]],"mmm")))</f>
        <v>ABR</v>
      </c>
      <c r="Y246" t="s">
        <v>598</v>
      </c>
      <c r="Z246" t="s">
        <v>599</v>
      </c>
      <c r="AA246" t="s">
        <v>600</v>
      </c>
    </row>
    <row r="247" spans="1:27" ht="14.4" hidden="1" customHeight="1" x14ac:dyDescent="0.3">
      <c r="A247" s="4" t="s">
        <v>279</v>
      </c>
      <c r="B247" s="4" t="s">
        <v>17</v>
      </c>
      <c r="C247" s="16" t="s">
        <v>18</v>
      </c>
      <c r="D247" s="4">
        <v>11</v>
      </c>
      <c r="E247" s="4" t="s">
        <v>745</v>
      </c>
      <c r="F247" t="s">
        <v>525</v>
      </c>
      <c r="G247" t="s">
        <v>514</v>
      </c>
      <c r="H247" t="s">
        <v>515</v>
      </c>
      <c r="I247" t="s">
        <v>516</v>
      </c>
      <c r="J247" s="4" t="s">
        <v>31</v>
      </c>
      <c r="K247" s="4" t="s">
        <v>21</v>
      </c>
      <c r="L247" s="4" t="s">
        <v>742</v>
      </c>
      <c r="M247" s="17">
        <v>30</v>
      </c>
      <c r="N247" s="17">
        <v>826</v>
      </c>
      <c r="O247" s="18" t="s">
        <v>31</v>
      </c>
      <c r="P247" s="18">
        <v>826</v>
      </c>
      <c r="Q247" s="18">
        <v>30</v>
      </c>
      <c r="R247" s="18"/>
      <c r="S247" s="18"/>
      <c r="T247" s="18"/>
      <c r="U2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7" s="19">
        <f>IF(AUDITORIA[[#This Row],[CAT]]="",0,1)</f>
        <v>1</v>
      </c>
      <c r="W247" s="20">
        <v>46135</v>
      </c>
      <c r="X247" s="21" t="str">
        <f>UPPER(IF(AUDITORIA[[#This Row],[DATA VERIFICAÇÃO]]="","",TEXT(AUDITORIA[[#This Row],[DATA VERIFICAÇÃO]],"mmm")))</f>
        <v>ABR</v>
      </c>
      <c r="Y247" t="s">
        <v>598</v>
      </c>
      <c r="Z247" t="s">
        <v>599</v>
      </c>
      <c r="AA247" t="s">
        <v>600</v>
      </c>
    </row>
    <row r="248" spans="1:27" ht="14.4" hidden="1" customHeight="1" x14ac:dyDescent="0.3">
      <c r="A248" s="4" t="s">
        <v>279</v>
      </c>
      <c r="B248" s="4" t="s">
        <v>17</v>
      </c>
      <c r="C248" s="16" t="s">
        <v>18</v>
      </c>
      <c r="D248" s="4">
        <v>11</v>
      </c>
      <c r="E248" s="4" t="s">
        <v>745</v>
      </c>
      <c r="F248" t="s">
        <v>531</v>
      </c>
      <c r="G248" t="s">
        <v>514</v>
      </c>
      <c r="H248" t="s">
        <v>515</v>
      </c>
      <c r="I248" t="s">
        <v>516</v>
      </c>
      <c r="J248" s="4" t="s">
        <v>31</v>
      </c>
      <c r="K248" s="4" t="s">
        <v>21</v>
      </c>
      <c r="L248" s="4" t="s">
        <v>742</v>
      </c>
      <c r="M248" s="17">
        <v>1</v>
      </c>
      <c r="N248" s="17">
        <v>794</v>
      </c>
      <c r="O248" s="18" t="s">
        <v>31</v>
      </c>
      <c r="P248" s="18">
        <v>794</v>
      </c>
      <c r="Q248" s="18">
        <v>1</v>
      </c>
      <c r="R248" s="18"/>
      <c r="S248" s="18"/>
      <c r="T248" s="18"/>
      <c r="U2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8" s="19">
        <f>IF(AUDITORIA[[#This Row],[CAT]]="",0,1)</f>
        <v>1</v>
      </c>
      <c r="W248" s="20">
        <v>46135</v>
      </c>
      <c r="X248" s="21" t="str">
        <f>UPPER(IF(AUDITORIA[[#This Row],[DATA VERIFICAÇÃO]]="","",TEXT(AUDITORIA[[#This Row],[DATA VERIFICAÇÃO]],"mmm")))</f>
        <v>ABR</v>
      </c>
      <c r="Y248" t="s">
        <v>598</v>
      </c>
      <c r="Z248" t="s">
        <v>599</v>
      </c>
      <c r="AA248" t="s">
        <v>600</v>
      </c>
    </row>
    <row r="249" spans="1:27" ht="14.4" hidden="1" customHeight="1" x14ac:dyDescent="0.3">
      <c r="A249" s="4" t="s">
        <v>279</v>
      </c>
      <c r="B249" s="4" t="s">
        <v>17</v>
      </c>
      <c r="C249" s="16" t="s">
        <v>18</v>
      </c>
      <c r="D249" s="4">
        <v>11</v>
      </c>
      <c r="E249" s="4" t="s">
        <v>745</v>
      </c>
      <c r="F249" t="s">
        <v>483</v>
      </c>
      <c r="G249" t="s">
        <v>66</v>
      </c>
      <c r="H249" t="s">
        <v>67</v>
      </c>
      <c r="I249" t="s">
        <v>68</v>
      </c>
      <c r="J249" s="4" t="s">
        <v>55</v>
      </c>
      <c r="K249" s="4" t="s">
        <v>20</v>
      </c>
      <c r="L249" s="4" t="s">
        <v>742</v>
      </c>
      <c r="M249" s="17">
        <v>30</v>
      </c>
      <c r="N249" s="17">
        <v>792</v>
      </c>
      <c r="O249" s="18" t="s">
        <v>55</v>
      </c>
      <c r="P249" s="18">
        <v>792</v>
      </c>
      <c r="Q249" s="18">
        <v>30</v>
      </c>
      <c r="R249" s="18"/>
      <c r="S249" s="18"/>
      <c r="T249" s="18"/>
      <c r="U2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9" s="19">
        <f>IF(AUDITORIA[[#This Row],[CAT]]="",0,1)</f>
        <v>1</v>
      </c>
      <c r="W249" s="20">
        <v>46135</v>
      </c>
      <c r="X249" s="21" t="str">
        <f>UPPER(IF(AUDITORIA[[#This Row],[DATA VERIFICAÇÃO]]="","",TEXT(AUDITORIA[[#This Row],[DATA VERIFICAÇÃO]],"mmm")))</f>
        <v>ABR</v>
      </c>
      <c r="Y249" t="s">
        <v>598</v>
      </c>
      <c r="Z249" t="s">
        <v>599</v>
      </c>
      <c r="AA249" t="s">
        <v>600</v>
      </c>
    </row>
    <row r="250" spans="1:27" ht="14.4" hidden="1" customHeight="1" x14ac:dyDescent="0.3">
      <c r="A250" s="4" t="s">
        <v>279</v>
      </c>
      <c r="B250" s="4" t="s">
        <v>17</v>
      </c>
      <c r="C250" s="16" t="s">
        <v>18</v>
      </c>
      <c r="D250" s="4">
        <v>11</v>
      </c>
      <c r="E250" s="4" t="s">
        <v>745</v>
      </c>
      <c r="F250" t="s">
        <v>481</v>
      </c>
      <c r="G250" t="s">
        <v>66</v>
      </c>
      <c r="H250" t="s">
        <v>67</v>
      </c>
      <c r="I250" t="s">
        <v>68</v>
      </c>
      <c r="J250" s="4" t="s">
        <v>55</v>
      </c>
      <c r="K250" s="4" t="s">
        <v>20</v>
      </c>
      <c r="L250" s="4" t="s">
        <v>742</v>
      </c>
      <c r="M250" s="17">
        <v>30</v>
      </c>
      <c r="N250" s="17">
        <v>775</v>
      </c>
      <c r="O250" s="18" t="s">
        <v>55</v>
      </c>
      <c r="P250" s="18">
        <v>775</v>
      </c>
      <c r="Q250" s="18">
        <v>30</v>
      </c>
      <c r="R250" s="18"/>
      <c r="S250" s="18"/>
      <c r="T250" s="18"/>
      <c r="U2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0" s="19">
        <f>IF(AUDITORIA[[#This Row],[CAT]]="",0,1)</f>
        <v>1</v>
      </c>
      <c r="W250" s="20">
        <v>46135</v>
      </c>
      <c r="X250" s="21" t="str">
        <f>UPPER(IF(AUDITORIA[[#This Row],[DATA VERIFICAÇÃO]]="","",TEXT(AUDITORIA[[#This Row],[DATA VERIFICAÇÃO]],"mmm")))</f>
        <v>ABR</v>
      </c>
      <c r="Y250" t="s">
        <v>598</v>
      </c>
      <c r="Z250" t="s">
        <v>599</v>
      </c>
      <c r="AA250" t="s">
        <v>600</v>
      </c>
    </row>
    <row r="251" spans="1:27" ht="14.4" hidden="1" customHeight="1" x14ac:dyDescent="0.3">
      <c r="A251" s="4" t="s">
        <v>279</v>
      </c>
      <c r="B251" s="4" t="s">
        <v>17</v>
      </c>
      <c r="C251" s="16" t="s">
        <v>18</v>
      </c>
      <c r="D251" s="4">
        <v>11</v>
      </c>
      <c r="E251" s="4" t="s">
        <v>745</v>
      </c>
      <c r="F251" t="s">
        <v>479</v>
      </c>
      <c r="G251" t="s">
        <v>66</v>
      </c>
      <c r="H251" t="s">
        <v>67</v>
      </c>
      <c r="I251" t="s">
        <v>68</v>
      </c>
      <c r="J251" s="4" t="s">
        <v>55</v>
      </c>
      <c r="K251" s="4" t="s">
        <v>20</v>
      </c>
      <c r="L251" s="4" t="s">
        <v>742</v>
      </c>
      <c r="M251" s="17">
        <v>30</v>
      </c>
      <c r="N251" s="17">
        <v>818</v>
      </c>
      <c r="O251" s="18" t="s">
        <v>55</v>
      </c>
      <c r="P251" s="18">
        <v>818</v>
      </c>
      <c r="Q251" s="18">
        <v>30</v>
      </c>
      <c r="R251" s="18"/>
      <c r="S251" s="18"/>
      <c r="T251" s="18"/>
      <c r="U2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1" s="19">
        <f>IF(AUDITORIA[[#This Row],[CAT]]="",0,1)</f>
        <v>1</v>
      </c>
      <c r="W251" s="20">
        <v>46135</v>
      </c>
      <c r="X251" s="21" t="str">
        <f>UPPER(IF(AUDITORIA[[#This Row],[DATA VERIFICAÇÃO]]="","",TEXT(AUDITORIA[[#This Row],[DATA VERIFICAÇÃO]],"mmm")))</f>
        <v>ABR</v>
      </c>
      <c r="Y251" t="s">
        <v>598</v>
      </c>
      <c r="Z251" t="s">
        <v>599</v>
      </c>
      <c r="AA251" t="s">
        <v>600</v>
      </c>
    </row>
    <row r="252" spans="1:27" ht="14.4" hidden="1" customHeight="1" x14ac:dyDescent="0.3">
      <c r="A252" s="4" t="s">
        <v>279</v>
      </c>
      <c r="B252" s="4" t="s">
        <v>17</v>
      </c>
      <c r="C252" s="16" t="s">
        <v>18</v>
      </c>
      <c r="D252" s="4">
        <v>11</v>
      </c>
      <c r="E252" s="4" t="s">
        <v>745</v>
      </c>
      <c r="F252" t="s">
        <v>412</v>
      </c>
      <c r="G252" t="s">
        <v>66</v>
      </c>
      <c r="H252" t="s">
        <v>67</v>
      </c>
      <c r="I252" t="s">
        <v>68</v>
      </c>
      <c r="J252" s="4" t="s">
        <v>55</v>
      </c>
      <c r="K252" s="4" t="s">
        <v>20</v>
      </c>
      <c r="L252" s="4" t="s">
        <v>742</v>
      </c>
      <c r="M252" s="17">
        <v>30</v>
      </c>
      <c r="N252" s="17">
        <v>806</v>
      </c>
      <c r="O252" s="18" t="s">
        <v>55</v>
      </c>
      <c r="P252" s="18">
        <v>806</v>
      </c>
      <c r="Q252" s="18">
        <v>30</v>
      </c>
      <c r="R252" s="18"/>
      <c r="S252" s="18"/>
      <c r="T252" s="18"/>
      <c r="U2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2" s="19">
        <f>IF(AUDITORIA[[#This Row],[CAT]]="",0,1)</f>
        <v>1</v>
      </c>
      <c r="W252" s="20">
        <v>46135</v>
      </c>
      <c r="X252" s="21" t="str">
        <f>UPPER(IF(AUDITORIA[[#This Row],[DATA VERIFICAÇÃO]]="","",TEXT(AUDITORIA[[#This Row],[DATA VERIFICAÇÃO]],"mmm")))</f>
        <v>ABR</v>
      </c>
      <c r="Y252" t="s">
        <v>598</v>
      </c>
      <c r="Z252" t="s">
        <v>599</v>
      </c>
      <c r="AA252" t="s">
        <v>600</v>
      </c>
    </row>
    <row r="253" spans="1:27" ht="14.4" hidden="1" customHeight="1" x14ac:dyDescent="0.3">
      <c r="A253" s="4" t="s">
        <v>279</v>
      </c>
      <c r="B253" s="4" t="s">
        <v>17</v>
      </c>
      <c r="C253" s="16" t="s">
        <v>18</v>
      </c>
      <c r="D253" s="4">
        <v>11</v>
      </c>
      <c r="E253" s="4" t="s">
        <v>745</v>
      </c>
      <c r="F253" t="s">
        <v>418</v>
      </c>
      <c r="G253" t="s">
        <v>66</v>
      </c>
      <c r="H253" t="s">
        <v>67</v>
      </c>
      <c r="I253" t="s">
        <v>68</v>
      </c>
      <c r="J253" s="4" t="s">
        <v>55</v>
      </c>
      <c r="K253" s="4" t="s">
        <v>20</v>
      </c>
      <c r="L253" s="4" t="s">
        <v>742</v>
      </c>
      <c r="M253" s="17">
        <v>30</v>
      </c>
      <c r="N253" s="17">
        <v>800</v>
      </c>
      <c r="O253" s="18" t="s">
        <v>55</v>
      </c>
      <c r="P253" s="18">
        <v>800</v>
      </c>
      <c r="Q253" s="18">
        <v>30</v>
      </c>
      <c r="R253" s="18"/>
      <c r="S253" s="18"/>
      <c r="T253" s="18"/>
      <c r="U2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3" s="19">
        <f>IF(AUDITORIA[[#This Row],[CAT]]="",0,1)</f>
        <v>1</v>
      </c>
      <c r="W253" s="20">
        <v>46135</v>
      </c>
      <c r="X253" s="21" t="str">
        <f>UPPER(IF(AUDITORIA[[#This Row],[DATA VERIFICAÇÃO]]="","",TEXT(AUDITORIA[[#This Row],[DATA VERIFICAÇÃO]],"mmm")))</f>
        <v>ABR</v>
      </c>
      <c r="Y253" t="s">
        <v>598</v>
      </c>
      <c r="Z253" t="s">
        <v>599</v>
      </c>
      <c r="AA253" t="s">
        <v>600</v>
      </c>
    </row>
    <row r="254" spans="1:27" ht="14.4" hidden="1" customHeight="1" x14ac:dyDescent="0.3">
      <c r="A254" s="4" t="s">
        <v>279</v>
      </c>
      <c r="B254" s="4" t="s">
        <v>17</v>
      </c>
      <c r="C254" s="16" t="s">
        <v>18</v>
      </c>
      <c r="D254" s="4">
        <v>11</v>
      </c>
      <c r="E254" s="4" t="s">
        <v>745</v>
      </c>
      <c r="F254" t="s">
        <v>414</v>
      </c>
      <c r="G254" t="s">
        <v>66</v>
      </c>
      <c r="H254" t="s">
        <v>67</v>
      </c>
      <c r="I254" t="s">
        <v>68</v>
      </c>
      <c r="J254" s="4" t="s">
        <v>55</v>
      </c>
      <c r="K254" s="4" t="s">
        <v>20</v>
      </c>
      <c r="L254" s="4" t="s">
        <v>742</v>
      </c>
      <c r="M254" s="17">
        <v>30</v>
      </c>
      <c r="N254" s="17">
        <v>803</v>
      </c>
      <c r="O254" s="18" t="s">
        <v>55</v>
      </c>
      <c r="P254" s="18">
        <v>803</v>
      </c>
      <c r="Q254" s="18">
        <v>30</v>
      </c>
      <c r="R254" s="18"/>
      <c r="S254" s="18"/>
      <c r="T254" s="18"/>
      <c r="U2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4" s="19">
        <f>IF(AUDITORIA[[#This Row],[CAT]]="",0,1)</f>
        <v>1</v>
      </c>
      <c r="W254" s="20">
        <v>46135</v>
      </c>
      <c r="X254" s="21" t="str">
        <f>UPPER(IF(AUDITORIA[[#This Row],[DATA VERIFICAÇÃO]]="","",TEXT(AUDITORIA[[#This Row],[DATA VERIFICAÇÃO]],"mmm")))</f>
        <v>ABR</v>
      </c>
      <c r="Y254" t="s">
        <v>598</v>
      </c>
      <c r="Z254" t="s">
        <v>599</v>
      </c>
      <c r="AA254" t="s">
        <v>600</v>
      </c>
    </row>
    <row r="255" spans="1:27" ht="14.4" hidden="1" customHeight="1" x14ac:dyDescent="0.3">
      <c r="A255" s="4" t="s">
        <v>279</v>
      </c>
      <c r="B255" s="4" t="s">
        <v>17</v>
      </c>
      <c r="C255" s="16" t="s">
        <v>18</v>
      </c>
      <c r="D255" s="4">
        <v>11</v>
      </c>
      <c r="E255" s="4" t="s">
        <v>745</v>
      </c>
      <c r="F255" t="s">
        <v>409</v>
      </c>
      <c r="G255" t="s">
        <v>66</v>
      </c>
      <c r="H255" t="s">
        <v>67</v>
      </c>
      <c r="I255" t="s">
        <v>68</v>
      </c>
      <c r="J255" s="4" t="s">
        <v>55</v>
      </c>
      <c r="K255" s="4" t="s">
        <v>20</v>
      </c>
      <c r="L255" s="4" t="s">
        <v>742</v>
      </c>
      <c r="M255" s="17">
        <v>30</v>
      </c>
      <c r="N255" s="17">
        <v>801</v>
      </c>
      <c r="O255" s="18" t="s">
        <v>55</v>
      </c>
      <c r="P255" s="18">
        <v>801</v>
      </c>
      <c r="Q255" s="18">
        <v>30</v>
      </c>
      <c r="R255" s="18"/>
      <c r="S255" s="18"/>
      <c r="T255" s="18"/>
      <c r="U2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5" s="19">
        <f>IF(AUDITORIA[[#This Row],[CAT]]="",0,1)</f>
        <v>1</v>
      </c>
      <c r="W255" s="20">
        <v>46135</v>
      </c>
      <c r="X255" s="21" t="str">
        <f>UPPER(IF(AUDITORIA[[#This Row],[DATA VERIFICAÇÃO]]="","",TEXT(AUDITORIA[[#This Row],[DATA VERIFICAÇÃO]],"mmm")))</f>
        <v>ABR</v>
      </c>
      <c r="Y255" t="s">
        <v>598</v>
      </c>
      <c r="Z255" t="s">
        <v>599</v>
      </c>
      <c r="AA255" t="s">
        <v>600</v>
      </c>
    </row>
    <row r="256" spans="1:27" ht="14.4" hidden="1" customHeight="1" x14ac:dyDescent="0.3">
      <c r="A256" s="4" t="s">
        <v>279</v>
      </c>
      <c r="B256" s="4" t="s">
        <v>17</v>
      </c>
      <c r="C256" s="16" t="s">
        <v>18</v>
      </c>
      <c r="D256" s="4">
        <v>11</v>
      </c>
      <c r="E256" s="4" t="s">
        <v>745</v>
      </c>
      <c r="F256" t="s">
        <v>396</v>
      </c>
      <c r="G256" t="s">
        <v>66</v>
      </c>
      <c r="H256" t="s">
        <v>67</v>
      </c>
      <c r="I256" t="s">
        <v>68</v>
      </c>
      <c r="J256" s="4" t="s">
        <v>55</v>
      </c>
      <c r="K256" s="4" t="s">
        <v>20</v>
      </c>
      <c r="L256" s="4" t="s">
        <v>742</v>
      </c>
      <c r="M256" s="17">
        <v>30</v>
      </c>
      <c r="N256" s="17">
        <v>810</v>
      </c>
      <c r="O256" s="18" t="s">
        <v>55</v>
      </c>
      <c r="P256" s="18">
        <v>810</v>
      </c>
      <c r="Q256" s="18">
        <v>30</v>
      </c>
      <c r="R256" s="18"/>
      <c r="S256" s="18"/>
      <c r="T256" s="18"/>
      <c r="U2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6" s="19">
        <f>IF(AUDITORIA[[#This Row],[CAT]]="",0,1)</f>
        <v>1</v>
      </c>
      <c r="W256" s="20">
        <v>46135</v>
      </c>
      <c r="X256" s="21" t="str">
        <f>UPPER(IF(AUDITORIA[[#This Row],[DATA VERIFICAÇÃO]]="","",TEXT(AUDITORIA[[#This Row],[DATA VERIFICAÇÃO]],"mmm")))</f>
        <v>ABR</v>
      </c>
      <c r="Y256" t="s">
        <v>598</v>
      </c>
      <c r="Z256" t="s">
        <v>599</v>
      </c>
      <c r="AA256" t="s">
        <v>600</v>
      </c>
    </row>
    <row r="257" spans="1:27" ht="14.4" hidden="1" customHeight="1" x14ac:dyDescent="0.3">
      <c r="A257" s="4" t="s">
        <v>279</v>
      </c>
      <c r="B257" s="4" t="s">
        <v>17</v>
      </c>
      <c r="C257" s="16" t="s">
        <v>18</v>
      </c>
      <c r="D257" s="4">
        <v>11</v>
      </c>
      <c r="E257" s="4" t="s">
        <v>745</v>
      </c>
      <c r="F257" t="s">
        <v>394</v>
      </c>
      <c r="G257" t="s">
        <v>66</v>
      </c>
      <c r="H257" t="s">
        <v>67</v>
      </c>
      <c r="I257" t="s">
        <v>68</v>
      </c>
      <c r="J257" s="4" t="s">
        <v>55</v>
      </c>
      <c r="K257" s="4" t="s">
        <v>20</v>
      </c>
      <c r="L257" s="4" t="s">
        <v>742</v>
      </c>
      <c r="M257" s="17">
        <v>30</v>
      </c>
      <c r="N257" s="17">
        <v>811</v>
      </c>
      <c r="O257" s="18" t="s">
        <v>55</v>
      </c>
      <c r="P257" s="18">
        <v>811</v>
      </c>
      <c r="Q257" s="18">
        <v>30</v>
      </c>
      <c r="R257" s="18"/>
      <c r="S257" s="18"/>
      <c r="T257" s="18"/>
      <c r="U2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7" s="19">
        <f>IF(AUDITORIA[[#This Row],[CAT]]="",0,1)</f>
        <v>1</v>
      </c>
      <c r="W257" s="20">
        <v>46135</v>
      </c>
      <c r="X257" s="21" t="str">
        <f>UPPER(IF(AUDITORIA[[#This Row],[DATA VERIFICAÇÃO]]="","",TEXT(AUDITORIA[[#This Row],[DATA VERIFICAÇÃO]],"mmm")))</f>
        <v>ABR</v>
      </c>
      <c r="Y257" t="s">
        <v>598</v>
      </c>
      <c r="Z257" t="s">
        <v>599</v>
      </c>
      <c r="AA257" t="s">
        <v>600</v>
      </c>
    </row>
    <row r="258" spans="1:27" ht="14.4" hidden="1" customHeight="1" x14ac:dyDescent="0.3">
      <c r="A258" s="4" t="s">
        <v>279</v>
      </c>
      <c r="B258" s="4" t="s">
        <v>17</v>
      </c>
      <c r="C258" s="16" t="s">
        <v>18</v>
      </c>
      <c r="D258" s="4">
        <v>11</v>
      </c>
      <c r="E258" s="4" t="s">
        <v>745</v>
      </c>
      <c r="F258" t="s">
        <v>390</v>
      </c>
      <c r="G258" t="s">
        <v>66</v>
      </c>
      <c r="H258" t="s">
        <v>67</v>
      </c>
      <c r="I258" t="s">
        <v>68</v>
      </c>
      <c r="J258" s="4" t="s">
        <v>55</v>
      </c>
      <c r="K258" s="4" t="s">
        <v>20</v>
      </c>
      <c r="L258" s="4" t="s">
        <v>742</v>
      </c>
      <c r="M258" s="17">
        <v>30</v>
      </c>
      <c r="N258" s="17">
        <v>805</v>
      </c>
      <c r="O258" s="18" t="s">
        <v>55</v>
      </c>
      <c r="P258" s="18">
        <v>805</v>
      </c>
      <c r="Q258" s="18">
        <v>30</v>
      </c>
      <c r="R258" s="18"/>
      <c r="S258" s="18"/>
      <c r="T258" s="18"/>
      <c r="U2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8" s="19">
        <f>IF(AUDITORIA[[#This Row],[CAT]]="",0,1)</f>
        <v>1</v>
      </c>
      <c r="W258" s="20">
        <v>46135</v>
      </c>
      <c r="X258" s="21" t="str">
        <f>UPPER(IF(AUDITORIA[[#This Row],[DATA VERIFICAÇÃO]]="","",TEXT(AUDITORIA[[#This Row],[DATA VERIFICAÇÃO]],"mmm")))</f>
        <v>ABR</v>
      </c>
      <c r="Y258" t="s">
        <v>598</v>
      </c>
      <c r="Z258" t="s">
        <v>599</v>
      </c>
      <c r="AA258" t="s">
        <v>600</v>
      </c>
    </row>
    <row r="259" spans="1:27" ht="14.4" hidden="1" customHeight="1" x14ac:dyDescent="0.3">
      <c r="A259" s="4" t="s">
        <v>279</v>
      </c>
      <c r="B259" s="4" t="s">
        <v>17</v>
      </c>
      <c r="C259" s="16" t="s">
        <v>18</v>
      </c>
      <c r="D259" s="4">
        <v>11</v>
      </c>
      <c r="E259" s="4" t="s">
        <v>745</v>
      </c>
      <c r="F259" t="s">
        <v>386</v>
      </c>
      <c r="G259" t="s">
        <v>66</v>
      </c>
      <c r="H259" t="s">
        <v>67</v>
      </c>
      <c r="I259" t="s">
        <v>68</v>
      </c>
      <c r="J259" s="4" t="s">
        <v>55</v>
      </c>
      <c r="K259" s="4" t="s">
        <v>20</v>
      </c>
      <c r="L259" s="4" t="s">
        <v>742</v>
      </c>
      <c r="M259" s="17">
        <v>30</v>
      </c>
      <c r="N259" s="17">
        <v>791</v>
      </c>
      <c r="O259" s="18" t="s">
        <v>55</v>
      </c>
      <c r="P259" s="18">
        <v>791</v>
      </c>
      <c r="Q259" s="18">
        <v>30</v>
      </c>
      <c r="R259" s="18"/>
      <c r="S259" s="18"/>
      <c r="T259" s="18"/>
      <c r="U2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9" s="19">
        <f>IF(AUDITORIA[[#This Row],[CAT]]="",0,1)</f>
        <v>1</v>
      </c>
      <c r="W259" s="20">
        <v>46135</v>
      </c>
      <c r="X259" s="21" t="str">
        <f>UPPER(IF(AUDITORIA[[#This Row],[DATA VERIFICAÇÃO]]="","",TEXT(AUDITORIA[[#This Row],[DATA VERIFICAÇÃO]],"mmm")))</f>
        <v>ABR</v>
      </c>
      <c r="Y259" t="s">
        <v>598</v>
      </c>
      <c r="Z259" t="s">
        <v>599</v>
      </c>
      <c r="AA259" t="s">
        <v>600</v>
      </c>
    </row>
    <row r="260" spans="1:27" ht="14.4" hidden="1" customHeight="1" x14ac:dyDescent="0.3">
      <c r="A260" s="4" t="s">
        <v>279</v>
      </c>
      <c r="B260" s="4" t="s">
        <v>17</v>
      </c>
      <c r="C260" s="16" t="s">
        <v>18</v>
      </c>
      <c r="D260" s="4">
        <v>11</v>
      </c>
      <c r="E260" s="4" t="s">
        <v>745</v>
      </c>
      <c r="F260" t="s">
        <v>383</v>
      </c>
      <c r="G260" t="s">
        <v>66</v>
      </c>
      <c r="H260" t="s">
        <v>67</v>
      </c>
      <c r="I260" t="s">
        <v>68</v>
      </c>
      <c r="J260" s="4" t="s">
        <v>55</v>
      </c>
      <c r="K260" s="4" t="s">
        <v>20</v>
      </c>
      <c r="L260" s="4" t="s">
        <v>742</v>
      </c>
      <c r="M260" s="17">
        <v>30</v>
      </c>
      <c r="N260" s="17">
        <v>791</v>
      </c>
      <c r="O260" s="18" t="s">
        <v>55</v>
      </c>
      <c r="P260" s="18">
        <v>791</v>
      </c>
      <c r="Q260" s="18">
        <v>30</v>
      </c>
      <c r="R260" s="18"/>
      <c r="S260" s="18"/>
      <c r="T260" s="18"/>
      <c r="U2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60" s="19">
        <f>IF(AUDITORIA[[#This Row],[CAT]]="",0,1)</f>
        <v>1</v>
      </c>
      <c r="W260" s="20">
        <v>46135</v>
      </c>
      <c r="X260" s="21" t="str">
        <f>UPPER(IF(AUDITORIA[[#This Row],[DATA VERIFICAÇÃO]]="","",TEXT(AUDITORIA[[#This Row],[DATA VERIFICAÇÃO]],"mmm")))</f>
        <v>ABR</v>
      </c>
      <c r="Y260" t="s">
        <v>598</v>
      </c>
      <c r="Z260" t="s">
        <v>599</v>
      </c>
      <c r="AA260" t="s">
        <v>600</v>
      </c>
    </row>
    <row r="261" spans="1:27" ht="14.4" hidden="1" customHeight="1" x14ac:dyDescent="0.3">
      <c r="A261" s="4" t="s">
        <v>279</v>
      </c>
      <c r="B261" s="4" t="s">
        <v>17</v>
      </c>
      <c r="C261" s="16" t="s">
        <v>18</v>
      </c>
      <c r="D261" s="4">
        <v>11</v>
      </c>
      <c r="E261" s="4" t="s">
        <v>745</v>
      </c>
      <c r="F261" t="s">
        <v>381</v>
      </c>
      <c r="G261" t="s">
        <v>66</v>
      </c>
      <c r="H261" t="s">
        <v>67</v>
      </c>
      <c r="I261" t="s">
        <v>68</v>
      </c>
      <c r="J261" s="4" t="s">
        <v>55</v>
      </c>
      <c r="K261" s="4" t="s">
        <v>20</v>
      </c>
      <c r="L261" s="4" t="s">
        <v>742</v>
      </c>
      <c r="M261" s="17">
        <v>30</v>
      </c>
      <c r="N261" s="17">
        <v>814</v>
      </c>
      <c r="O261" s="18" t="s">
        <v>55</v>
      </c>
      <c r="P261" s="18">
        <v>814</v>
      </c>
      <c r="Q261" s="18">
        <v>30</v>
      </c>
      <c r="R261" s="18"/>
      <c r="S261" s="18"/>
      <c r="T261" s="18"/>
      <c r="U2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61" s="19">
        <f>IF(AUDITORIA[[#This Row],[CAT]]="",0,1)</f>
        <v>1</v>
      </c>
      <c r="W261" s="20">
        <v>46135</v>
      </c>
      <c r="X261" s="21" t="str">
        <f>UPPER(IF(AUDITORIA[[#This Row],[DATA VERIFICAÇÃO]]="","",TEXT(AUDITORIA[[#This Row],[DATA VERIFICAÇÃO]],"mmm")))</f>
        <v>ABR</v>
      </c>
      <c r="Y261" t="s">
        <v>598</v>
      </c>
      <c r="Z261" t="s">
        <v>599</v>
      </c>
      <c r="AA261" t="s">
        <v>600</v>
      </c>
    </row>
    <row r="262" spans="1:27" ht="14.4" hidden="1" customHeight="1" x14ac:dyDescent="0.3">
      <c r="A262" s="4" t="s">
        <v>279</v>
      </c>
      <c r="B262" s="4" t="s">
        <v>17</v>
      </c>
      <c r="C262" s="16" t="s">
        <v>18</v>
      </c>
      <c r="D262" s="4">
        <v>11</v>
      </c>
      <c r="E262" s="4" t="s">
        <v>745</v>
      </c>
      <c r="F262" t="s">
        <v>377</v>
      </c>
      <c r="G262" t="s">
        <v>66</v>
      </c>
      <c r="H262" t="s">
        <v>67</v>
      </c>
      <c r="I262" t="s">
        <v>68</v>
      </c>
      <c r="J262" s="4" t="s">
        <v>55</v>
      </c>
      <c r="K262" s="4" t="s">
        <v>20</v>
      </c>
      <c r="L262" s="4" t="s">
        <v>742</v>
      </c>
      <c r="M262" s="17">
        <v>30</v>
      </c>
      <c r="N262" s="17">
        <v>799</v>
      </c>
      <c r="O262" s="18" t="s">
        <v>55</v>
      </c>
      <c r="P262" s="18">
        <v>799</v>
      </c>
      <c r="Q262" s="18">
        <v>30</v>
      </c>
      <c r="R262" s="18"/>
      <c r="S262" s="18"/>
      <c r="T262" s="18"/>
      <c r="U2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62" s="19">
        <f>IF(AUDITORIA[[#This Row],[CAT]]="",0,1)</f>
        <v>1</v>
      </c>
      <c r="W262" s="20">
        <v>46135</v>
      </c>
      <c r="X262" s="21" t="str">
        <f>UPPER(IF(AUDITORIA[[#This Row],[DATA VERIFICAÇÃO]]="","",TEXT(AUDITORIA[[#This Row],[DATA VERIFICAÇÃO]],"mmm")))</f>
        <v>ABR</v>
      </c>
      <c r="Y262" t="s">
        <v>598</v>
      </c>
      <c r="Z262" t="s">
        <v>599</v>
      </c>
      <c r="AA262" t="s">
        <v>600</v>
      </c>
    </row>
    <row r="263" spans="1:27" ht="14.4" hidden="1" customHeight="1" x14ac:dyDescent="0.3">
      <c r="A263" s="4" t="s">
        <v>279</v>
      </c>
      <c r="B263" s="4" t="s">
        <v>17</v>
      </c>
      <c r="C263" s="16" t="s">
        <v>18</v>
      </c>
      <c r="D263" s="4">
        <v>11</v>
      </c>
      <c r="E263" s="4" t="s">
        <v>745</v>
      </c>
      <c r="F263" t="s">
        <v>372</v>
      </c>
      <c r="G263" t="s">
        <v>66</v>
      </c>
      <c r="H263" t="s">
        <v>67</v>
      </c>
      <c r="I263" t="s">
        <v>68</v>
      </c>
      <c r="J263" s="4" t="s">
        <v>55</v>
      </c>
      <c r="K263" s="4" t="s">
        <v>20</v>
      </c>
      <c r="L263" s="4" t="s">
        <v>742</v>
      </c>
      <c r="M263" s="17">
        <v>20</v>
      </c>
      <c r="N263" s="17">
        <v>792</v>
      </c>
      <c r="O263" s="18" t="s">
        <v>55</v>
      </c>
      <c r="P263" s="18">
        <v>792</v>
      </c>
      <c r="Q263" s="18">
        <v>20</v>
      </c>
      <c r="R263" s="18"/>
      <c r="S263" s="18"/>
      <c r="T263" s="18"/>
      <c r="U2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63" s="19">
        <f>IF(AUDITORIA[[#This Row],[CAT]]="",0,1)</f>
        <v>1</v>
      </c>
      <c r="W263" s="20">
        <v>46135</v>
      </c>
      <c r="X263" s="21" t="str">
        <f>UPPER(IF(AUDITORIA[[#This Row],[DATA VERIFICAÇÃO]]="","",TEXT(AUDITORIA[[#This Row],[DATA VERIFICAÇÃO]],"mmm")))</f>
        <v>ABR</v>
      </c>
      <c r="Y263" t="s">
        <v>598</v>
      </c>
      <c r="Z263" t="s">
        <v>599</v>
      </c>
      <c r="AA263" t="s">
        <v>600</v>
      </c>
    </row>
    <row r="264" spans="1:27" ht="14.4" hidden="1" customHeight="1" x14ac:dyDescent="0.3">
      <c r="A264" s="4" t="s">
        <v>279</v>
      </c>
      <c r="B264" s="4" t="s">
        <v>17</v>
      </c>
      <c r="C264" s="16" t="s">
        <v>18</v>
      </c>
      <c r="D264" s="4">
        <v>11</v>
      </c>
      <c r="E264" s="4" t="s">
        <v>745</v>
      </c>
      <c r="F264" t="s">
        <v>482</v>
      </c>
      <c r="G264" t="s">
        <v>66</v>
      </c>
      <c r="H264" t="s">
        <v>67</v>
      </c>
      <c r="I264" t="s">
        <v>68</v>
      </c>
      <c r="J264" s="4" t="s">
        <v>55</v>
      </c>
      <c r="K264" s="4" t="s">
        <v>21</v>
      </c>
      <c r="L264" s="4" t="s">
        <v>742</v>
      </c>
      <c r="M264" s="17">
        <v>24</v>
      </c>
      <c r="N264" s="17">
        <v>1028</v>
      </c>
      <c r="O264" s="18" t="s">
        <v>55</v>
      </c>
      <c r="P264" s="18">
        <v>1028</v>
      </c>
      <c r="Q264" s="18">
        <v>24</v>
      </c>
      <c r="R264" s="18"/>
      <c r="S264" s="18"/>
      <c r="T264" s="18"/>
      <c r="U2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64" s="19">
        <f>IF(AUDITORIA[[#This Row],[CAT]]="",0,1)</f>
        <v>1</v>
      </c>
      <c r="W264" s="20">
        <v>46135</v>
      </c>
      <c r="X264" s="21" t="str">
        <f>UPPER(IF(AUDITORIA[[#This Row],[DATA VERIFICAÇÃO]]="","",TEXT(AUDITORIA[[#This Row],[DATA VERIFICAÇÃO]],"mmm")))</f>
        <v>ABR</v>
      </c>
      <c r="Y264" t="s">
        <v>598</v>
      </c>
      <c r="Z264" t="s">
        <v>599</v>
      </c>
      <c r="AA264" t="s">
        <v>600</v>
      </c>
    </row>
    <row r="265" spans="1:27" ht="14.4" hidden="1" customHeight="1" x14ac:dyDescent="0.3">
      <c r="A265" s="4" t="s">
        <v>279</v>
      </c>
      <c r="B265" s="4" t="s">
        <v>17</v>
      </c>
      <c r="C265" s="16" t="s">
        <v>18</v>
      </c>
      <c r="D265" s="4">
        <v>11</v>
      </c>
      <c r="E265" s="4" t="s">
        <v>745</v>
      </c>
      <c r="F265" t="s">
        <v>480</v>
      </c>
      <c r="G265" t="s">
        <v>66</v>
      </c>
      <c r="H265" t="s">
        <v>67</v>
      </c>
      <c r="I265" t="s">
        <v>68</v>
      </c>
      <c r="J265" s="4" t="s">
        <v>55</v>
      </c>
      <c r="K265" s="4" t="s">
        <v>21</v>
      </c>
      <c r="L265" s="4" t="s">
        <v>742</v>
      </c>
      <c r="M265" s="17">
        <v>24</v>
      </c>
      <c r="N265" s="17">
        <v>1029</v>
      </c>
      <c r="O265" s="18" t="s">
        <v>55</v>
      </c>
      <c r="P265" s="18">
        <v>1029</v>
      </c>
      <c r="Q265" s="18">
        <v>24</v>
      </c>
      <c r="R265" s="18"/>
      <c r="S265" s="18"/>
      <c r="T265" s="18"/>
      <c r="U2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65" s="19">
        <f>IF(AUDITORIA[[#This Row],[CAT]]="",0,1)</f>
        <v>1</v>
      </c>
      <c r="W265" s="20">
        <v>46135</v>
      </c>
      <c r="X265" s="21" t="str">
        <f>UPPER(IF(AUDITORIA[[#This Row],[DATA VERIFICAÇÃO]]="","",TEXT(AUDITORIA[[#This Row],[DATA VERIFICAÇÃO]],"mmm")))</f>
        <v>ABR</v>
      </c>
      <c r="Y265" t="s">
        <v>598</v>
      </c>
      <c r="Z265" t="s">
        <v>599</v>
      </c>
      <c r="AA265" t="s">
        <v>600</v>
      </c>
    </row>
    <row r="266" spans="1:27" ht="14.4" hidden="1" customHeight="1" x14ac:dyDescent="0.3">
      <c r="A266" s="4" t="s">
        <v>279</v>
      </c>
      <c r="B266" s="4" t="s">
        <v>17</v>
      </c>
      <c r="C266" s="16" t="s">
        <v>18</v>
      </c>
      <c r="D266" s="4">
        <v>11</v>
      </c>
      <c r="E266" s="4" t="s">
        <v>745</v>
      </c>
      <c r="F266" t="s">
        <v>478</v>
      </c>
      <c r="G266" t="s">
        <v>66</v>
      </c>
      <c r="H266" t="s">
        <v>67</v>
      </c>
      <c r="I266" t="s">
        <v>68</v>
      </c>
      <c r="J266" s="4" t="s">
        <v>55</v>
      </c>
      <c r="K266" s="4" t="s">
        <v>21</v>
      </c>
      <c r="L266" s="4" t="s">
        <v>742</v>
      </c>
      <c r="M266" s="17">
        <v>24</v>
      </c>
      <c r="N266" s="17">
        <v>1033</v>
      </c>
      <c r="O266" s="18" t="s">
        <v>55</v>
      </c>
      <c r="P266" s="18">
        <v>1033</v>
      </c>
      <c r="Q266" s="18">
        <v>24</v>
      </c>
      <c r="R266" s="18"/>
      <c r="S266" s="18"/>
      <c r="T266" s="18"/>
      <c r="U2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66" s="19">
        <f>IF(AUDITORIA[[#This Row],[CAT]]="",0,1)</f>
        <v>1</v>
      </c>
      <c r="W266" s="20">
        <v>46135</v>
      </c>
      <c r="X266" s="21" t="str">
        <f>UPPER(IF(AUDITORIA[[#This Row],[DATA VERIFICAÇÃO]]="","",TEXT(AUDITORIA[[#This Row],[DATA VERIFICAÇÃO]],"mmm")))</f>
        <v>ABR</v>
      </c>
      <c r="Y266" t="s">
        <v>598</v>
      </c>
      <c r="Z266" t="s">
        <v>599</v>
      </c>
      <c r="AA266" t="s">
        <v>600</v>
      </c>
    </row>
    <row r="267" spans="1:27" ht="14.4" hidden="1" customHeight="1" x14ac:dyDescent="0.3">
      <c r="A267" s="4" t="s">
        <v>279</v>
      </c>
      <c r="B267" s="4" t="s">
        <v>17</v>
      </c>
      <c r="C267" s="16" t="s">
        <v>18</v>
      </c>
      <c r="D267" s="4">
        <v>11</v>
      </c>
      <c r="E267" s="4" t="s">
        <v>745</v>
      </c>
      <c r="F267" t="s">
        <v>413</v>
      </c>
      <c r="G267" t="s">
        <v>66</v>
      </c>
      <c r="H267" t="s">
        <v>67</v>
      </c>
      <c r="I267" t="s">
        <v>68</v>
      </c>
      <c r="J267" s="4" t="s">
        <v>55</v>
      </c>
      <c r="K267" s="4" t="s">
        <v>21</v>
      </c>
      <c r="L267" s="4" t="s">
        <v>742</v>
      </c>
      <c r="M267" s="17">
        <v>24</v>
      </c>
      <c r="N267" s="17">
        <v>1031</v>
      </c>
      <c r="O267" s="18" t="s">
        <v>55</v>
      </c>
      <c r="P267" s="18">
        <v>1031</v>
      </c>
      <c r="Q267" s="18">
        <v>24</v>
      </c>
      <c r="R267" s="18"/>
      <c r="S267" s="18"/>
      <c r="T267" s="18"/>
      <c r="U2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67" s="19">
        <f>IF(AUDITORIA[[#This Row],[CAT]]="",0,1)</f>
        <v>1</v>
      </c>
      <c r="W267" s="20">
        <v>46135</v>
      </c>
      <c r="X267" s="21" t="str">
        <f>UPPER(IF(AUDITORIA[[#This Row],[DATA VERIFICAÇÃO]]="","",TEXT(AUDITORIA[[#This Row],[DATA VERIFICAÇÃO]],"mmm")))</f>
        <v>ABR</v>
      </c>
      <c r="Y267" t="s">
        <v>598</v>
      </c>
      <c r="Z267" t="s">
        <v>599</v>
      </c>
      <c r="AA267" t="s">
        <v>600</v>
      </c>
    </row>
    <row r="268" spans="1:27" ht="14.4" hidden="1" customHeight="1" x14ac:dyDescent="0.3">
      <c r="A268" s="4" t="s">
        <v>279</v>
      </c>
      <c r="B268" s="4" t="s">
        <v>17</v>
      </c>
      <c r="C268" s="16" t="s">
        <v>18</v>
      </c>
      <c r="D268" s="4">
        <v>11</v>
      </c>
      <c r="E268" s="4" t="s">
        <v>745</v>
      </c>
      <c r="F268" t="s">
        <v>417</v>
      </c>
      <c r="G268" t="s">
        <v>66</v>
      </c>
      <c r="H268" t="s">
        <v>67</v>
      </c>
      <c r="I268" t="s">
        <v>68</v>
      </c>
      <c r="J268" s="4" t="s">
        <v>55</v>
      </c>
      <c r="K268" s="4" t="s">
        <v>21</v>
      </c>
      <c r="L268" s="4" t="s">
        <v>742</v>
      </c>
      <c r="M268" s="17">
        <v>24</v>
      </c>
      <c r="N268" s="17">
        <v>1030</v>
      </c>
      <c r="O268" s="18" t="s">
        <v>55</v>
      </c>
      <c r="P268" s="18">
        <v>1030</v>
      </c>
      <c r="Q268" s="18">
        <v>24</v>
      </c>
      <c r="R268" s="18"/>
      <c r="S268" s="18"/>
      <c r="T268" s="18"/>
      <c r="U2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68" s="19">
        <f>IF(AUDITORIA[[#This Row],[CAT]]="",0,1)</f>
        <v>1</v>
      </c>
      <c r="W268" s="20">
        <v>46135</v>
      </c>
      <c r="X268" s="21" t="str">
        <f>UPPER(IF(AUDITORIA[[#This Row],[DATA VERIFICAÇÃO]]="","",TEXT(AUDITORIA[[#This Row],[DATA VERIFICAÇÃO]],"mmm")))</f>
        <v>ABR</v>
      </c>
      <c r="Y268" t="s">
        <v>598</v>
      </c>
      <c r="Z268" t="s">
        <v>599</v>
      </c>
      <c r="AA268" t="s">
        <v>600</v>
      </c>
    </row>
    <row r="269" spans="1:27" ht="14.4" hidden="1" customHeight="1" x14ac:dyDescent="0.3">
      <c r="A269" s="4" t="s">
        <v>279</v>
      </c>
      <c r="B269" s="4" t="s">
        <v>17</v>
      </c>
      <c r="C269" s="16" t="s">
        <v>18</v>
      </c>
      <c r="D269" s="4">
        <v>11</v>
      </c>
      <c r="E269" s="4" t="s">
        <v>745</v>
      </c>
      <c r="F269" t="s">
        <v>411</v>
      </c>
      <c r="G269" t="s">
        <v>66</v>
      </c>
      <c r="H269" t="s">
        <v>67</v>
      </c>
      <c r="I269" t="s">
        <v>68</v>
      </c>
      <c r="J269" s="4" t="s">
        <v>55</v>
      </c>
      <c r="K269" s="4" t="s">
        <v>21</v>
      </c>
      <c r="L269" s="4" t="s">
        <v>742</v>
      </c>
      <c r="M269" s="17">
        <v>24</v>
      </c>
      <c r="N269" s="17">
        <v>1028</v>
      </c>
      <c r="O269" s="18" t="s">
        <v>55</v>
      </c>
      <c r="P269" s="18">
        <v>1028</v>
      </c>
      <c r="Q269" s="18">
        <v>24</v>
      </c>
      <c r="R269" s="18"/>
      <c r="S269" s="18"/>
      <c r="T269" s="18"/>
      <c r="U2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69" s="19">
        <f>IF(AUDITORIA[[#This Row],[CAT]]="",0,1)</f>
        <v>1</v>
      </c>
      <c r="W269" s="20">
        <v>46135</v>
      </c>
      <c r="X269" s="21" t="str">
        <f>UPPER(IF(AUDITORIA[[#This Row],[DATA VERIFICAÇÃO]]="","",TEXT(AUDITORIA[[#This Row],[DATA VERIFICAÇÃO]],"mmm")))</f>
        <v>ABR</v>
      </c>
      <c r="Y269" t="s">
        <v>598</v>
      </c>
      <c r="Z269" t="s">
        <v>599</v>
      </c>
      <c r="AA269" t="s">
        <v>600</v>
      </c>
    </row>
    <row r="270" spans="1:27" ht="14.4" hidden="1" customHeight="1" x14ac:dyDescent="0.3">
      <c r="A270" s="4" t="s">
        <v>279</v>
      </c>
      <c r="B270" s="4" t="s">
        <v>17</v>
      </c>
      <c r="C270" s="16" t="s">
        <v>18</v>
      </c>
      <c r="D270" s="4">
        <v>11</v>
      </c>
      <c r="E270" s="4" t="s">
        <v>745</v>
      </c>
      <c r="F270" t="s">
        <v>410</v>
      </c>
      <c r="G270" t="s">
        <v>66</v>
      </c>
      <c r="H270" t="s">
        <v>67</v>
      </c>
      <c r="I270" t="s">
        <v>68</v>
      </c>
      <c r="J270" s="4" t="s">
        <v>55</v>
      </c>
      <c r="K270" s="4" t="s">
        <v>21</v>
      </c>
      <c r="L270" s="4" t="s">
        <v>742</v>
      </c>
      <c r="M270" s="17">
        <v>24</v>
      </c>
      <c r="N270" s="17">
        <v>1022</v>
      </c>
      <c r="O270" s="18" t="s">
        <v>55</v>
      </c>
      <c r="P270" s="18">
        <v>1022</v>
      </c>
      <c r="Q270" s="18">
        <v>24</v>
      </c>
      <c r="R270" s="18"/>
      <c r="S270" s="18"/>
      <c r="T270" s="18"/>
      <c r="U2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70" s="19">
        <f>IF(AUDITORIA[[#This Row],[CAT]]="",0,1)</f>
        <v>1</v>
      </c>
      <c r="W270" s="20">
        <v>46135</v>
      </c>
      <c r="X270" s="21" t="str">
        <f>UPPER(IF(AUDITORIA[[#This Row],[DATA VERIFICAÇÃO]]="","",TEXT(AUDITORIA[[#This Row],[DATA VERIFICAÇÃO]],"mmm")))</f>
        <v>ABR</v>
      </c>
      <c r="Y270" t="s">
        <v>598</v>
      </c>
      <c r="Z270" t="s">
        <v>599</v>
      </c>
      <c r="AA270" t="s">
        <v>600</v>
      </c>
    </row>
    <row r="271" spans="1:27" ht="14.4" hidden="1" customHeight="1" x14ac:dyDescent="0.3">
      <c r="A271" s="4" t="s">
        <v>279</v>
      </c>
      <c r="B271" s="4" t="s">
        <v>17</v>
      </c>
      <c r="C271" s="16" t="s">
        <v>18</v>
      </c>
      <c r="D271" s="4">
        <v>11</v>
      </c>
      <c r="E271" s="4" t="s">
        <v>745</v>
      </c>
      <c r="F271" t="s">
        <v>397</v>
      </c>
      <c r="G271" t="s">
        <v>66</v>
      </c>
      <c r="H271" t="s">
        <v>67</v>
      </c>
      <c r="I271" t="s">
        <v>68</v>
      </c>
      <c r="J271" s="4" t="s">
        <v>55</v>
      </c>
      <c r="K271" s="4" t="s">
        <v>21</v>
      </c>
      <c r="L271" s="4" t="s">
        <v>742</v>
      </c>
      <c r="M271" s="17">
        <v>24</v>
      </c>
      <c r="N271" s="17">
        <v>1020</v>
      </c>
      <c r="O271" s="18" t="s">
        <v>55</v>
      </c>
      <c r="P271" s="18">
        <v>1020</v>
      </c>
      <c r="Q271" s="18">
        <v>24</v>
      </c>
      <c r="R271" s="18"/>
      <c r="S271" s="18"/>
      <c r="T271" s="18"/>
      <c r="U2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71" s="19">
        <f>IF(AUDITORIA[[#This Row],[CAT]]="",0,1)</f>
        <v>1</v>
      </c>
      <c r="W271" s="20">
        <v>46135</v>
      </c>
      <c r="X271" s="21" t="str">
        <f>UPPER(IF(AUDITORIA[[#This Row],[DATA VERIFICAÇÃO]]="","",TEXT(AUDITORIA[[#This Row],[DATA VERIFICAÇÃO]],"mmm")))</f>
        <v>ABR</v>
      </c>
      <c r="Y271" t="s">
        <v>598</v>
      </c>
      <c r="Z271" t="s">
        <v>599</v>
      </c>
      <c r="AA271" t="s">
        <v>600</v>
      </c>
    </row>
    <row r="272" spans="1:27" ht="14.4" hidden="1" customHeight="1" x14ac:dyDescent="0.3">
      <c r="A272" s="4" t="s">
        <v>279</v>
      </c>
      <c r="B272" s="4" t="s">
        <v>17</v>
      </c>
      <c r="C272" s="16" t="s">
        <v>18</v>
      </c>
      <c r="D272" s="4">
        <v>11</v>
      </c>
      <c r="E272" s="4" t="s">
        <v>745</v>
      </c>
      <c r="F272" t="s">
        <v>395</v>
      </c>
      <c r="G272" t="s">
        <v>66</v>
      </c>
      <c r="H272" t="s">
        <v>67</v>
      </c>
      <c r="I272" t="s">
        <v>68</v>
      </c>
      <c r="J272" s="4" t="s">
        <v>55</v>
      </c>
      <c r="K272" s="4" t="s">
        <v>21</v>
      </c>
      <c r="L272" s="4" t="s">
        <v>742</v>
      </c>
      <c r="M272" s="17">
        <v>24</v>
      </c>
      <c r="N272" s="17">
        <v>1038</v>
      </c>
      <c r="O272" s="18" t="s">
        <v>55</v>
      </c>
      <c r="P272" s="18">
        <v>1038</v>
      </c>
      <c r="Q272" s="18">
        <v>24</v>
      </c>
      <c r="R272" s="18"/>
      <c r="S272" s="18"/>
      <c r="T272" s="18"/>
      <c r="U2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72" s="19">
        <f>IF(AUDITORIA[[#This Row],[CAT]]="",0,1)</f>
        <v>1</v>
      </c>
      <c r="W272" s="20">
        <v>46135</v>
      </c>
      <c r="X272" s="21" t="str">
        <f>UPPER(IF(AUDITORIA[[#This Row],[DATA VERIFICAÇÃO]]="","",TEXT(AUDITORIA[[#This Row],[DATA VERIFICAÇÃO]],"mmm")))</f>
        <v>ABR</v>
      </c>
      <c r="Y272" t="s">
        <v>598</v>
      </c>
      <c r="Z272" t="s">
        <v>599</v>
      </c>
      <c r="AA272" t="s">
        <v>600</v>
      </c>
    </row>
    <row r="273" spans="1:27" ht="14.4" hidden="1" customHeight="1" x14ac:dyDescent="0.3">
      <c r="A273" s="4" t="s">
        <v>279</v>
      </c>
      <c r="B273" s="4" t="s">
        <v>17</v>
      </c>
      <c r="C273" s="16" t="s">
        <v>18</v>
      </c>
      <c r="D273" s="4">
        <v>11</v>
      </c>
      <c r="E273" s="4" t="s">
        <v>745</v>
      </c>
      <c r="F273" t="s">
        <v>391</v>
      </c>
      <c r="G273" t="s">
        <v>66</v>
      </c>
      <c r="H273" t="s">
        <v>67</v>
      </c>
      <c r="I273" t="s">
        <v>68</v>
      </c>
      <c r="J273" s="4" t="s">
        <v>55</v>
      </c>
      <c r="K273" s="4" t="s">
        <v>21</v>
      </c>
      <c r="L273" s="4" t="s">
        <v>742</v>
      </c>
      <c r="M273" s="17">
        <v>24</v>
      </c>
      <c r="N273" s="17">
        <v>1041</v>
      </c>
      <c r="O273" s="18" t="s">
        <v>55</v>
      </c>
      <c r="P273" s="18">
        <v>1041</v>
      </c>
      <c r="Q273" s="18">
        <v>24</v>
      </c>
      <c r="R273" s="18"/>
      <c r="S273" s="18"/>
      <c r="T273" s="18"/>
      <c r="U2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73" s="19">
        <f>IF(AUDITORIA[[#This Row],[CAT]]="",0,1)</f>
        <v>1</v>
      </c>
      <c r="W273" s="20">
        <v>46135</v>
      </c>
      <c r="X273" s="21" t="str">
        <f>UPPER(IF(AUDITORIA[[#This Row],[DATA VERIFICAÇÃO]]="","",TEXT(AUDITORIA[[#This Row],[DATA VERIFICAÇÃO]],"mmm")))</f>
        <v>ABR</v>
      </c>
      <c r="Y273" t="s">
        <v>598</v>
      </c>
      <c r="Z273" t="s">
        <v>599</v>
      </c>
      <c r="AA273" t="s">
        <v>600</v>
      </c>
    </row>
    <row r="274" spans="1:27" ht="14.4" hidden="1" customHeight="1" x14ac:dyDescent="0.3">
      <c r="A274" s="4" t="s">
        <v>279</v>
      </c>
      <c r="B274" s="4" t="s">
        <v>17</v>
      </c>
      <c r="C274" s="16" t="s">
        <v>18</v>
      </c>
      <c r="D274" s="4">
        <v>11</v>
      </c>
      <c r="E274" s="4" t="s">
        <v>745</v>
      </c>
      <c r="F274" t="s">
        <v>387</v>
      </c>
      <c r="G274" t="s">
        <v>66</v>
      </c>
      <c r="H274" t="s">
        <v>67</v>
      </c>
      <c r="I274" t="s">
        <v>68</v>
      </c>
      <c r="J274" s="4" t="s">
        <v>55</v>
      </c>
      <c r="K274" s="4" t="s">
        <v>21</v>
      </c>
      <c r="L274" s="4" t="s">
        <v>742</v>
      </c>
      <c r="M274" s="17">
        <v>24</v>
      </c>
      <c r="N274" s="17">
        <v>1053</v>
      </c>
      <c r="O274" s="18" t="s">
        <v>55</v>
      </c>
      <c r="P274" s="18">
        <v>1053</v>
      </c>
      <c r="Q274" s="18">
        <v>24</v>
      </c>
      <c r="R274" s="18"/>
      <c r="S274" s="18"/>
      <c r="T274" s="18"/>
      <c r="U2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74" s="19">
        <f>IF(AUDITORIA[[#This Row],[CAT]]="",0,1)</f>
        <v>1</v>
      </c>
      <c r="W274" s="20">
        <v>46135</v>
      </c>
      <c r="X274" s="21" t="str">
        <f>UPPER(IF(AUDITORIA[[#This Row],[DATA VERIFICAÇÃO]]="","",TEXT(AUDITORIA[[#This Row],[DATA VERIFICAÇÃO]],"mmm")))</f>
        <v>ABR</v>
      </c>
      <c r="Y274" t="s">
        <v>598</v>
      </c>
      <c r="Z274" t="s">
        <v>599</v>
      </c>
      <c r="AA274" t="s">
        <v>600</v>
      </c>
    </row>
    <row r="275" spans="1:27" ht="14.4" hidden="1" customHeight="1" x14ac:dyDescent="0.3">
      <c r="A275" s="4" t="s">
        <v>279</v>
      </c>
      <c r="B275" s="4" t="s">
        <v>17</v>
      </c>
      <c r="C275" s="16" t="s">
        <v>18</v>
      </c>
      <c r="D275" s="4">
        <v>11</v>
      </c>
      <c r="E275" s="4" t="s">
        <v>745</v>
      </c>
      <c r="F275" t="s">
        <v>385</v>
      </c>
      <c r="G275" t="s">
        <v>66</v>
      </c>
      <c r="H275" t="s">
        <v>67</v>
      </c>
      <c r="I275" t="s">
        <v>68</v>
      </c>
      <c r="J275" s="4" t="s">
        <v>55</v>
      </c>
      <c r="K275" s="4" t="s">
        <v>21</v>
      </c>
      <c r="L275" s="4" t="s">
        <v>742</v>
      </c>
      <c r="M275" s="17">
        <v>24</v>
      </c>
      <c r="N275" s="17">
        <v>1038</v>
      </c>
      <c r="O275" s="18" t="s">
        <v>55</v>
      </c>
      <c r="P275" s="18">
        <v>1038</v>
      </c>
      <c r="Q275" s="18">
        <v>24</v>
      </c>
      <c r="R275" s="18"/>
      <c r="S275" s="18"/>
      <c r="T275" s="18"/>
      <c r="U2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75" s="19">
        <f>IF(AUDITORIA[[#This Row],[CAT]]="",0,1)</f>
        <v>1</v>
      </c>
      <c r="W275" s="20">
        <v>46135</v>
      </c>
      <c r="X275" s="21" t="str">
        <f>UPPER(IF(AUDITORIA[[#This Row],[DATA VERIFICAÇÃO]]="","",TEXT(AUDITORIA[[#This Row],[DATA VERIFICAÇÃO]],"mmm")))</f>
        <v>ABR</v>
      </c>
      <c r="Y275" t="s">
        <v>598</v>
      </c>
      <c r="Z275" t="s">
        <v>599</v>
      </c>
      <c r="AA275" t="s">
        <v>600</v>
      </c>
    </row>
    <row r="276" spans="1:27" ht="14.4" hidden="1" customHeight="1" x14ac:dyDescent="0.3">
      <c r="A276" s="4" t="s">
        <v>279</v>
      </c>
      <c r="B276" s="4" t="s">
        <v>17</v>
      </c>
      <c r="C276" s="16" t="s">
        <v>18</v>
      </c>
      <c r="D276" s="4">
        <v>11</v>
      </c>
      <c r="E276" s="4" t="s">
        <v>745</v>
      </c>
      <c r="F276" t="s">
        <v>382</v>
      </c>
      <c r="G276" t="s">
        <v>66</v>
      </c>
      <c r="H276" t="s">
        <v>67</v>
      </c>
      <c r="I276" t="s">
        <v>68</v>
      </c>
      <c r="J276" s="4" t="s">
        <v>55</v>
      </c>
      <c r="K276" s="4" t="s">
        <v>21</v>
      </c>
      <c r="L276" s="4" t="s">
        <v>742</v>
      </c>
      <c r="M276" s="17">
        <v>24</v>
      </c>
      <c r="N276" s="17">
        <v>1015</v>
      </c>
      <c r="O276" s="18" t="s">
        <v>55</v>
      </c>
      <c r="P276" s="18">
        <v>1015</v>
      </c>
      <c r="Q276" s="18">
        <v>24</v>
      </c>
      <c r="R276" s="18"/>
      <c r="S276" s="18"/>
      <c r="T276" s="18"/>
      <c r="U2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76" s="19">
        <f>IF(AUDITORIA[[#This Row],[CAT]]="",0,1)</f>
        <v>1</v>
      </c>
      <c r="W276" s="20">
        <v>46135</v>
      </c>
      <c r="X276" s="21" t="str">
        <f>UPPER(IF(AUDITORIA[[#This Row],[DATA VERIFICAÇÃO]]="","",TEXT(AUDITORIA[[#This Row],[DATA VERIFICAÇÃO]],"mmm")))</f>
        <v>ABR</v>
      </c>
      <c r="Y276" t="s">
        <v>598</v>
      </c>
      <c r="Z276" t="s">
        <v>599</v>
      </c>
      <c r="AA276" t="s">
        <v>600</v>
      </c>
    </row>
    <row r="277" spans="1:27" ht="14.4" hidden="1" customHeight="1" x14ac:dyDescent="0.3">
      <c r="A277" s="4" t="s">
        <v>279</v>
      </c>
      <c r="B277" s="4" t="s">
        <v>17</v>
      </c>
      <c r="C277" s="16" t="s">
        <v>18</v>
      </c>
      <c r="D277" s="4">
        <v>11</v>
      </c>
      <c r="E277" s="4" t="s">
        <v>745</v>
      </c>
      <c r="F277" t="s">
        <v>380</v>
      </c>
      <c r="G277" t="s">
        <v>66</v>
      </c>
      <c r="H277" t="s">
        <v>67</v>
      </c>
      <c r="I277" t="s">
        <v>68</v>
      </c>
      <c r="J277" s="4" t="s">
        <v>55</v>
      </c>
      <c r="K277" s="4" t="s">
        <v>21</v>
      </c>
      <c r="L277" s="4" t="s">
        <v>742</v>
      </c>
      <c r="M277" s="17">
        <v>24</v>
      </c>
      <c r="N277" s="17">
        <v>1045</v>
      </c>
      <c r="O277" s="18" t="s">
        <v>55</v>
      </c>
      <c r="P277" s="18">
        <v>1045</v>
      </c>
      <c r="Q277" s="18">
        <v>24</v>
      </c>
      <c r="R277" s="18"/>
      <c r="S277" s="18"/>
      <c r="T277" s="18"/>
      <c r="U2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77" s="19">
        <f>IF(AUDITORIA[[#This Row],[CAT]]="",0,1)</f>
        <v>1</v>
      </c>
      <c r="W277" s="20">
        <v>46135</v>
      </c>
      <c r="X277" s="21" t="str">
        <f>UPPER(IF(AUDITORIA[[#This Row],[DATA VERIFICAÇÃO]]="","",TEXT(AUDITORIA[[#This Row],[DATA VERIFICAÇÃO]],"mmm")))</f>
        <v>ABR</v>
      </c>
      <c r="Y277" t="s">
        <v>598</v>
      </c>
      <c r="Z277" t="s">
        <v>599</v>
      </c>
      <c r="AA277" t="s">
        <v>600</v>
      </c>
    </row>
    <row r="278" spans="1:27" ht="14.4" hidden="1" customHeight="1" x14ac:dyDescent="0.3">
      <c r="A278" s="4" t="s">
        <v>279</v>
      </c>
      <c r="B278" s="4" t="s">
        <v>17</v>
      </c>
      <c r="C278" s="16" t="s">
        <v>18</v>
      </c>
      <c r="D278" s="4">
        <v>11</v>
      </c>
      <c r="E278" s="4" t="s">
        <v>745</v>
      </c>
      <c r="F278" t="s">
        <v>376</v>
      </c>
      <c r="G278" t="s">
        <v>66</v>
      </c>
      <c r="H278" t="s">
        <v>67</v>
      </c>
      <c r="I278" t="s">
        <v>68</v>
      </c>
      <c r="J278" s="4" t="s">
        <v>55</v>
      </c>
      <c r="K278" s="4" t="s">
        <v>21</v>
      </c>
      <c r="L278" s="4" t="s">
        <v>742</v>
      </c>
      <c r="M278" s="17">
        <v>24</v>
      </c>
      <c r="N278" s="17">
        <v>1015</v>
      </c>
      <c r="O278" s="18" t="s">
        <v>55</v>
      </c>
      <c r="P278" s="18">
        <v>1015</v>
      </c>
      <c r="Q278" s="18">
        <v>24</v>
      </c>
      <c r="R278" s="18"/>
      <c r="S278" s="18"/>
      <c r="T278" s="18"/>
      <c r="U2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78" s="19">
        <f>IF(AUDITORIA[[#This Row],[CAT]]="",0,1)</f>
        <v>1</v>
      </c>
      <c r="W278" s="20">
        <v>46135</v>
      </c>
      <c r="X278" s="21" t="str">
        <f>UPPER(IF(AUDITORIA[[#This Row],[DATA VERIFICAÇÃO]]="","",TEXT(AUDITORIA[[#This Row],[DATA VERIFICAÇÃO]],"mmm")))</f>
        <v>ABR</v>
      </c>
      <c r="Y278" t="s">
        <v>598</v>
      </c>
      <c r="Z278" t="s">
        <v>599</v>
      </c>
      <c r="AA278" t="s">
        <v>600</v>
      </c>
    </row>
    <row r="279" spans="1:27" ht="14.4" hidden="1" customHeight="1" x14ac:dyDescent="0.3">
      <c r="A279" s="4" t="s">
        <v>279</v>
      </c>
      <c r="B279" s="4" t="s">
        <v>17</v>
      </c>
      <c r="C279" s="16" t="s">
        <v>18</v>
      </c>
      <c r="D279" s="4">
        <v>11</v>
      </c>
      <c r="E279" s="4" t="s">
        <v>745</v>
      </c>
      <c r="F279" t="s">
        <v>374</v>
      </c>
      <c r="G279" t="s">
        <v>66</v>
      </c>
      <c r="H279" t="s">
        <v>67</v>
      </c>
      <c r="I279" t="s">
        <v>68</v>
      </c>
      <c r="J279" s="4" t="s">
        <v>55</v>
      </c>
      <c r="K279" s="4" t="s">
        <v>21</v>
      </c>
      <c r="L279" s="4" t="s">
        <v>742</v>
      </c>
      <c r="M279" s="17">
        <v>18</v>
      </c>
      <c r="N279" s="17">
        <v>1023</v>
      </c>
      <c r="O279" s="18" t="s">
        <v>55</v>
      </c>
      <c r="P279" s="18">
        <v>1023</v>
      </c>
      <c r="Q279" s="18">
        <v>18</v>
      </c>
      <c r="R279" s="18"/>
      <c r="S279" s="18"/>
      <c r="T279" s="18"/>
      <c r="U2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79" s="19">
        <f>IF(AUDITORIA[[#This Row],[CAT]]="",0,1)</f>
        <v>1</v>
      </c>
      <c r="W279" s="20">
        <v>46135</v>
      </c>
      <c r="X279" s="21" t="str">
        <f>UPPER(IF(AUDITORIA[[#This Row],[DATA VERIFICAÇÃO]]="","",TEXT(AUDITORIA[[#This Row],[DATA VERIFICAÇÃO]],"mmm")))</f>
        <v>ABR</v>
      </c>
      <c r="Y279" t="s">
        <v>598</v>
      </c>
      <c r="Z279" t="s">
        <v>599</v>
      </c>
      <c r="AA279" t="s">
        <v>600</v>
      </c>
    </row>
    <row r="280" spans="1:27" ht="14.4" hidden="1" customHeight="1" x14ac:dyDescent="0.3">
      <c r="A280" s="4" t="s">
        <v>279</v>
      </c>
      <c r="B280" s="4" t="s">
        <v>17</v>
      </c>
      <c r="C280" s="16" t="s">
        <v>18</v>
      </c>
      <c r="D280" s="4">
        <v>11</v>
      </c>
      <c r="E280" s="4" t="s">
        <v>745</v>
      </c>
      <c r="F280" t="s">
        <v>554</v>
      </c>
      <c r="G280" t="s">
        <v>555</v>
      </c>
      <c r="H280" t="s">
        <v>556</v>
      </c>
      <c r="I280" t="s">
        <v>557</v>
      </c>
      <c r="J280" s="4" t="s">
        <v>55</v>
      </c>
      <c r="K280" s="4" t="s">
        <v>20</v>
      </c>
      <c r="L280" s="4" t="s">
        <v>742</v>
      </c>
      <c r="M280" s="17">
        <v>27</v>
      </c>
      <c r="N280" s="17">
        <v>967</v>
      </c>
      <c r="O280" s="18" t="s">
        <v>55</v>
      </c>
      <c r="P280" s="18">
        <v>967</v>
      </c>
      <c r="Q280" s="18">
        <v>27</v>
      </c>
      <c r="R280" s="18"/>
      <c r="S280" s="18"/>
      <c r="T280" s="18"/>
      <c r="U2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80" s="19">
        <f>IF(AUDITORIA[[#This Row],[CAT]]="",0,1)</f>
        <v>1</v>
      </c>
      <c r="W280" s="20">
        <v>46135</v>
      </c>
      <c r="X280" s="21" t="str">
        <f>UPPER(IF(AUDITORIA[[#This Row],[DATA VERIFICAÇÃO]]="","",TEXT(AUDITORIA[[#This Row],[DATA VERIFICAÇÃO]],"mmm")))</f>
        <v>ABR</v>
      </c>
      <c r="Y280" t="s">
        <v>598</v>
      </c>
      <c r="Z280" t="s">
        <v>599</v>
      </c>
      <c r="AA280" t="s">
        <v>600</v>
      </c>
    </row>
    <row r="281" spans="1:27" ht="14.4" hidden="1" customHeight="1" x14ac:dyDescent="0.3">
      <c r="A281" s="4" t="s">
        <v>279</v>
      </c>
      <c r="B281" s="4" t="s">
        <v>17</v>
      </c>
      <c r="C281" s="16" t="s">
        <v>18</v>
      </c>
      <c r="D281" s="4">
        <v>11</v>
      </c>
      <c r="E281" s="4" t="s">
        <v>745</v>
      </c>
      <c r="F281" t="s">
        <v>561</v>
      </c>
      <c r="G281" t="s">
        <v>555</v>
      </c>
      <c r="H281" t="s">
        <v>556</v>
      </c>
      <c r="I281" t="s">
        <v>557</v>
      </c>
      <c r="J281" s="4" t="s">
        <v>55</v>
      </c>
      <c r="K281" s="4" t="s">
        <v>20</v>
      </c>
      <c r="L281" s="4" t="s">
        <v>742</v>
      </c>
      <c r="M281" s="17">
        <v>27</v>
      </c>
      <c r="N281" s="17">
        <v>981</v>
      </c>
      <c r="O281" s="18" t="s">
        <v>55</v>
      </c>
      <c r="P281" s="18">
        <v>981</v>
      </c>
      <c r="Q281" s="18">
        <v>27</v>
      </c>
      <c r="R281" s="18"/>
      <c r="S281" s="18"/>
      <c r="T281" s="18"/>
      <c r="U2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81" s="19">
        <f>IF(AUDITORIA[[#This Row],[CAT]]="",0,1)</f>
        <v>1</v>
      </c>
      <c r="W281" s="20">
        <v>46135</v>
      </c>
      <c r="X281" s="21" t="str">
        <f>UPPER(IF(AUDITORIA[[#This Row],[DATA VERIFICAÇÃO]]="","",TEXT(AUDITORIA[[#This Row],[DATA VERIFICAÇÃO]],"mmm")))</f>
        <v>ABR</v>
      </c>
      <c r="Y281" t="s">
        <v>598</v>
      </c>
      <c r="Z281" t="s">
        <v>599</v>
      </c>
      <c r="AA281" t="s">
        <v>600</v>
      </c>
    </row>
    <row r="282" spans="1:27" ht="14.4" hidden="1" customHeight="1" x14ac:dyDescent="0.3">
      <c r="A282" s="4" t="s">
        <v>279</v>
      </c>
      <c r="B282" s="4" t="s">
        <v>17</v>
      </c>
      <c r="C282" s="16" t="s">
        <v>18</v>
      </c>
      <c r="D282" s="4">
        <v>11</v>
      </c>
      <c r="E282" s="4" t="s">
        <v>745</v>
      </c>
      <c r="F282" t="s">
        <v>570</v>
      </c>
      <c r="G282" t="s">
        <v>555</v>
      </c>
      <c r="H282" t="s">
        <v>556</v>
      </c>
      <c r="I282" t="s">
        <v>557</v>
      </c>
      <c r="J282" s="4" t="s">
        <v>55</v>
      </c>
      <c r="K282" s="4" t="s">
        <v>20</v>
      </c>
      <c r="L282" s="4" t="s">
        <v>742</v>
      </c>
      <c r="M282" s="17">
        <v>27</v>
      </c>
      <c r="N282" s="17">
        <v>995</v>
      </c>
      <c r="O282" s="18" t="s">
        <v>55</v>
      </c>
      <c r="P282" s="18">
        <v>995</v>
      </c>
      <c r="Q282" s="18">
        <v>27</v>
      </c>
      <c r="R282" s="18"/>
      <c r="S282" s="18"/>
      <c r="T282" s="18"/>
      <c r="U2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82" s="19">
        <f>IF(AUDITORIA[[#This Row],[CAT]]="",0,1)</f>
        <v>1</v>
      </c>
      <c r="W282" s="20">
        <v>46135</v>
      </c>
      <c r="X282" s="21" t="str">
        <f>UPPER(IF(AUDITORIA[[#This Row],[DATA VERIFICAÇÃO]]="","",TEXT(AUDITORIA[[#This Row],[DATA VERIFICAÇÃO]],"mmm")))</f>
        <v>ABR</v>
      </c>
      <c r="Y282" t="s">
        <v>598</v>
      </c>
      <c r="Z282" t="s">
        <v>599</v>
      </c>
      <c r="AA282" t="s">
        <v>600</v>
      </c>
    </row>
    <row r="283" spans="1:27" ht="14.4" hidden="1" customHeight="1" x14ac:dyDescent="0.3">
      <c r="A283" s="4" t="s">
        <v>279</v>
      </c>
      <c r="B283" s="4" t="s">
        <v>17</v>
      </c>
      <c r="C283" s="16" t="s">
        <v>18</v>
      </c>
      <c r="D283" s="4">
        <v>11</v>
      </c>
      <c r="E283" s="4" t="s">
        <v>745</v>
      </c>
      <c r="F283" t="s">
        <v>566</v>
      </c>
      <c r="G283" t="s">
        <v>555</v>
      </c>
      <c r="H283" t="s">
        <v>556</v>
      </c>
      <c r="I283" t="s">
        <v>557</v>
      </c>
      <c r="J283" s="4" t="s">
        <v>55</v>
      </c>
      <c r="K283" s="4" t="s">
        <v>20</v>
      </c>
      <c r="L283" s="4" t="s">
        <v>742</v>
      </c>
      <c r="M283" s="17">
        <v>27</v>
      </c>
      <c r="N283" s="17">
        <v>984</v>
      </c>
      <c r="O283" s="18" t="s">
        <v>55</v>
      </c>
      <c r="P283" s="18">
        <v>984</v>
      </c>
      <c r="Q283" s="18">
        <v>27</v>
      </c>
      <c r="R283" s="18"/>
      <c r="S283" s="18"/>
      <c r="T283" s="18"/>
      <c r="U2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83" s="19">
        <f>IF(AUDITORIA[[#This Row],[CAT]]="",0,1)</f>
        <v>1</v>
      </c>
      <c r="W283" s="20">
        <v>46135</v>
      </c>
      <c r="X283" s="21" t="str">
        <f>UPPER(IF(AUDITORIA[[#This Row],[DATA VERIFICAÇÃO]]="","",TEXT(AUDITORIA[[#This Row],[DATA VERIFICAÇÃO]],"mmm")))</f>
        <v>ABR</v>
      </c>
      <c r="Y283" t="s">
        <v>598</v>
      </c>
      <c r="Z283" t="s">
        <v>599</v>
      </c>
      <c r="AA283" t="s">
        <v>600</v>
      </c>
    </row>
    <row r="284" spans="1:27" ht="14.4" hidden="1" customHeight="1" x14ac:dyDescent="0.3">
      <c r="A284" s="4" t="s">
        <v>279</v>
      </c>
      <c r="B284" s="4" t="s">
        <v>17</v>
      </c>
      <c r="C284" s="16" t="s">
        <v>18</v>
      </c>
      <c r="D284" s="4">
        <v>11</v>
      </c>
      <c r="E284" s="4" t="s">
        <v>745</v>
      </c>
      <c r="F284" t="s">
        <v>574</v>
      </c>
      <c r="G284" t="s">
        <v>555</v>
      </c>
      <c r="H284" t="s">
        <v>556</v>
      </c>
      <c r="I284" t="s">
        <v>557</v>
      </c>
      <c r="J284" s="4" t="s">
        <v>55</v>
      </c>
      <c r="K284" s="4" t="s">
        <v>20</v>
      </c>
      <c r="L284" s="4" t="s">
        <v>742</v>
      </c>
      <c r="M284" s="17">
        <v>11</v>
      </c>
      <c r="N284" s="17">
        <v>1002</v>
      </c>
      <c r="O284" s="18" t="s">
        <v>55</v>
      </c>
      <c r="P284" s="18">
        <v>1002</v>
      </c>
      <c r="Q284" s="18">
        <v>11</v>
      </c>
      <c r="R284" s="18"/>
      <c r="S284" s="18"/>
      <c r="T284" s="18"/>
      <c r="U2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84" s="19">
        <f>IF(AUDITORIA[[#This Row],[CAT]]="",0,1)</f>
        <v>1</v>
      </c>
      <c r="W284" s="20">
        <v>46135</v>
      </c>
      <c r="X284" s="21" t="str">
        <f>UPPER(IF(AUDITORIA[[#This Row],[DATA VERIFICAÇÃO]]="","",TEXT(AUDITORIA[[#This Row],[DATA VERIFICAÇÃO]],"mmm")))</f>
        <v>ABR</v>
      </c>
      <c r="Y284" t="s">
        <v>598</v>
      </c>
      <c r="Z284" t="s">
        <v>599</v>
      </c>
      <c r="AA284" t="s">
        <v>600</v>
      </c>
    </row>
    <row r="285" spans="1:27" ht="14.4" hidden="1" customHeight="1" x14ac:dyDescent="0.3">
      <c r="A285" s="4" t="s">
        <v>279</v>
      </c>
      <c r="B285" s="4" t="s">
        <v>17</v>
      </c>
      <c r="C285" s="16" t="s">
        <v>18</v>
      </c>
      <c r="D285" s="4">
        <v>11</v>
      </c>
      <c r="E285" s="4" t="s">
        <v>745</v>
      </c>
      <c r="F285" t="s">
        <v>563</v>
      </c>
      <c r="G285" t="s">
        <v>555</v>
      </c>
      <c r="H285" t="s">
        <v>556</v>
      </c>
      <c r="I285" t="s">
        <v>557</v>
      </c>
      <c r="J285" s="4" t="s">
        <v>55</v>
      </c>
      <c r="K285" s="4" t="s">
        <v>21</v>
      </c>
      <c r="L285" s="4" t="s">
        <v>742</v>
      </c>
      <c r="M285" s="17">
        <v>18</v>
      </c>
      <c r="N285" s="17">
        <v>1177</v>
      </c>
      <c r="O285" s="18" t="s">
        <v>55</v>
      </c>
      <c r="P285" s="18">
        <v>1177</v>
      </c>
      <c r="Q285" s="18">
        <v>18</v>
      </c>
      <c r="R285" s="18"/>
      <c r="S285" s="18"/>
      <c r="T285" s="18"/>
      <c r="U2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85" s="19">
        <f>IF(AUDITORIA[[#This Row],[CAT]]="",0,1)</f>
        <v>1</v>
      </c>
      <c r="W285" s="20">
        <v>46135</v>
      </c>
      <c r="X285" s="21" t="str">
        <f>UPPER(IF(AUDITORIA[[#This Row],[DATA VERIFICAÇÃO]]="","",TEXT(AUDITORIA[[#This Row],[DATA VERIFICAÇÃO]],"mmm")))</f>
        <v>ABR</v>
      </c>
      <c r="Y285" t="s">
        <v>598</v>
      </c>
      <c r="Z285" t="s">
        <v>599</v>
      </c>
      <c r="AA285" t="s">
        <v>600</v>
      </c>
    </row>
    <row r="286" spans="1:27" ht="14.4" hidden="1" customHeight="1" x14ac:dyDescent="0.3">
      <c r="A286" s="4" t="s">
        <v>279</v>
      </c>
      <c r="B286" s="4" t="s">
        <v>17</v>
      </c>
      <c r="C286" s="16" t="s">
        <v>18</v>
      </c>
      <c r="D286" s="4">
        <v>11</v>
      </c>
      <c r="E286" s="4" t="s">
        <v>745</v>
      </c>
      <c r="F286" t="s">
        <v>569</v>
      </c>
      <c r="G286" t="s">
        <v>555</v>
      </c>
      <c r="H286" t="s">
        <v>556</v>
      </c>
      <c r="I286" t="s">
        <v>557</v>
      </c>
      <c r="J286" s="4" t="s">
        <v>55</v>
      </c>
      <c r="K286" s="4" t="s">
        <v>21</v>
      </c>
      <c r="L286" s="4" t="s">
        <v>742</v>
      </c>
      <c r="M286" s="17">
        <v>18</v>
      </c>
      <c r="N286" s="17">
        <v>1178</v>
      </c>
      <c r="O286" s="18" t="s">
        <v>55</v>
      </c>
      <c r="P286" s="18">
        <v>1178</v>
      </c>
      <c r="Q286" s="18">
        <v>18</v>
      </c>
      <c r="R286" s="18"/>
      <c r="S286" s="18"/>
      <c r="T286" s="18"/>
      <c r="U2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86" s="19">
        <f>IF(AUDITORIA[[#This Row],[CAT]]="",0,1)</f>
        <v>1</v>
      </c>
      <c r="W286" s="20">
        <v>46135</v>
      </c>
      <c r="X286" s="21" t="str">
        <f>UPPER(IF(AUDITORIA[[#This Row],[DATA VERIFICAÇÃO]]="","",TEXT(AUDITORIA[[#This Row],[DATA VERIFICAÇÃO]],"mmm")))</f>
        <v>ABR</v>
      </c>
      <c r="Y286" t="s">
        <v>598</v>
      </c>
      <c r="Z286" t="s">
        <v>599</v>
      </c>
      <c r="AA286" t="s">
        <v>600</v>
      </c>
    </row>
    <row r="287" spans="1:27" ht="14.4" hidden="1" customHeight="1" x14ac:dyDescent="0.3">
      <c r="A287" s="4" t="s">
        <v>279</v>
      </c>
      <c r="B287" s="4" t="s">
        <v>17</v>
      </c>
      <c r="C287" s="16" t="s">
        <v>18</v>
      </c>
      <c r="D287" s="4">
        <v>11</v>
      </c>
      <c r="E287" s="4" t="s">
        <v>745</v>
      </c>
      <c r="F287" t="s">
        <v>565</v>
      </c>
      <c r="G287" t="s">
        <v>555</v>
      </c>
      <c r="H287" t="s">
        <v>556</v>
      </c>
      <c r="I287" t="s">
        <v>557</v>
      </c>
      <c r="J287" s="4" t="s">
        <v>55</v>
      </c>
      <c r="K287" s="4" t="s">
        <v>21</v>
      </c>
      <c r="L287" s="4" t="s">
        <v>742</v>
      </c>
      <c r="M287" s="17">
        <v>18</v>
      </c>
      <c r="N287" s="17">
        <v>1182</v>
      </c>
      <c r="O287" s="18" t="s">
        <v>55</v>
      </c>
      <c r="P287" s="18">
        <v>1182</v>
      </c>
      <c r="Q287" s="18">
        <v>18</v>
      </c>
      <c r="R287" s="18"/>
      <c r="S287" s="18"/>
      <c r="T287" s="18"/>
      <c r="U2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87" s="19">
        <f>IF(AUDITORIA[[#This Row],[CAT]]="",0,1)</f>
        <v>1</v>
      </c>
      <c r="W287" s="20">
        <v>46135</v>
      </c>
      <c r="X287" s="21" t="str">
        <f>UPPER(IF(AUDITORIA[[#This Row],[DATA VERIFICAÇÃO]]="","",TEXT(AUDITORIA[[#This Row],[DATA VERIFICAÇÃO]],"mmm")))</f>
        <v>ABR</v>
      </c>
      <c r="Y287" t="s">
        <v>598</v>
      </c>
      <c r="Z287" t="s">
        <v>599</v>
      </c>
      <c r="AA287" t="s">
        <v>600</v>
      </c>
    </row>
    <row r="288" spans="1:27" ht="14.4" hidden="1" customHeight="1" x14ac:dyDescent="0.3">
      <c r="A288" s="4" t="s">
        <v>279</v>
      </c>
      <c r="B288" s="4" t="s">
        <v>17</v>
      </c>
      <c r="C288" s="16" t="s">
        <v>18</v>
      </c>
      <c r="D288" s="4">
        <v>11</v>
      </c>
      <c r="E288" s="4" t="s">
        <v>745</v>
      </c>
      <c r="F288" t="s">
        <v>573</v>
      </c>
      <c r="G288" t="s">
        <v>555</v>
      </c>
      <c r="H288" t="s">
        <v>556</v>
      </c>
      <c r="I288" t="s">
        <v>557</v>
      </c>
      <c r="J288" s="4" t="s">
        <v>55</v>
      </c>
      <c r="K288" s="4" t="s">
        <v>21</v>
      </c>
      <c r="L288" s="4" t="s">
        <v>742</v>
      </c>
      <c r="M288" s="17">
        <v>4</v>
      </c>
      <c r="N288" s="17">
        <v>1193</v>
      </c>
      <c r="O288" s="18" t="s">
        <v>55</v>
      </c>
      <c r="P288" s="18">
        <v>1193</v>
      </c>
      <c r="Q288" s="18">
        <v>4</v>
      </c>
      <c r="R288" s="18"/>
      <c r="S288" s="18"/>
      <c r="T288" s="18"/>
      <c r="U2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88" s="19">
        <f>IF(AUDITORIA[[#This Row],[CAT]]="",0,1)</f>
        <v>1</v>
      </c>
      <c r="W288" s="20">
        <v>46135</v>
      </c>
      <c r="X288" s="21" t="str">
        <f>UPPER(IF(AUDITORIA[[#This Row],[DATA VERIFICAÇÃO]]="","",TEXT(AUDITORIA[[#This Row],[DATA VERIFICAÇÃO]],"mmm")))</f>
        <v>ABR</v>
      </c>
      <c r="Y288" t="s">
        <v>598</v>
      </c>
      <c r="Z288" t="s">
        <v>599</v>
      </c>
      <c r="AA288" t="s">
        <v>600</v>
      </c>
    </row>
    <row r="289" spans="1:27" ht="14.4" hidden="1" customHeight="1" x14ac:dyDescent="0.3">
      <c r="A289" s="4" t="s">
        <v>0</v>
      </c>
      <c r="B289" s="4" t="s">
        <v>17</v>
      </c>
      <c r="C289" s="16" t="s">
        <v>18</v>
      </c>
      <c r="D289" s="4">
        <v>10</v>
      </c>
      <c r="E289" s="4" t="s">
        <v>745</v>
      </c>
      <c r="F289" t="s">
        <v>216</v>
      </c>
      <c r="G289" t="s">
        <v>106</v>
      </c>
      <c r="J289" s="4" t="s">
        <v>19</v>
      </c>
      <c r="K289" s="4" t="s">
        <v>20</v>
      </c>
      <c r="L289" s="4" t="s">
        <v>742</v>
      </c>
      <c r="M289" s="17">
        <v>30</v>
      </c>
      <c r="N289" s="17">
        <v>814</v>
      </c>
      <c r="O289" s="18" t="s">
        <v>19</v>
      </c>
      <c r="P289" s="18">
        <v>814</v>
      </c>
      <c r="Q289" s="18">
        <v>30</v>
      </c>
      <c r="R289" s="18"/>
      <c r="S289" s="18"/>
      <c r="T289" s="18"/>
      <c r="U2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89" s="19">
        <f>IF(AUDITORIA[[#This Row],[CAT]]="",0,1)</f>
        <v>1</v>
      </c>
      <c r="W289" s="20">
        <v>46141</v>
      </c>
      <c r="X289" s="21" t="str">
        <f>UPPER(IF(AUDITORIA[[#This Row],[DATA VERIFICAÇÃO]]="","",TEXT(AUDITORIA[[#This Row],[DATA VERIFICAÇÃO]],"mmm")))</f>
        <v>ABR</v>
      </c>
      <c r="Y289" t="s">
        <v>598</v>
      </c>
      <c r="Z289" t="s">
        <v>691</v>
      </c>
      <c r="AA289" t="s">
        <v>692</v>
      </c>
    </row>
    <row r="290" spans="1:27" ht="14.4" hidden="1" customHeight="1" x14ac:dyDescent="0.3">
      <c r="A290" s="4" t="s">
        <v>0</v>
      </c>
      <c r="B290" s="4" t="s">
        <v>17</v>
      </c>
      <c r="C290" s="16" t="s">
        <v>18</v>
      </c>
      <c r="D290" s="4">
        <v>10</v>
      </c>
      <c r="E290" s="4" t="s">
        <v>745</v>
      </c>
      <c r="F290" t="s">
        <v>213</v>
      </c>
      <c r="G290" t="s">
        <v>106</v>
      </c>
      <c r="J290" s="4" t="s">
        <v>19</v>
      </c>
      <c r="K290" s="4" t="s">
        <v>20</v>
      </c>
      <c r="L290" s="4" t="s">
        <v>742</v>
      </c>
      <c r="M290" s="17">
        <v>30</v>
      </c>
      <c r="N290" s="17">
        <v>824</v>
      </c>
      <c r="O290" s="18" t="s">
        <v>19</v>
      </c>
      <c r="P290" s="18">
        <v>824</v>
      </c>
      <c r="Q290" s="18">
        <v>30</v>
      </c>
      <c r="R290" s="18"/>
      <c r="S290" s="18"/>
      <c r="T290" s="18"/>
      <c r="U2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90" s="19">
        <f>IF(AUDITORIA[[#This Row],[CAT]]="",0,1)</f>
        <v>1</v>
      </c>
      <c r="W290" s="20">
        <v>46141</v>
      </c>
      <c r="X290" s="21" t="str">
        <f>UPPER(IF(AUDITORIA[[#This Row],[DATA VERIFICAÇÃO]]="","",TEXT(AUDITORIA[[#This Row],[DATA VERIFICAÇÃO]],"mmm")))</f>
        <v>ABR</v>
      </c>
      <c r="Y290" t="s">
        <v>598</v>
      </c>
      <c r="Z290" t="s">
        <v>691</v>
      </c>
      <c r="AA290" t="s">
        <v>692</v>
      </c>
    </row>
    <row r="291" spans="1:27" ht="14.4" hidden="1" customHeight="1" x14ac:dyDescent="0.3">
      <c r="A291" s="4" t="s">
        <v>0</v>
      </c>
      <c r="B291" s="4" t="s">
        <v>17</v>
      </c>
      <c r="C291" s="16" t="s">
        <v>18</v>
      </c>
      <c r="D291" s="4">
        <v>10</v>
      </c>
      <c r="E291" s="4" t="s">
        <v>745</v>
      </c>
      <c r="F291" t="s">
        <v>210</v>
      </c>
      <c r="G291" t="s">
        <v>106</v>
      </c>
      <c r="J291" s="4" t="s">
        <v>19</v>
      </c>
      <c r="K291" s="4" t="s">
        <v>20</v>
      </c>
      <c r="L291" s="4" t="s">
        <v>742</v>
      </c>
      <c r="M291" s="17">
        <v>30</v>
      </c>
      <c r="N291" s="17">
        <v>810</v>
      </c>
      <c r="O291" s="18" t="s">
        <v>19</v>
      </c>
      <c r="P291" s="18">
        <v>810</v>
      </c>
      <c r="Q291" s="18">
        <v>30</v>
      </c>
      <c r="R291" s="18"/>
      <c r="S291" s="18"/>
      <c r="T291" s="18"/>
      <c r="U2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91" s="19">
        <f>IF(AUDITORIA[[#This Row],[CAT]]="",0,1)</f>
        <v>1</v>
      </c>
      <c r="W291" s="20">
        <v>46141</v>
      </c>
      <c r="X291" s="21" t="str">
        <f>UPPER(IF(AUDITORIA[[#This Row],[DATA VERIFICAÇÃO]]="","",TEXT(AUDITORIA[[#This Row],[DATA VERIFICAÇÃO]],"mmm")))</f>
        <v>ABR</v>
      </c>
      <c r="Y291" t="s">
        <v>598</v>
      </c>
      <c r="Z291" t="s">
        <v>691</v>
      </c>
      <c r="AA291" t="s">
        <v>692</v>
      </c>
    </row>
    <row r="292" spans="1:27" ht="14.4" hidden="1" customHeight="1" x14ac:dyDescent="0.3">
      <c r="A292" s="4" t="s">
        <v>0</v>
      </c>
      <c r="B292" s="4" t="s">
        <v>17</v>
      </c>
      <c r="C292" s="16" t="s">
        <v>18</v>
      </c>
      <c r="D292" s="4">
        <v>10</v>
      </c>
      <c r="E292" s="4" t="s">
        <v>745</v>
      </c>
      <c r="F292" t="s">
        <v>207</v>
      </c>
      <c r="G292" t="s">
        <v>106</v>
      </c>
      <c r="J292" s="4" t="s">
        <v>19</v>
      </c>
      <c r="K292" s="4" t="s">
        <v>20</v>
      </c>
      <c r="L292" s="4" t="s">
        <v>742</v>
      </c>
      <c r="M292" s="17">
        <v>30</v>
      </c>
      <c r="N292" s="17">
        <v>819</v>
      </c>
      <c r="O292" s="18" t="s">
        <v>19</v>
      </c>
      <c r="P292" s="18">
        <v>819</v>
      </c>
      <c r="Q292" s="18">
        <v>30</v>
      </c>
      <c r="R292" s="18"/>
      <c r="S292" s="18"/>
      <c r="T292" s="18"/>
      <c r="U2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92" s="19">
        <f>IF(AUDITORIA[[#This Row],[CAT]]="",0,1)</f>
        <v>1</v>
      </c>
      <c r="W292" s="20">
        <v>46141</v>
      </c>
      <c r="X292" s="21" t="str">
        <f>UPPER(IF(AUDITORIA[[#This Row],[DATA VERIFICAÇÃO]]="","",TEXT(AUDITORIA[[#This Row],[DATA VERIFICAÇÃO]],"mmm")))</f>
        <v>ABR</v>
      </c>
      <c r="Y292" t="s">
        <v>598</v>
      </c>
      <c r="Z292" t="s">
        <v>691</v>
      </c>
      <c r="AA292" t="s">
        <v>692</v>
      </c>
    </row>
    <row r="293" spans="1:27" ht="14.4" hidden="1" customHeight="1" x14ac:dyDescent="0.3">
      <c r="A293" s="4" t="s">
        <v>0</v>
      </c>
      <c r="B293" s="4" t="s">
        <v>17</v>
      </c>
      <c r="C293" s="16" t="s">
        <v>18</v>
      </c>
      <c r="D293" s="4">
        <v>10</v>
      </c>
      <c r="E293" s="4" t="s">
        <v>745</v>
      </c>
      <c r="F293" t="s">
        <v>204</v>
      </c>
      <c r="G293" t="s">
        <v>106</v>
      </c>
      <c r="J293" s="4" t="s">
        <v>19</v>
      </c>
      <c r="K293" s="4" t="s">
        <v>20</v>
      </c>
      <c r="L293" s="4" t="s">
        <v>742</v>
      </c>
      <c r="M293" s="17">
        <v>30</v>
      </c>
      <c r="N293" s="17">
        <v>823</v>
      </c>
      <c r="O293" s="18" t="s">
        <v>19</v>
      </c>
      <c r="P293" s="18">
        <v>823</v>
      </c>
      <c r="Q293" s="18">
        <v>30</v>
      </c>
      <c r="R293" s="18"/>
      <c r="S293" s="18"/>
      <c r="T293" s="18"/>
      <c r="U2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93" s="19">
        <f>IF(AUDITORIA[[#This Row],[CAT]]="",0,1)</f>
        <v>1</v>
      </c>
      <c r="W293" s="20">
        <v>46141</v>
      </c>
      <c r="X293" s="21" t="str">
        <f>UPPER(IF(AUDITORIA[[#This Row],[DATA VERIFICAÇÃO]]="","",TEXT(AUDITORIA[[#This Row],[DATA VERIFICAÇÃO]],"mmm")))</f>
        <v>ABR</v>
      </c>
      <c r="Y293" t="s">
        <v>598</v>
      </c>
      <c r="Z293" t="s">
        <v>691</v>
      </c>
      <c r="AA293" t="s">
        <v>692</v>
      </c>
    </row>
    <row r="294" spans="1:27" ht="14.4" hidden="1" customHeight="1" x14ac:dyDescent="0.3">
      <c r="A294" s="4" t="s">
        <v>0</v>
      </c>
      <c r="B294" s="4" t="s">
        <v>17</v>
      </c>
      <c r="C294" s="16" t="s">
        <v>18</v>
      </c>
      <c r="D294" s="4">
        <v>10</v>
      </c>
      <c r="E294" s="4" t="s">
        <v>745</v>
      </c>
      <c r="F294" t="s">
        <v>201</v>
      </c>
      <c r="G294" t="s">
        <v>106</v>
      </c>
      <c r="J294" s="4" t="s">
        <v>19</v>
      </c>
      <c r="K294" s="4" t="s">
        <v>20</v>
      </c>
      <c r="L294" s="4" t="s">
        <v>742</v>
      </c>
      <c r="M294" s="17">
        <v>30</v>
      </c>
      <c r="N294" s="17">
        <v>804</v>
      </c>
      <c r="O294" s="18" t="s">
        <v>19</v>
      </c>
      <c r="P294" s="18">
        <v>804</v>
      </c>
      <c r="Q294" s="18">
        <v>30</v>
      </c>
      <c r="R294" s="18"/>
      <c r="S294" s="18"/>
      <c r="T294" s="18"/>
      <c r="U2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94" s="19">
        <f>IF(AUDITORIA[[#This Row],[CAT]]="",0,1)</f>
        <v>1</v>
      </c>
      <c r="W294" s="20">
        <v>46141</v>
      </c>
      <c r="X294" s="21" t="str">
        <f>UPPER(IF(AUDITORIA[[#This Row],[DATA VERIFICAÇÃO]]="","",TEXT(AUDITORIA[[#This Row],[DATA VERIFICAÇÃO]],"mmm")))</f>
        <v>ABR</v>
      </c>
      <c r="Y294" t="s">
        <v>598</v>
      </c>
      <c r="Z294" t="s">
        <v>691</v>
      </c>
      <c r="AA294" t="s">
        <v>692</v>
      </c>
    </row>
    <row r="295" spans="1:27" ht="14.4" hidden="1" customHeight="1" x14ac:dyDescent="0.3">
      <c r="A295" s="4" t="s">
        <v>0</v>
      </c>
      <c r="B295" s="4" t="s">
        <v>17</v>
      </c>
      <c r="C295" s="16" t="s">
        <v>18</v>
      </c>
      <c r="D295" s="4">
        <v>10</v>
      </c>
      <c r="E295" s="4" t="s">
        <v>745</v>
      </c>
      <c r="F295" t="s">
        <v>197</v>
      </c>
      <c r="G295" t="s">
        <v>106</v>
      </c>
      <c r="J295" s="4" t="s">
        <v>19</v>
      </c>
      <c r="K295" s="4" t="s">
        <v>20</v>
      </c>
      <c r="L295" s="4" t="s">
        <v>742</v>
      </c>
      <c r="M295" s="17">
        <v>30</v>
      </c>
      <c r="N295" s="17">
        <v>814</v>
      </c>
      <c r="O295" s="18" t="s">
        <v>19</v>
      </c>
      <c r="P295" s="18">
        <v>814</v>
      </c>
      <c r="Q295" s="18">
        <v>30</v>
      </c>
      <c r="R295" s="18"/>
      <c r="S295" s="18"/>
      <c r="T295" s="18"/>
      <c r="U2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95" s="19">
        <f>IF(AUDITORIA[[#This Row],[CAT]]="",0,1)</f>
        <v>1</v>
      </c>
      <c r="W295" s="20">
        <v>46141</v>
      </c>
      <c r="X295" s="21" t="str">
        <f>UPPER(IF(AUDITORIA[[#This Row],[DATA VERIFICAÇÃO]]="","",TEXT(AUDITORIA[[#This Row],[DATA VERIFICAÇÃO]],"mmm")))</f>
        <v>ABR</v>
      </c>
      <c r="Y295" t="s">
        <v>598</v>
      </c>
      <c r="Z295" t="s">
        <v>691</v>
      </c>
      <c r="AA295" t="s">
        <v>692</v>
      </c>
    </row>
    <row r="296" spans="1:27" ht="14.4" hidden="1" customHeight="1" x14ac:dyDescent="0.3">
      <c r="A296" s="4" t="s">
        <v>0</v>
      </c>
      <c r="B296" s="4" t="s">
        <v>17</v>
      </c>
      <c r="C296" s="16" t="s">
        <v>18</v>
      </c>
      <c r="D296" s="4">
        <v>10</v>
      </c>
      <c r="E296" s="4" t="s">
        <v>745</v>
      </c>
      <c r="F296" t="s">
        <v>193</v>
      </c>
      <c r="G296" t="s">
        <v>106</v>
      </c>
      <c r="J296" s="4" t="s">
        <v>19</v>
      </c>
      <c r="K296" s="4" t="s">
        <v>20</v>
      </c>
      <c r="L296" s="4" t="s">
        <v>742</v>
      </c>
      <c r="M296" s="17">
        <v>30</v>
      </c>
      <c r="N296" s="17">
        <v>793</v>
      </c>
      <c r="O296" s="18" t="s">
        <v>19</v>
      </c>
      <c r="P296" s="18">
        <v>793</v>
      </c>
      <c r="Q296" s="18">
        <v>30</v>
      </c>
      <c r="R296" s="18"/>
      <c r="S296" s="18"/>
      <c r="T296" s="18"/>
      <c r="U2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96" s="19">
        <f>IF(AUDITORIA[[#This Row],[CAT]]="",0,1)</f>
        <v>1</v>
      </c>
      <c r="W296" s="20">
        <v>46141</v>
      </c>
      <c r="X296" s="21" t="str">
        <f>UPPER(IF(AUDITORIA[[#This Row],[DATA VERIFICAÇÃO]]="","",TEXT(AUDITORIA[[#This Row],[DATA VERIFICAÇÃO]],"mmm")))</f>
        <v>ABR</v>
      </c>
      <c r="Y296" t="s">
        <v>598</v>
      </c>
      <c r="Z296" t="s">
        <v>691</v>
      </c>
      <c r="AA296" t="s">
        <v>692</v>
      </c>
    </row>
    <row r="297" spans="1:27" ht="14.4" hidden="1" customHeight="1" x14ac:dyDescent="0.3">
      <c r="A297" s="4" t="s">
        <v>0</v>
      </c>
      <c r="B297" s="4" t="s">
        <v>17</v>
      </c>
      <c r="C297" s="16" t="s">
        <v>18</v>
      </c>
      <c r="D297" s="4">
        <v>10</v>
      </c>
      <c r="E297" s="4" t="s">
        <v>745</v>
      </c>
      <c r="F297" t="s">
        <v>190</v>
      </c>
      <c r="G297" t="s">
        <v>106</v>
      </c>
      <c r="J297" s="4" t="s">
        <v>31</v>
      </c>
      <c r="K297" s="4" t="s">
        <v>20</v>
      </c>
      <c r="L297" s="4" t="s">
        <v>742</v>
      </c>
      <c r="M297" s="17">
        <v>30</v>
      </c>
      <c r="N297" s="17">
        <v>825</v>
      </c>
      <c r="O297" s="18" t="s">
        <v>31</v>
      </c>
      <c r="P297" s="18">
        <v>825</v>
      </c>
      <c r="Q297" s="18">
        <v>30</v>
      </c>
      <c r="R297" s="18"/>
      <c r="S297" s="18"/>
      <c r="T297" s="18"/>
      <c r="U2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97" s="19">
        <f>IF(AUDITORIA[[#This Row],[CAT]]="",0,1)</f>
        <v>1</v>
      </c>
      <c r="W297" s="20">
        <v>46141</v>
      </c>
      <c r="X297" s="21" t="str">
        <f>UPPER(IF(AUDITORIA[[#This Row],[DATA VERIFICAÇÃO]]="","",TEXT(AUDITORIA[[#This Row],[DATA VERIFICAÇÃO]],"mmm")))</f>
        <v>ABR</v>
      </c>
      <c r="Y297" t="s">
        <v>598</v>
      </c>
      <c r="Z297" t="s">
        <v>691</v>
      </c>
      <c r="AA297" t="s">
        <v>692</v>
      </c>
    </row>
    <row r="298" spans="1:27" ht="14.4" hidden="1" customHeight="1" x14ac:dyDescent="0.3">
      <c r="A298" s="4" t="s">
        <v>0</v>
      </c>
      <c r="B298" s="4" t="s">
        <v>17</v>
      </c>
      <c r="C298" s="16" t="s">
        <v>18</v>
      </c>
      <c r="D298" s="4">
        <v>10</v>
      </c>
      <c r="E298" s="4" t="s">
        <v>745</v>
      </c>
      <c r="F298" t="s">
        <v>188</v>
      </c>
      <c r="G298" t="s">
        <v>106</v>
      </c>
      <c r="J298" s="4" t="s">
        <v>31</v>
      </c>
      <c r="K298" s="4" t="s">
        <v>20</v>
      </c>
      <c r="L298" s="4" t="s">
        <v>742</v>
      </c>
      <c r="M298" s="17">
        <v>12</v>
      </c>
      <c r="N298" s="17">
        <v>804</v>
      </c>
      <c r="O298" s="18" t="s">
        <v>31</v>
      </c>
      <c r="P298" s="18">
        <v>804</v>
      </c>
      <c r="Q298" s="18">
        <v>12</v>
      </c>
      <c r="R298" s="18"/>
      <c r="S298" s="18"/>
      <c r="T298" s="18"/>
      <c r="U2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98" s="19">
        <f>IF(AUDITORIA[[#This Row],[CAT]]="",0,1)</f>
        <v>1</v>
      </c>
      <c r="W298" s="20">
        <v>46141</v>
      </c>
      <c r="X298" s="21" t="str">
        <f>UPPER(IF(AUDITORIA[[#This Row],[DATA VERIFICAÇÃO]]="","",TEXT(AUDITORIA[[#This Row],[DATA VERIFICAÇÃO]],"mmm")))</f>
        <v>ABR</v>
      </c>
      <c r="Y298" t="s">
        <v>598</v>
      </c>
      <c r="Z298" t="s">
        <v>691</v>
      </c>
      <c r="AA298" t="s">
        <v>692</v>
      </c>
    </row>
    <row r="299" spans="1:27" ht="14.4" hidden="1" customHeight="1" x14ac:dyDescent="0.3">
      <c r="A299" s="4" t="s">
        <v>0</v>
      </c>
      <c r="B299" s="4" t="s">
        <v>17</v>
      </c>
      <c r="C299" s="16" t="s">
        <v>18</v>
      </c>
      <c r="D299" s="4">
        <v>10</v>
      </c>
      <c r="E299" s="4" t="s">
        <v>745</v>
      </c>
      <c r="F299" t="s">
        <v>122</v>
      </c>
      <c r="G299" t="s">
        <v>106</v>
      </c>
      <c r="J299" s="4" t="s">
        <v>31</v>
      </c>
      <c r="K299" s="4" t="s">
        <v>20</v>
      </c>
      <c r="L299" s="4" t="s">
        <v>742</v>
      </c>
      <c r="M299" s="17">
        <v>30</v>
      </c>
      <c r="N299" s="17">
        <v>828</v>
      </c>
      <c r="O299" s="18" t="s">
        <v>31</v>
      </c>
      <c r="P299" s="18">
        <v>828</v>
      </c>
      <c r="Q299" s="18">
        <v>30</v>
      </c>
      <c r="R299" s="18"/>
      <c r="S299" s="18"/>
      <c r="T299" s="18"/>
      <c r="U2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99" s="19">
        <f>IF(AUDITORIA[[#This Row],[CAT]]="",0,1)</f>
        <v>1</v>
      </c>
      <c r="W299" s="20">
        <v>46141</v>
      </c>
      <c r="X299" s="21" t="str">
        <f>UPPER(IF(AUDITORIA[[#This Row],[DATA VERIFICAÇÃO]]="","",TEXT(AUDITORIA[[#This Row],[DATA VERIFICAÇÃO]],"mmm")))</f>
        <v>ABR</v>
      </c>
      <c r="Y299" t="s">
        <v>598</v>
      </c>
      <c r="Z299" t="s">
        <v>691</v>
      </c>
      <c r="AA299" t="s">
        <v>692</v>
      </c>
    </row>
    <row r="300" spans="1:27" ht="14.4" hidden="1" customHeight="1" x14ac:dyDescent="0.3">
      <c r="A300" s="4" t="s">
        <v>0</v>
      </c>
      <c r="B300" s="4" t="s">
        <v>17</v>
      </c>
      <c r="C300" s="16" t="s">
        <v>18</v>
      </c>
      <c r="D300" s="4">
        <v>10</v>
      </c>
      <c r="E300" s="4" t="s">
        <v>745</v>
      </c>
      <c r="F300" t="s">
        <v>117</v>
      </c>
      <c r="G300" t="s">
        <v>106</v>
      </c>
      <c r="J300" s="4" t="s">
        <v>19</v>
      </c>
      <c r="K300" s="4" t="s">
        <v>20</v>
      </c>
      <c r="L300" s="4" t="s">
        <v>742</v>
      </c>
      <c r="M300" s="17">
        <v>30</v>
      </c>
      <c r="N300" s="17">
        <v>804</v>
      </c>
      <c r="O300" s="18" t="s">
        <v>19</v>
      </c>
      <c r="P300" s="18">
        <v>804</v>
      </c>
      <c r="Q300" s="18">
        <v>30</v>
      </c>
      <c r="R300" s="18"/>
      <c r="S300" s="18"/>
      <c r="T300" s="18"/>
      <c r="U3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00" s="19">
        <f>IF(AUDITORIA[[#This Row],[CAT]]="",0,1)</f>
        <v>1</v>
      </c>
      <c r="W300" s="20">
        <v>46141</v>
      </c>
      <c r="X300" s="21" t="str">
        <f>UPPER(IF(AUDITORIA[[#This Row],[DATA VERIFICAÇÃO]]="","",TEXT(AUDITORIA[[#This Row],[DATA VERIFICAÇÃO]],"mmm")))</f>
        <v>ABR</v>
      </c>
      <c r="Y300" t="s">
        <v>598</v>
      </c>
      <c r="Z300" t="s">
        <v>691</v>
      </c>
      <c r="AA300" t="s">
        <v>692</v>
      </c>
    </row>
    <row r="301" spans="1:27" ht="14.4" hidden="1" customHeight="1" x14ac:dyDescent="0.3">
      <c r="A301" s="4" t="s">
        <v>0</v>
      </c>
      <c r="B301" s="4" t="s">
        <v>17</v>
      </c>
      <c r="C301" s="16" t="s">
        <v>18</v>
      </c>
      <c r="D301" s="4">
        <v>10</v>
      </c>
      <c r="E301" s="4" t="s">
        <v>745</v>
      </c>
      <c r="F301" t="s">
        <v>111</v>
      </c>
      <c r="G301" t="s">
        <v>106</v>
      </c>
      <c r="J301" s="4" t="s">
        <v>19</v>
      </c>
      <c r="K301" s="4" t="s">
        <v>20</v>
      </c>
      <c r="L301" s="4" t="s">
        <v>742</v>
      </c>
      <c r="M301" s="17">
        <v>30</v>
      </c>
      <c r="N301" s="17">
        <v>823</v>
      </c>
      <c r="O301" s="18" t="s">
        <v>19</v>
      </c>
      <c r="P301" s="18">
        <v>823</v>
      </c>
      <c r="Q301" s="18">
        <v>30</v>
      </c>
      <c r="R301" s="18"/>
      <c r="S301" s="18"/>
      <c r="T301" s="18"/>
      <c r="U3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01" s="19">
        <f>IF(AUDITORIA[[#This Row],[CAT]]="",0,1)</f>
        <v>1</v>
      </c>
      <c r="W301" s="20">
        <v>46141</v>
      </c>
      <c r="X301" s="21" t="str">
        <f>UPPER(IF(AUDITORIA[[#This Row],[DATA VERIFICAÇÃO]]="","",TEXT(AUDITORIA[[#This Row],[DATA VERIFICAÇÃO]],"mmm")))</f>
        <v>ABR</v>
      </c>
      <c r="Y301" t="s">
        <v>598</v>
      </c>
      <c r="Z301" t="s">
        <v>691</v>
      </c>
      <c r="AA301" t="s">
        <v>692</v>
      </c>
    </row>
    <row r="302" spans="1:27" ht="14.4" hidden="1" customHeight="1" x14ac:dyDescent="0.3">
      <c r="A302" s="4" t="s">
        <v>0</v>
      </c>
      <c r="B302" s="4" t="s">
        <v>17</v>
      </c>
      <c r="C302" s="16" t="s">
        <v>18</v>
      </c>
      <c r="D302" s="4">
        <v>10</v>
      </c>
      <c r="E302" s="4" t="s">
        <v>745</v>
      </c>
      <c r="F302" t="s">
        <v>109</v>
      </c>
      <c r="G302" t="s">
        <v>106</v>
      </c>
      <c r="J302" s="4" t="s">
        <v>19</v>
      </c>
      <c r="K302" s="4" t="s">
        <v>20</v>
      </c>
      <c r="L302" s="4" t="s">
        <v>742</v>
      </c>
      <c r="M302" s="17">
        <v>20</v>
      </c>
      <c r="N302" s="17">
        <v>817</v>
      </c>
      <c r="O302" s="18" t="s">
        <v>19</v>
      </c>
      <c r="P302" s="18">
        <v>817</v>
      </c>
      <c r="Q302" s="18">
        <v>20</v>
      </c>
      <c r="R302" s="18"/>
      <c r="S302" s="18"/>
      <c r="T302" s="18"/>
      <c r="U3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02" s="19">
        <f>IF(AUDITORIA[[#This Row],[CAT]]="",0,1)</f>
        <v>1</v>
      </c>
      <c r="W302" s="20">
        <v>46141</v>
      </c>
      <c r="X302" s="21" t="str">
        <f>UPPER(IF(AUDITORIA[[#This Row],[DATA VERIFICAÇÃO]]="","",TEXT(AUDITORIA[[#This Row],[DATA VERIFICAÇÃO]],"mmm")))</f>
        <v>ABR</v>
      </c>
      <c r="Y302" t="s">
        <v>598</v>
      </c>
      <c r="Z302" t="s">
        <v>691</v>
      </c>
      <c r="AA302" t="s">
        <v>692</v>
      </c>
    </row>
    <row r="303" spans="1:27" ht="14.4" hidden="1" customHeight="1" x14ac:dyDescent="0.3">
      <c r="A303" s="4" t="s">
        <v>0</v>
      </c>
      <c r="B303" s="4" t="s">
        <v>17</v>
      </c>
      <c r="C303" s="16" t="s">
        <v>18</v>
      </c>
      <c r="D303" s="4">
        <v>10</v>
      </c>
      <c r="E303" s="4" t="s">
        <v>745</v>
      </c>
      <c r="F303" t="s">
        <v>218</v>
      </c>
      <c r="G303" t="s">
        <v>106</v>
      </c>
      <c r="J303" s="4" t="s">
        <v>19</v>
      </c>
      <c r="K303" s="4" t="s">
        <v>21</v>
      </c>
      <c r="L303" s="4" t="s">
        <v>742</v>
      </c>
      <c r="M303" s="17">
        <v>24</v>
      </c>
      <c r="N303" s="17">
        <v>1033</v>
      </c>
      <c r="O303" s="18" t="s">
        <v>19</v>
      </c>
      <c r="P303" s="18">
        <v>1033</v>
      </c>
      <c r="Q303" s="18">
        <v>24</v>
      </c>
      <c r="R303" s="18"/>
      <c r="S303" s="18"/>
      <c r="T303" s="18"/>
      <c r="U3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03" s="19">
        <f>IF(AUDITORIA[[#This Row],[CAT]]="",0,1)</f>
        <v>1</v>
      </c>
      <c r="W303" s="20">
        <v>46141</v>
      </c>
      <c r="X303" s="21" t="str">
        <f>UPPER(IF(AUDITORIA[[#This Row],[DATA VERIFICAÇÃO]]="","",TEXT(AUDITORIA[[#This Row],[DATA VERIFICAÇÃO]],"mmm")))</f>
        <v>ABR</v>
      </c>
      <c r="Y303" t="s">
        <v>598</v>
      </c>
      <c r="Z303" t="s">
        <v>691</v>
      </c>
      <c r="AA303" t="s">
        <v>692</v>
      </c>
    </row>
    <row r="304" spans="1:27" ht="14.4" hidden="1" customHeight="1" x14ac:dyDescent="0.3">
      <c r="A304" s="4" t="s">
        <v>0</v>
      </c>
      <c r="B304" s="4" t="s">
        <v>17</v>
      </c>
      <c r="C304" s="16" t="s">
        <v>18</v>
      </c>
      <c r="D304" s="4">
        <v>10</v>
      </c>
      <c r="E304" s="4" t="s">
        <v>745</v>
      </c>
      <c r="F304" t="s">
        <v>217</v>
      </c>
      <c r="G304" t="s">
        <v>106</v>
      </c>
      <c r="J304" s="4" t="s">
        <v>19</v>
      </c>
      <c r="K304" s="4" t="s">
        <v>21</v>
      </c>
      <c r="L304" s="4" t="s">
        <v>742</v>
      </c>
      <c r="M304" s="17">
        <v>24</v>
      </c>
      <c r="N304" s="17">
        <v>1014</v>
      </c>
      <c r="O304" s="18" t="s">
        <v>19</v>
      </c>
      <c r="P304" s="18">
        <v>1014</v>
      </c>
      <c r="Q304" s="18">
        <v>24</v>
      </c>
      <c r="R304" s="18"/>
      <c r="S304" s="18"/>
      <c r="T304" s="18"/>
      <c r="U3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04" s="19">
        <f>IF(AUDITORIA[[#This Row],[CAT]]="",0,1)</f>
        <v>1</v>
      </c>
      <c r="W304" s="20">
        <v>46141</v>
      </c>
      <c r="X304" s="21" t="str">
        <f>UPPER(IF(AUDITORIA[[#This Row],[DATA VERIFICAÇÃO]]="","",TEXT(AUDITORIA[[#This Row],[DATA VERIFICAÇÃO]],"mmm")))</f>
        <v>ABR</v>
      </c>
      <c r="Y304" t="s">
        <v>598</v>
      </c>
      <c r="Z304" t="s">
        <v>691</v>
      </c>
      <c r="AA304" t="s">
        <v>692</v>
      </c>
    </row>
    <row r="305" spans="1:27" ht="14.4" hidden="1" customHeight="1" x14ac:dyDescent="0.3">
      <c r="A305" s="4" t="s">
        <v>0</v>
      </c>
      <c r="B305" s="4" t="s">
        <v>17</v>
      </c>
      <c r="C305" s="16" t="s">
        <v>18</v>
      </c>
      <c r="D305" s="4">
        <v>10</v>
      </c>
      <c r="E305" s="4" t="s">
        <v>745</v>
      </c>
      <c r="F305" t="s">
        <v>215</v>
      </c>
      <c r="G305" t="s">
        <v>106</v>
      </c>
      <c r="J305" s="4" t="s">
        <v>19</v>
      </c>
      <c r="K305" s="4" t="s">
        <v>21</v>
      </c>
      <c r="L305" s="4" t="s">
        <v>742</v>
      </c>
      <c r="M305" s="17">
        <v>24</v>
      </c>
      <c r="N305" s="17">
        <v>1015</v>
      </c>
      <c r="O305" s="18" t="s">
        <v>19</v>
      </c>
      <c r="P305" s="18">
        <v>1015</v>
      </c>
      <c r="Q305" s="18">
        <v>24</v>
      </c>
      <c r="R305" s="18"/>
      <c r="S305" s="18"/>
      <c r="T305" s="18"/>
      <c r="U3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05" s="19">
        <f>IF(AUDITORIA[[#This Row],[CAT]]="",0,1)</f>
        <v>1</v>
      </c>
      <c r="W305" s="20">
        <v>46141</v>
      </c>
      <c r="X305" s="21" t="str">
        <f>UPPER(IF(AUDITORIA[[#This Row],[DATA VERIFICAÇÃO]]="","",TEXT(AUDITORIA[[#This Row],[DATA VERIFICAÇÃO]],"mmm")))</f>
        <v>ABR</v>
      </c>
      <c r="Y305" t="s">
        <v>598</v>
      </c>
      <c r="Z305" t="s">
        <v>691</v>
      </c>
      <c r="AA305" t="s">
        <v>692</v>
      </c>
    </row>
    <row r="306" spans="1:27" ht="14.4" hidden="1" customHeight="1" x14ac:dyDescent="0.3">
      <c r="A306" s="4" t="s">
        <v>0</v>
      </c>
      <c r="B306" s="4" t="s">
        <v>17</v>
      </c>
      <c r="C306" s="16" t="s">
        <v>18</v>
      </c>
      <c r="D306" s="4">
        <v>10</v>
      </c>
      <c r="E306" s="4" t="s">
        <v>745</v>
      </c>
      <c r="F306" t="s">
        <v>214</v>
      </c>
      <c r="G306" t="s">
        <v>106</v>
      </c>
      <c r="J306" s="4" t="s">
        <v>19</v>
      </c>
      <c r="K306" s="4" t="s">
        <v>21</v>
      </c>
      <c r="L306" s="4" t="s">
        <v>742</v>
      </c>
      <c r="M306" s="17">
        <v>27</v>
      </c>
      <c r="N306" s="17">
        <v>1000</v>
      </c>
      <c r="O306" s="18" t="s">
        <v>19</v>
      </c>
      <c r="P306" s="18">
        <v>1000</v>
      </c>
      <c r="Q306" s="18">
        <v>27</v>
      </c>
      <c r="R306" s="18"/>
      <c r="S306" s="18"/>
      <c r="T306" s="18"/>
      <c r="U3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06" s="19">
        <f>IF(AUDITORIA[[#This Row],[CAT]]="",0,1)</f>
        <v>1</v>
      </c>
      <c r="W306" s="20">
        <v>46141</v>
      </c>
      <c r="X306" s="21" t="str">
        <f>UPPER(IF(AUDITORIA[[#This Row],[DATA VERIFICAÇÃO]]="","",TEXT(AUDITORIA[[#This Row],[DATA VERIFICAÇÃO]],"mmm")))</f>
        <v>ABR</v>
      </c>
      <c r="Y306" t="s">
        <v>598</v>
      </c>
      <c r="Z306" t="s">
        <v>691</v>
      </c>
      <c r="AA306" t="s">
        <v>692</v>
      </c>
    </row>
    <row r="307" spans="1:27" ht="14.4" hidden="1" customHeight="1" x14ac:dyDescent="0.3">
      <c r="A307" s="4" t="s">
        <v>0</v>
      </c>
      <c r="B307" s="4" t="s">
        <v>17</v>
      </c>
      <c r="C307" s="16" t="s">
        <v>18</v>
      </c>
      <c r="D307" s="4">
        <v>10</v>
      </c>
      <c r="E307" s="4" t="s">
        <v>745</v>
      </c>
      <c r="F307" t="s">
        <v>212</v>
      </c>
      <c r="G307" t="s">
        <v>106</v>
      </c>
      <c r="J307" s="4" t="s">
        <v>19</v>
      </c>
      <c r="K307" s="4" t="s">
        <v>21</v>
      </c>
      <c r="L307" s="4" t="s">
        <v>742</v>
      </c>
      <c r="M307" s="17">
        <v>27</v>
      </c>
      <c r="N307" s="17">
        <v>992</v>
      </c>
      <c r="O307" s="18" t="s">
        <v>19</v>
      </c>
      <c r="P307" s="18">
        <v>992</v>
      </c>
      <c r="Q307" s="18">
        <v>27</v>
      </c>
      <c r="R307" s="18"/>
      <c r="S307" s="18"/>
      <c r="T307" s="18"/>
      <c r="U3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07" s="19">
        <f>IF(AUDITORIA[[#This Row],[CAT]]="",0,1)</f>
        <v>1</v>
      </c>
      <c r="W307" s="20">
        <v>46141</v>
      </c>
      <c r="X307" s="21" t="str">
        <f>UPPER(IF(AUDITORIA[[#This Row],[DATA VERIFICAÇÃO]]="","",TEXT(AUDITORIA[[#This Row],[DATA VERIFICAÇÃO]],"mmm")))</f>
        <v>ABR</v>
      </c>
      <c r="Y307" t="s">
        <v>598</v>
      </c>
      <c r="Z307" t="s">
        <v>691</v>
      </c>
      <c r="AA307" t="s">
        <v>692</v>
      </c>
    </row>
    <row r="308" spans="1:27" ht="14.4" hidden="1" customHeight="1" x14ac:dyDescent="0.3">
      <c r="A308" s="4" t="s">
        <v>0</v>
      </c>
      <c r="B308" s="4" t="s">
        <v>17</v>
      </c>
      <c r="C308" s="16" t="s">
        <v>18</v>
      </c>
      <c r="D308" s="4">
        <v>10</v>
      </c>
      <c r="E308" s="4" t="s">
        <v>745</v>
      </c>
      <c r="F308" t="s">
        <v>211</v>
      </c>
      <c r="G308" t="s">
        <v>106</v>
      </c>
      <c r="J308" s="4" t="s">
        <v>19</v>
      </c>
      <c r="K308" s="4" t="s">
        <v>21</v>
      </c>
      <c r="L308" s="4" t="s">
        <v>742</v>
      </c>
      <c r="M308" s="17">
        <v>24</v>
      </c>
      <c r="N308" s="17">
        <v>1018</v>
      </c>
      <c r="O308" s="18" t="s">
        <v>19</v>
      </c>
      <c r="P308" s="18">
        <v>1018</v>
      </c>
      <c r="Q308" s="18">
        <v>24</v>
      </c>
      <c r="R308" s="18"/>
      <c r="S308" s="18"/>
      <c r="T308" s="18"/>
      <c r="U3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08" s="19">
        <f>IF(AUDITORIA[[#This Row],[CAT]]="",0,1)</f>
        <v>1</v>
      </c>
      <c r="W308" s="20">
        <v>46141</v>
      </c>
      <c r="X308" s="21" t="str">
        <f>UPPER(IF(AUDITORIA[[#This Row],[DATA VERIFICAÇÃO]]="","",TEXT(AUDITORIA[[#This Row],[DATA VERIFICAÇÃO]],"mmm")))</f>
        <v>ABR</v>
      </c>
      <c r="Y308" t="s">
        <v>598</v>
      </c>
      <c r="Z308" t="s">
        <v>691</v>
      </c>
      <c r="AA308" t="s">
        <v>692</v>
      </c>
    </row>
    <row r="309" spans="1:27" ht="14.4" hidden="1" customHeight="1" x14ac:dyDescent="0.3">
      <c r="A309" s="4" t="s">
        <v>0</v>
      </c>
      <c r="B309" s="4" t="s">
        <v>17</v>
      </c>
      <c r="C309" s="16" t="s">
        <v>18</v>
      </c>
      <c r="D309" s="4">
        <v>10</v>
      </c>
      <c r="E309" s="4" t="s">
        <v>745</v>
      </c>
      <c r="F309" t="s">
        <v>209</v>
      </c>
      <c r="G309" t="s">
        <v>106</v>
      </c>
      <c r="J309" s="4" t="s">
        <v>19</v>
      </c>
      <c r="K309" s="4" t="s">
        <v>21</v>
      </c>
      <c r="L309" s="4" t="s">
        <v>742</v>
      </c>
      <c r="M309" s="17">
        <v>24</v>
      </c>
      <c r="N309" s="17">
        <v>1016</v>
      </c>
      <c r="O309" s="18" t="s">
        <v>19</v>
      </c>
      <c r="P309" s="18">
        <v>1016</v>
      </c>
      <c r="Q309" s="18">
        <v>24</v>
      </c>
      <c r="R309" s="18"/>
      <c r="S309" s="18"/>
      <c r="T309" s="18"/>
      <c r="U3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09" s="19">
        <f>IF(AUDITORIA[[#This Row],[CAT]]="",0,1)</f>
        <v>1</v>
      </c>
      <c r="W309" s="20">
        <v>46141</v>
      </c>
      <c r="X309" s="21" t="str">
        <f>UPPER(IF(AUDITORIA[[#This Row],[DATA VERIFICAÇÃO]]="","",TEXT(AUDITORIA[[#This Row],[DATA VERIFICAÇÃO]],"mmm")))</f>
        <v>ABR</v>
      </c>
      <c r="Y309" t="s">
        <v>598</v>
      </c>
      <c r="Z309" t="s">
        <v>691</v>
      </c>
      <c r="AA309" t="s">
        <v>692</v>
      </c>
    </row>
    <row r="310" spans="1:27" ht="14.4" hidden="1" customHeight="1" x14ac:dyDescent="0.3">
      <c r="A310" s="4" t="s">
        <v>0</v>
      </c>
      <c r="B310" s="4" t="s">
        <v>17</v>
      </c>
      <c r="C310" s="16" t="s">
        <v>18</v>
      </c>
      <c r="D310" s="4">
        <v>10</v>
      </c>
      <c r="E310" s="4" t="s">
        <v>745</v>
      </c>
      <c r="F310" t="s">
        <v>208</v>
      </c>
      <c r="G310" t="s">
        <v>106</v>
      </c>
      <c r="J310" s="4" t="s">
        <v>19</v>
      </c>
      <c r="K310" s="4" t="s">
        <v>21</v>
      </c>
      <c r="L310" s="4" t="s">
        <v>742</v>
      </c>
      <c r="M310" s="17">
        <v>27</v>
      </c>
      <c r="N310" s="17">
        <v>1002</v>
      </c>
      <c r="O310" s="18" t="s">
        <v>19</v>
      </c>
      <c r="P310" s="18">
        <v>1002</v>
      </c>
      <c r="Q310" s="18">
        <v>27</v>
      </c>
      <c r="R310" s="18"/>
      <c r="S310" s="18"/>
      <c r="T310" s="18"/>
      <c r="U3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10" s="19">
        <f>IF(AUDITORIA[[#This Row],[CAT]]="",0,1)</f>
        <v>1</v>
      </c>
      <c r="W310" s="20">
        <v>46141</v>
      </c>
      <c r="X310" s="21" t="str">
        <f>UPPER(IF(AUDITORIA[[#This Row],[DATA VERIFICAÇÃO]]="","",TEXT(AUDITORIA[[#This Row],[DATA VERIFICAÇÃO]],"mmm")))</f>
        <v>ABR</v>
      </c>
      <c r="Y310" t="s">
        <v>598</v>
      </c>
      <c r="Z310" t="s">
        <v>691</v>
      </c>
      <c r="AA310" t="s">
        <v>692</v>
      </c>
    </row>
    <row r="311" spans="1:27" ht="14.4" hidden="1" customHeight="1" x14ac:dyDescent="0.3">
      <c r="A311" s="4" t="s">
        <v>0</v>
      </c>
      <c r="B311" s="4" t="s">
        <v>17</v>
      </c>
      <c r="C311" s="16" t="s">
        <v>18</v>
      </c>
      <c r="D311" s="4">
        <v>10</v>
      </c>
      <c r="E311" s="4" t="s">
        <v>745</v>
      </c>
      <c r="F311" t="s">
        <v>206</v>
      </c>
      <c r="G311" t="s">
        <v>106</v>
      </c>
      <c r="J311" s="4" t="s">
        <v>19</v>
      </c>
      <c r="K311" s="4" t="s">
        <v>21</v>
      </c>
      <c r="L311" s="4" t="s">
        <v>742</v>
      </c>
      <c r="M311" s="17">
        <v>24</v>
      </c>
      <c r="N311" s="17">
        <v>1028</v>
      </c>
      <c r="O311" s="18" t="s">
        <v>19</v>
      </c>
      <c r="P311" s="18">
        <v>1028</v>
      </c>
      <c r="Q311" s="18">
        <v>24</v>
      </c>
      <c r="R311" s="18"/>
      <c r="S311" s="18"/>
      <c r="T311" s="18"/>
      <c r="U3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11" s="19">
        <f>IF(AUDITORIA[[#This Row],[CAT]]="",0,1)</f>
        <v>1</v>
      </c>
      <c r="W311" s="20">
        <v>46141</v>
      </c>
      <c r="X311" s="21" t="str">
        <f>UPPER(IF(AUDITORIA[[#This Row],[DATA VERIFICAÇÃO]]="","",TEXT(AUDITORIA[[#This Row],[DATA VERIFICAÇÃO]],"mmm")))</f>
        <v>ABR</v>
      </c>
      <c r="Y311" t="s">
        <v>598</v>
      </c>
      <c r="Z311" t="s">
        <v>691</v>
      </c>
      <c r="AA311" t="s">
        <v>692</v>
      </c>
    </row>
    <row r="312" spans="1:27" ht="14.4" hidden="1" customHeight="1" x14ac:dyDescent="0.3">
      <c r="A312" s="4" t="s">
        <v>0</v>
      </c>
      <c r="B312" s="4" t="s">
        <v>17</v>
      </c>
      <c r="C312" s="16" t="s">
        <v>18</v>
      </c>
      <c r="D312" s="4">
        <v>10</v>
      </c>
      <c r="E312" s="4" t="s">
        <v>745</v>
      </c>
      <c r="F312" t="s">
        <v>205</v>
      </c>
      <c r="G312" t="s">
        <v>106</v>
      </c>
      <c r="J312" s="4" t="s">
        <v>19</v>
      </c>
      <c r="K312" s="4" t="s">
        <v>21</v>
      </c>
      <c r="L312" s="4" t="s">
        <v>742</v>
      </c>
      <c r="M312" s="17">
        <v>27</v>
      </c>
      <c r="N312" s="17">
        <v>998</v>
      </c>
      <c r="O312" s="18" t="s">
        <v>19</v>
      </c>
      <c r="P312" s="18">
        <v>998</v>
      </c>
      <c r="Q312" s="18">
        <v>27</v>
      </c>
      <c r="R312" s="18"/>
      <c r="S312" s="18"/>
      <c r="T312" s="18"/>
      <c r="U3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12" s="19">
        <f>IF(AUDITORIA[[#This Row],[CAT]]="",0,1)</f>
        <v>1</v>
      </c>
      <c r="W312" s="20">
        <v>46141</v>
      </c>
      <c r="X312" s="21" t="str">
        <f>UPPER(IF(AUDITORIA[[#This Row],[DATA VERIFICAÇÃO]]="","",TEXT(AUDITORIA[[#This Row],[DATA VERIFICAÇÃO]],"mmm")))</f>
        <v>ABR</v>
      </c>
      <c r="Y312" t="s">
        <v>598</v>
      </c>
      <c r="Z312" t="s">
        <v>691</v>
      </c>
      <c r="AA312" t="s">
        <v>692</v>
      </c>
    </row>
    <row r="313" spans="1:27" ht="14.4" hidden="1" customHeight="1" x14ac:dyDescent="0.3">
      <c r="A313" s="4" t="s">
        <v>0</v>
      </c>
      <c r="B313" s="4" t="s">
        <v>17</v>
      </c>
      <c r="C313" s="16" t="s">
        <v>18</v>
      </c>
      <c r="D313" s="4">
        <v>10</v>
      </c>
      <c r="E313" s="4" t="s">
        <v>745</v>
      </c>
      <c r="F313" t="s">
        <v>203</v>
      </c>
      <c r="G313" t="s">
        <v>106</v>
      </c>
      <c r="J313" s="4" t="s">
        <v>19</v>
      </c>
      <c r="K313" s="4" t="s">
        <v>21</v>
      </c>
      <c r="L313" s="4" t="s">
        <v>742</v>
      </c>
      <c r="M313" s="17">
        <v>27</v>
      </c>
      <c r="N313" s="17">
        <v>993</v>
      </c>
      <c r="O313" s="18" t="s">
        <v>19</v>
      </c>
      <c r="P313" s="18">
        <v>993</v>
      </c>
      <c r="Q313" s="18">
        <v>27</v>
      </c>
      <c r="R313" s="18"/>
      <c r="S313" s="18"/>
      <c r="T313" s="18"/>
      <c r="U3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13" s="19">
        <f>IF(AUDITORIA[[#This Row],[CAT]]="",0,1)</f>
        <v>1</v>
      </c>
      <c r="W313" s="20">
        <v>46141</v>
      </c>
      <c r="X313" s="21" t="str">
        <f>UPPER(IF(AUDITORIA[[#This Row],[DATA VERIFICAÇÃO]]="","",TEXT(AUDITORIA[[#This Row],[DATA VERIFICAÇÃO]],"mmm")))</f>
        <v>ABR</v>
      </c>
      <c r="Y313" t="s">
        <v>598</v>
      </c>
      <c r="Z313" t="s">
        <v>691</v>
      </c>
      <c r="AA313" t="s">
        <v>692</v>
      </c>
    </row>
    <row r="314" spans="1:27" ht="14.4" hidden="1" customHeight="1" x14ac:dyDescent="0.3">
      <c r="A314" s="4" t="s">
        <v>0</v>
      </c>
      <c r="B314" s="4" t="s">
        <v>17</v>
      </c>
      <c r="C314" s="16" t="s">
        <v>18</v>
      </c>
      <c r="D314" s="4">
        <v>10</v>
      </c>
      <c r="E314" s="4" t="s">
        <v>745</v>
      </c>
      <c r="F314" t="s">
        <v>202</v>
      </c>
      <c r="G314" t="s">
        <v>106</v>
      </c>
      <c r="J314" s="4" t="s">
        <v>19</v>
      </c>
      <c r="K314" s="4" t="s">
        <v>21</v>
      </c>
      <c r="L314" s="4" t="s">
        <v>742</v>
      </c>
      <c r="M314" s="17">
        <v>27</v>
      </c>
      <c r="N314" s="17">
        <v>999</v>
      </c>
      <c r="O314" s="18" t="s">
        <v>19</v>
      </c>
      <c r="P314" s="18">
        <v>999</v>
      </c>
      <c r="Q314" s="18">
        <v>27</v>
      </c>
      <c r="R314" s="18"/>
      <c r="S314" s="18"/>
      <c r="T314" s="18"/>
      <c r="U3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14" s="19">
        <f>IF(AUDITORIA[[#This Row],[CAT]]="",0,1)</f>
        <v>1</v>
      </c>
      <c r="W314" s="20">
        <v>46141</v>
      </c>
      <c r="X314" s="21" t="str">
        <f>UPPER(IF(AUDITORIA[[#This Row],[DATA VERIFICAÇÃO]]="","",TEXT(AUDITORIA[[#This Row],[DATA VERIFICAÇÃO]],"mmm")))</f>
        <v>ABR</v>
      </c>
      <c r="Y314" t="s">
        <v>598</v>
      </c>
      <c r="Z314" t="s">
        <v>691</v>
      </c>
      <c r="AA314" t="s">
        <v>692</v>
      </c>
    </row>
    <row r="315" spans="1:27" ht="14.4" hidden="1" customHeight="1" x14ac:dyDescent="0.3">
      <c r="A315" s="4" t="s">
        <v>0</v>
      </c>
      <c r="B315" s="4" t="s">
        <v>17</v>
      </c>
      <c r="C315" s="16" t="s">
        <v>18</v>
      </c>
      <c r="D315" s="4">
        <v>10</v>
      </c>
      <c r="E315" s="4" t="s">
        <v>745</v>
      </c>
      <c r="F315" t="s">
        <v>200</v>
      </c>
      <c r="G315" t="s">
        <v>106</v>
      </c>
      <c r="J315" s="4" t="s">
        <v>19</v>
      </c>
      <c r="K315" s="4" t="s">
        <v>21</v>
      </c>
      <c r="L315" s="4" t="s">
        <v>742</v>
      </c>
      <c r="M315" s="17">
        <v>24</v>
      </c>
      <c r="N315" s="17">
        <v>1023</v>
      </c>
      <c r="O315" s="18" t="s">
        <v>19</v>
      </c>
      <c r="P315" s="18">
        <v>1023</v>
      </c>
      <c r="Q315" s="18">
        <v>24</v>
      </c>
      <c r="R315" s="18"/>
      <c r="S315" s="18"/>
      <c r="T315" s="18"/>
      <c r="U3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15" s="19">
        <f>IF(AUDITORIA[[#This Row],[CAT]]="",0,1)</f>
        <v>1</v>
      </c>
      <c r="W315" s="20">
        <v>46141</v>
      </c>
      <c r="X315" s="21" t="str">
        <f>UPPER(IF(AUDITORIA[[#This Row],[DATA VERIFICAÇÃO]]="","",TEXT(AUDITORIA[[#This Row],[DATA VERIFICAÇÃO]],"mmm")))</f>
        <v>ABR</v>
      </c>
      <c r="Y315" t="s">
        <v>598</v>
      </c>
      <c r="Z315" t="s">
        <v>691</v>
      </c>
      <c r="AA315" t="s">
        <v>692</v>
      </c>
    </row>
    <row r="316" spans="1:27" ht="14.4" hidden="1" customHeight="1" x14ac:dyDescent="0.3">
      <c r="A316" s="4" t="s">
        <v>0</v>
      </c>
      <c r="B316" s="4" t="s">
        <v>17</v>
      </c>
      <c r="C316" s="16" t="s">
        <v>18</v>
      </c>
      <c r="D316" s="4">
        <v>10</v>
      </c>
      <c r="E316" s="4" t="s">
        <v>745</v>
      </c>
      <c r="F316" t="s">
        <v>199</v>
      </c>
      <c r="G316" t="s">
        <v>106</v>
      </c>
      <c r="J316" s="4" t="s">
        <v>19</v>
      </c>
      <c r="K316" s="4" t="s">
        <v>21</v>
      </c>
      <c r="L316" s="4" t="s">
        <v>742</v>
      </c>
      <c r="M316" s="17">
        <v>24</v>
      </c>
      <c r="N316" s="17">
        <v>1021</v>
      </c>
      <c r="O316" s="18" t="s">
        <v>19</v>
      </c>
      <c r="P316" s="18">
        <v>1021</v>
      </c>
      <c r="Q316" s="18">
        <v>24</v>
      </c>
      <c r="R316" s="18"/>
      <c r="S316" s="18"/>
      <c r="T316" s="18"/>
      <c r="U3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16" s="19">
        <f>IF(AUDITORIA[[#This Row],[CAT]]="",0,1)</f>
        <v>1</v>
      </c>
      <c r="W316" s="20">
        <v>46141</v>
      </c>
      <c r="X316" s="21" t="str">
        <f>UPPER(IF(AUDITORIA[[#This Row],[DATA VERIFICAÇÃO]]="","",TEXT(AUDITORIA[[#This Row],[DATA VERIFICAÇÃO]],"mmm")))</f>
        <v>ABR</v>
      </c>
      <c r="Y316" t="s">
        <v>598</v>
      </c>
      <c r="Z316" t="s">
        <v>691</v>
      </c>
      <c r="AA316" t="s">
        <v>692</v>
      </c>
    </row>
    <row r="317" spans="1:27" ht="14.4" hidden="1" customHeight="1" x14ac:dyDescent="0.3">
      <c r="A317" s="4" t="s">
        <v>0</v>
      </c>
      <c r="B317" s="4" t="s">
        <v>17</v>
      </c>
      <c r="C317" s="16" t="s">
        <v>18</v>
      </c>
      <c r="D317" s="4">
        <v>10</v>
      </c>
      <c r="E317" s="4" t="s">
        <v>745</v>
      </c>
      <c r="F317" t="s">
        <v>198</v>
      </c>
      <c r="G317" t="s">
        <v>106</v>
      </c>
      <c r="J317" s="4" t="s">
        <v>19</v>
      </c>
      <c r="K317" s="4" t="s">
        <v>21</v>
      </c>
      <c r="L317" s="4" t="s">
        <v>742</v>
      </c>
      <c r="M317" s="17">
        <v>27</v>
      </c>
      <c r="N317" s="17">
        <v>977</v>
      </c>
      <c r="O317" s="18" t="s">
        <v>19</v>
      </c>
      <c r="P317" s="18">
        <v>977</v>
      </c>
      <c r="Q317" s="18">
        <v>27</v>
      </c>
      <c r="R317" s="18"/>
      <c r="S317" s="18"/>
      <c r="T317" s="18"/>
      <c r="U3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17" s="19">
        <f>IF(AUDITORIA[[#This Row],[CAT]]="",0,1)</f>
        <v>1</v>
      </c>
      <c r="W317" s="20">
        <v>46141</v>
      </c>
      <c r="X317" s="21" t="str">
        <f>UPPER(IF(AUDITORIA[[#This Row],[DATA VERIFICAÇÃO]]="","",TEXT(AUDITORIA[[#This Row],[DATA VERIFICAÇÃO]],"mmm")))</f>
        <v>ABR</v>
      </c>
      <c r="Y317" t="s">
        <v>598</v>
      </c>
      <c r="Z317" t="s">
        <v>691</v>
      </c>
      <c r="AA317" t="s">
        <v>692</v>
      </c>
    </row>
    <row r="318" spans="1:27" ht="14.4" hidden="1" customHeight="1" x14ac:dyDescent="0.3">
      <c r="A318" s="4" t="s">
        <v>0</v>
      </c>
      <c r="B318" s="4" t="s">
        <v>17</v>
      </c>
      <c r="C318" s="16" t="s">
        <v>18</v>
      </c>
      <c r="D318" s="4">
        <v>10</v>
      </c>
      <c r="E318" s="4" t="s">
        <v>745</v>
      </c>
      <c r="F318" t="s">
        <v>196</v>
      </c>
      <c r="G318" t="s">
        <v>106</v>
      </c>
      <c r="J318" s="4" t="s">
        <v>19</v>
      </c>
      <c r="K318" s="4" t="s">
        <v>21</v>
      </c>
      <c r="L318" s="4" t="s">
        <v>742</v>
      </c>
      <c r="M318" s="17">
        <v>27</v>
      </c>
      <c r="N318" s="17">
        <v>981</v>
      </c>
      <c r="O318" s="18" t="s">
        <v>19</v>
      </c>
      <c r="P318" s="18">
        <v>981</v>
      </c>
      <c r="Q318" s="18">
        <v>27</v>
      </c>
      <c r="R318" s="18"/>
      <c r="S318" s="18"/>
      <c r="T318" s="18"/>
      <c r="U3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18" s="19">
        <f>IF(AUDITORIA[[#This Row],[CAT]]="",0,1)</f>
        <v>1</v>
      </c>
      <c r="W318" s="20">
        <v>46141</v>
      </c>
      <c r="X318" s="21" t="str">
        <f>UPPER(IF(AUDITORIA[[#This Row],[DATA VERIFICAÇÃO]]="","",TEXT(AUDITORIA[[#This Row],[DATA VERIFICAÇÃO]],"mmm")))</f>
        <v>ABR</v>
      </c>
      <c r="Y318" t="s">
        <v>598</v>
      </c>
      <c r="Z318" t="s">
        <v>691</v>
      </c>
      <c r="AA318" t="s">
        <v>692</v>
      </c>
    </row>
    <row r="319" spans="1:27" ht="14.4" hidden="1" customHeight="1" x14ac:dyDescent="0.3">
      <c r="A319" s="4" t="s">
        <v>0</v>
      </c>
      <c r="B319" s="4" t="s">
        <v>17</v>
      </c>
      <c r="C319" s="16" t="s">
        <v>18</v>
      </c>
      <c r="D319" s="4">
        <v>10</v>
      </c>
      <c r="E319" s="4" t="s">
        <v>745</v>
      </c>
      <c r="F319" t="s">
        <v>195</v>
      </c>
      <c r="G319" t="s">
        <v>106</v>
      </c>
      <c r="J319" s="4" t="s">
        <v>19</v>
      </c>
      <c r="K319" s="4" t="s">
        <v>21</v>
      </c>
      <c r="L319" s="4" t="s">
        <v>742</v>
      </c>
      <c r="M319" s="17">
        <v>27</v>
      </c>
      <c r="N319" s="17">
        <v>996</v>
      </c>
      <c r="O319" s="18" t="s">
        <v>19</v>
      </c>
      <c r="P319" s="18">
        <v>996</v>
      </c>
      <c r="Q319" s="18">
        <v>27</v>
      </c>
      <c r="R319" s="18"/>
      <c r="S319" s="18"/>
      <c r="T319" s="18"/>
      <c r="U3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19" s="19">
        <f>IF(AUDITORIA[[#This Row],[CAT]]="",0,1)</f>
        <v>1</v>
      </c>
      <c r="W319" s="20">
        <v>46141</v>
      </c>
      <c r="X319" s="21" t="str">
        <f>UPPER(IF(AUDITORIA[[#This Row],[DATA VERIFICAÇÃO]]="","",TEXT(AUDITORIA[[#This Row],[DATA VERIFICAÇÃO]],"mmm")))</f>
        <v>ABR</v>
      </c>
      <c r="Y319" t="s">
        <v>598</v>
      </c>
      <c r="Z319" t="s">
        <v>691</v>
      </c>
      <c r="AA319" t="s">
        <v>692</v>
      </c>
    </row>
    <row r="320" spans="1:27" ht="14.4" hidden="1" customHeight="1" x14ac:dyDescent="0.3">
      <c r="A320" s="4" t="s">
        <v>0</v>
      </c>
      <c r="B320" s="4" t="s">
        <v>17</v>
      </c>
      <c r="C320" s="16" t="s">
        <v>18</v>
      </c>
      <c r="D320" s="4">
        <v>10</v>
      </c>
      <c r="E320" s="4" t="s">
        <v>745</v>
      </c>
      <c r="F320" t="s">
        <v>194</v>
      </c>
      <c r="G320" t="s">
        <v>106</v>
      </c>
      <c r="J320" s="4" t="s">
        <v>19</v>
      </c>
      <c r="K320" s="4" t="s">
        <v>21</v>
      </c>
      <c r="L320" s="4" t="s">
        <v>742</v>
      </c>
      <c r="M320" s="17">
        <v>27</v>
      </c>
      <c r="N320" s="17">
        <v>995</v>
      </c>
      <c r="O320" s="18" t="s">
        <v>19</v>
      </c>
      <c r="P320" s="18">
        <v>995</v>
      </c>
      <c r="Q320" s="18">
        <v>27</v>
      </c>
      <c r="R320" s="18"/>
      <c r="S320" s="18"/>
      <c r="T320" s="18"/>
      <c r="U3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20" s="19">
        <f>IF(AUDITORIA[[#This Row],[CAT]]="",0,1)</f>
        <v>1</v>
      </c>
      <c r="W320" s="20">
        <v>46141</v>
      </c>
      <c r="X320" s="21" t="str">
        <f>UPPER(IF(AUDITORIA[[#This Row],[DATA VERIFICAÇÃO]]="","",TEXT(AUDITORIA[[#This Row],[DATA VERIFICAÇÃO]],"mmm")))</f>
        <v>ABR</v>
      </c>
      <c r="Y320" t="s">
        <v>598</v>
      </c>
      <c r="Z320" t="s">
        <v>691</v>
      </c>
      <c r="AA320" t="s">
        <v>692</v>
      </c>
    </row>
    <row r="321" spans="1:27" ht="14.4" hidden="1" customHeight="1" x14ac:dyDescent="0.3">
      <c r="A321" s="4" t="s">
        <v>0</v>
      </c>
      <c r="B321" s="4" t="s">
        <v>17</v>
      </c>
      <c r="C321" s="16" t="s">
        <v>18</v>
      </c>
      <c r="D321" s="4">
        <v>10</v>
      </c>
      <c r="E321" s="4" t="s">
        <v>745</v>
      </c>
      <c r="F321" t="s">
        <v>192</v>
      </c>
      <c r="G321" t="s">
        <v>106</v>
      </c>
      <c r="J321" s="4" t="s">
        <v>31</v>
      </c>
      <c r="K321" s="4" t="s">
        <v>21</v>
      </c>
      <c r="L321" s="4" t="s">
        <v>742</v>
      </c>
      <c r="M321" s="17">
        <v>24</v>
      </c>
      <c r="N321" s="17">
        <v>1037</v>
      </c>
      <c r="O321" s="18" t="s">
        <v>31</v>
      </c>
      <c r="P321" s="18">
        <v>1037</v>
      </c>
      <c r="Q321" s="18">
        <v>24</v>
      </c>
      <c r="R321" s="18"/>
      <c r="S321" s="18"/>
      <c r="T321" s="18"/>
      <c r="U3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21" s="19">
        <f>IF(AUDITORIA[[#This Row],[CAT]]="",0,1)</f>
        <v>1</v>
      </c>
      <c r="W321" s="20">
        <v>46141</v>
      </c>
      <c r="X321" s="21" t="str">
        <f>UPPER(IF(AUDITORIA[[#This Row],[DATA VERIFICAÇÃO]]="","",TEXT(AUDITORIA[[#This Row],[DATA VERIFICAÇÃO]],"mmm")))</f>
        <v>ABR</v>
      </c>
      <c r="Y321" t="s">
        <v>598</v>
      </c>
      <c r="Z321" t="s">
        <v>691</v>
      </c>
      <c r="AA321" t="s">
        <v>692</v>
      </c>
    </row>
    <row r="322" spans="1:27" ht="14.4" hidden="1" customHeight="1" x14ac:dyDescent="0.3">
      <c r="A322" s="4" t="s">
        <v>0</v>
      </c>
      <c r="B322" s="4" t="s">
        <v>17</v>
      </c>
      <c r="C322" s="16" t="s">
        <v>18</v>
      </c>
      <c r="D322" s="4">
        <v>10</v>
      </c>
      <c r="E322" s="4" t="s">
        <v>745</v>
      </c>
      <c r="F322" t="s">
        <v>191</v>
      </c>
      <c r="G322" t="s">
        <v>106</v>
      </c>
      <c r="J322" s="4" t="s">
        <v>31</v>
      </c>
      <c r="K322" s="4" t="s">
        <v>21</v>
      </c>
      <c r="L322" s="4" t="s">
        <v>742</v>
      </c>
      <c r="M322" s="17">
        <v>24</v>
      </c>
      <c r="N322" s="17">
        <v>1024</v>
      </c>
      <c r="O322" s="18" t="s">
        <v>31</v>
      </c>
      <c r="P322" s="18">
        <v>1024</v>
      </c>
      <c r="Q322" s="18">
        <v>24</v>
      </c>
      <c r="R322" s="18"/>
      <c r="S322" s="18"/>
      <c r="T322" s="18"/>
      <c r="U3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22" s="19">
        <f>IF(AUDITORIA[[#This Row],[CAT]]="",0,1)</f>
        <v>1</v>
      </c>
      <c r="W322" s="20">
        <v>46141</v>
      </c>
      <c r="X322" s="21" t="str">
        <f>UPPER(IF(AUDITORIA[[#This Row],[DATA VERIFICAÇÃO]]="","",TEXT(AUDITORIA[[#This Row],[DATA VERIFICAÇÃO]],"mmm")))</f>
        <v>ABR</v>
      </c>
      <c r="Y322" t="s">
        <v>598</v>
      </c>
      <c r="Z322" t="s">
        <v>691</v>
      </c>
      <c r="AA322" t="s">
        <v>692</v>
      </c>
    </row>
    <row r="323" spans="1:27" ht="14.4" hidden="1" customHeight="1" x14ac:dyDescent="0.3">
      <c r="A323" s="4" t="s">
        <v>0</v>
      </c>
      <c r="B323" s="4" t="s">
        <v>17</v>
      </c>
      <c r="C323" s="16" t="s">
        <v>18</v>
      </c>
      <c r="D323" s="4">
        <v>10</v>
      </c>
      <c r="E323" s="4" t="s">
        <v>745</v>
      </c>
      <c r="F323" t="s">
        <v>189</v>
      </c>
      <c r="G323" t="s">
        <v>106</v>
      </c>
      <c r="J323" s="4" t="s">
        <v>31</v>
      </c>
      <c r="K323" s="4" t="s">
        <v>21</v>
      </c>
      <c r="L323" s="4" t="s">
        <v>742</v>
      </c>
      <c r="M323" s="17">
        <v>24</v>
      </c>
      <c r="N323" s="17">
        <v>1009</v>
      </c>
      <c r="O323" s="18" t="s">
        <v>31</v>
      </c>
      <c r="P323" s="18">
        <v>1009</v>
      </c>
      <c r="Q323" s="18">
        <v>24</v>
      </c>
      <c r="R323" s="18"/>
      <c r="S323" s="18"/>
      <c r="T323" s="18"/>
      <c r="U3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23" s="19">
        <f>IF(AUDITORIA[[#This Row],[CAT]]="",0,1)</f>
        <v>1</v>
      </c>
      <c r="W323" s="20">
        <v>46141</v>
      </c>
      <c r="X323" s="21" t="str">
        <f>UPPER(IF(AUDITORIA[[#This Row],[DATA VERIFICAÇÃO]]="","",TEXT(AUDITORIA[[#This Row],[DATA VERIFICAÇÃO]],"mmm")))</f>
        <v>ABR</v>
      </c>
      <c r="Y323" t="s">
        <v>598</v>
      </c>
      <c r="Z323" t="s">
        <v>691</v>
      </c>
      <c r="AA323" t="s">
        <v>692</v>
      </c>
    </row>
    <row r="324" spans="1:27" ht="14.4" hidden="1" customHeight="1" x14ac:dyDescent="0.3">
      <c r="A324" s="4" t="s">
        <v>0</v>
      </c>
      <c r="B324" s="4" t="s">
        <v>17</v>
      </c>
      <c r="C324" s="16" t="s">
        <v>18</v>
      </c>
      <c r="D324" s="4">
        <v>10</v>
      </c>
      <c r="E324" s="4" t="s">
        <v>745</v>
      </c>
      <c r="F324" t="s">
        <v>187</v>
      </c>
      <c r="G324" t="s">
        <v>106</v>
      </c>
      <c r="J324" s="4" t="s">
        <v>31</v>
      </c>
      <c r="K324" s="4" t="s">
        <v>21</v>
      </c>
      <c r="L324" s="4" t="s">
        <v>742</v>
      </c>
      <c r="M324" s="17">
        <v>12</v>
      </c>
      <c r="N324" s="17">
        <v>1006</v>
      </c>
      <c r="O324" s="18" t="s">
        <v>31</v>
      </c>
      <c r="P324" s="18">
        <v>1006</v>
      </c>
      <c r="Q324" s="18">
        <v>12</v>
      </c>
      <c r="R324" s="18"/>
      <c r="S324" s="18"/>
      <c r="T324" s="18"/>
      <c r="U3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24" s="19">
        <f>IF(AUDITORIA[[#This Row],[CAT]]="",0,1)</f>
        <v>1</v>
      </c>
      <c r="W324" s="20">
        <v>46141</v>
      </c>
      <c r="X324" s="21" t="str">
        <f>UPPER(IF(AUDITORIA[[#This Row],[DATA VERIFICAÇÃO]]="","",TEXT(AUDITORIA[[#This Row],[DATA VERIFICAÇÃO]],"mmm")))</f>
        <v>ABR</v>
      </c>
      <c r="Y324" t="s">
        <v>598</v>
      </c>
      <c r="Z324" t="s">
        <v>691</v>
      </c>
      <c r="AA324" t="s">
        <v>692</v>
      </c>
    </row>
    <row r="325" spans="1:27" ht="14.4" hidden="1" customHeight="1" x14ac:dyDescent="0.3">
      <c r="A325" s="4" t="s">
        <v>0</v>
      </c>
      <c r="B325" s="4" t="s">
        <v>17</v>
      </c>
      <c r="C325" s="16" t="s">
        <v>18</v>
      </c>
      <c r="D325" s="4">
        <v>10</v>
      </c>
      <c r="E325" s="4" t="s">
        <v>745</v>
      </c>
      <c r="F325" t="s">
        <v>125</v>
      </c>
      <c r="G325" t="s">
        <v>106</v>
      </c>
      <c r="J325" s="4" t="s">
        <v>31</v>
      </c>
      <c r="K325" s="4" t="s">
        <v>21</v>
      </c>
      <c r="L325" s="4" t="s">
        <v>742</v>
      </c>
      <c r="M325" s="17">
        <v>24</v>
      </c>
      <c r="N325" s="17">
        <v>1045</v>
      </c>
      <c r="O325" s="18" t="s">
        <v>31</v>
      </c>
      <c r="P325" s="18">
        <v>1045</v>
      </c>
      <c r="Q325" s="18">
        <v>24</v>
      </c>
      <c r="R325" s="18"/>
      <c r="S325" s="18"/>
      <c r="T325" s="18"/>
      <c r="U3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25" s="19">
        <f>IF(AUDITORIA[[#This Row],[CAT]]="",0,1)</f>
        <v>1</v>
      </c>
      <c r="W325" s="20">
        <v>46141</v>
      </c>
      <c r="X325" s="21" t="str">
        <f>UPPER(IF(AUDITORIA[[#This Row],[DATA VERIFICAÇÃO]]="","",TEXT(AUDITORIA[[#This Row],[DATA VERIFICAÇÃO]],"mmm")))</f>
        <v>ABR</v>
      </c>
      <c r="Y325" t="s">
        <v>598</v>
      </c>
      <c r="Z325" t="s">
        <v>691</v>
      </c>
      <c r="AA325" t="s">
        <v>692</v>
      </c>
    </row>
    <row r="326" spans="1:27" ht="14.4" hidden="1" customHeight="1" x14ac:dyDescent="0.3">
      <c r="A326" s="4" t="s">
        <v>0</v>
      </c>
      <c r="B326" s="4" t="s">
        <v>17</v>
      </c>
      <c r="C326" s="16" t="s">
        <v>18</v>
      </c>
      <c r="D326" s="4">
        <v>10</v>
      </c>
      <c r="E326" s="4" t="s">
        <v>745</v>
      </c>
      <c r="F326" t="s">
        <v>124</v>
      </c>
      <c r="G326" t="s">
        <v>106</v>
      </c>
      <c r="J326" s="4" t="s">
        <v>31</v>
      </c>
      <c r="K326" s="4" t="s">
        <v>21</v>
      </c>
      <c r="L326" s="4" t="s">
        <v>742</v>
      </c>
      <c r="M326" s="17">
        <v>24</v>
      </c>
      <c r="N326" s="17">
        <v>1075</v>
      </c>
      <c r="O326" s="18" t="s">
        <v>31</v>
      </c>
      <c r="P326" s="18">
        <v>1075</v>
      </c>
      <c r="Q326" s="18">
        <v>24</v>
      </c>
      <c r="R326" s="18"/>
      <c r="S326" s="18"/>
      <c r="T326" s="18"/>
      <c r="U3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26" s="19">
        <f>IF(AUDITORIA[[#This Row],[CAT]]="",0,1)</f>
        <v>1</v>
      </c>
      <c r="W326" s="20">
        <v>46141</v>
      </c>
      <c r="X326" s="21" t="str">
        <f>UPPER(IF(AUDITORIA[[#This Row],[DATA VERIFICAÇÃO]]="","",TEXT(AUDITORIA[[#This Row],[DATA VERIFICAÇÃO]],"mmm")))</f>
        <v>ABR</v>
      </c>
      <c r="Y326" t="s">
        <v>598</v>
      </c>
      <c r="Z326" t="s">
        <v>691</v>
      </c>
      <c r="AA326" t="s">
        <v>692</v>
      </c>
    </row>
    <row r="327" spans="1:27" ht="14.4" hidden="1" customHeight="1" x14ac:dyDescent="0.3">
      <c r="A327" s="4" t="s">
        <v>0</v>
      </c>
      <c r="B327" s="4" t="s">
        <v>17</v>
      </c>
      <c r="C327" s="16" t="s">
        <v>18</v>
      </c>
      <c r="D327" s="4">
        <v>10</v>
      </c>
      <c r="E327" s="4" t="s">
        <v>745</v>
      </c>
      <c r="F327" t="s">
        <v>123</v>
      </c>
      <c r="G327" t="s">
        <v>106</v>
      </c>
      <c r="J327" s="4" t="s">
        <v>19</v>
      </c>
      <c r="K327" s="4" t="s">
        <v>21</v>
      </c>
      <c r="L327" s="4" t="s">
        <v>742</v>
      </c>
      <c r="M327" s="17">
        <v>24</v>
      </c>
      <c r="N327" s="17">
        <v>1061</v>
      </c>
      <c r="O327" s="18" t="s">
        <v>19</v>
      </c>
      <c r="P327" s="18">
        <v>1061</v>
      </c>
      <c r="Q327" s="18">
        <v>24</v>
      </c>
      <c r="R327" s="18"/>
      <c r="S327" s="18"/>
      <c r="T327" s="18"/>
      <c r="U3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27" s="19">
        <f>IF(AUDITORIA[[#This Row],[CAT]]="",0,1)</f>
        <v>1</v>
      </c>
      <c r="W327" s="20">
        <v>46141</v>
      </c>
      <c r="X327" s="21" t="str">
        <f>UPPER(IF(AUDITORIA[[#This Row],[DATA VERIFICAÇÃO]]="","",TEXT(AUDITORIA[[#This Row],[DATA VERIFICAÇÃO]],"mmm")))</f>
        <v>ABR</v>
      </c>
      <c r="Y327" t="s">
        <v>598</v>
      </c>
      <c r="Z327" t="s">
        <v>691</v>
      </c>
      <c r="AA327" t="s">
        <v>692</v>
      </c>
    </row>
    <row r="328" spans="1:27" ht="14.4" hidden="1" customHeight="1" x14ac:dyDescent="0.3">
      <c r="A328" s="4" t="s">
        <v>0</v>
      </c>
      <c r="B328" s="4" t="s">
        <v>17</v>
      </c>
      <c r="C328" s="16" t="s">
        <v>18</v>
      </c>
      <c r="D328" s="4">
        <v>10</v>
      </c>
      <c r="E328" s="4" t="s">
        <v>745</v>
      </c>
      <c r="F328" t="s">
        <v>121</v>
      </c>
      <c r="G328" t="s">
        <v>106</v>
      </c>
      <c r="J328" s="4" t="s">
        <v>19</v>
      </c>
      <c r="K328" s="4" t="s">
        <v>21</v>
      </c>
      <c r="L328" s="4" t="s">
        <v>742</v>
      </c>
      <c r="M328" s="17">
        <v>27</v>
      </c>
      <c r="N328" s="17">
        <v>995</v>
      </c>
      <c r="O328" s="18" t="s">
        <v>19</v>
      </c>
      <c r="P328" s="18">
        <v>995</v>
      </c>
      <c r="Q328" s="18">
        <v>27</v>
      </c>
      <c r="R328" s="18"/>
      <c r="S328" s="18"/>
      <c r="T328" s="18"/>
      <c r="U3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28" s="19">
        <f>IF(AUDITORIA[[#This Row],[CAT]]="",0,1)</f>
        <v>1</v>
      </c>
      <c r="W328" s="20">
        <v>46141</v>
      </c>
      <c r="X328" s="21" t="str">
        <f>UPPER(IF(AUDITORIA[[#This Row],[DATA VERIFICAÇÃO]]="","",TEXT(AUDITORIA[[#This Row],[DATA VERIFICAÇÃO]],"mmm")))</f>
        <v>ABR</v>
      </c>
      <c r="Y328" t="s">
        <v>598</v>
      </c>
      <c r="Z328" t="s">
        <v>691</v>
      </c>
      <c r="AA328" t="s">
        <v>692</v>
      </c>
    </row>
    <row r="329" spans="1:27" ht="14.4" hidden="1" customHeight="1" x14ac:dyDescent="0.3">
      <c r="A329" s="4" t="s">
        <v>0</v>
      </c>
      <c r="B329" s="4" t="s">
        <v>17</v>
      </c>
      <c r="C329" s="16" t="s">
        <v>18</v>
      </c>
      <c r="D329" s="4">
        <v>10</v>
      </c>
      <c r="E329" s="4" t="s">
        <v>745</v>
      </c>
      <c r="F329" t="s">
        <v>120</v>
      </c>
      <c r="G329" t="s">
        <v>106</v>
      </c>
      <c r="J329" s="4" t="s">
        <v>19</v>
      </c>
      <c r="K329" s="4" t="s">
        <v>21</v>
      </c>
      <c r="L329" s="4" t="s">
        <v>742</v>
      </c>
      <c r="M329" s="17">
        <v>24</v>
      </c>
      <c r="N329" s="17">
        <v>1049</v>
      </c>
      <c r="O329" s="18" t="s">
        <v>19</v>
      </c>
      <c r="P329" s="18">
        <v>1049</v>
      </c>
      <c r="Q329" s="18">
        <v>24</v>
      </c>
      <c r="R329" s="18"/>
      <c r="S329" s="18"/>
      <c r="T329" s="18"/>
      <c r="U3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29" s="19">
        <f>IF(AUDITORIA[[#This Row],[CAT]]="",0,1)</f>
        <v>1</v>
      </c>
      <c r="W329" s="20">
        <v>46141</v>
      </c>
      <c r="X329" s="21" t="str">
        <f>UPPER(IF(AUDITORIA[[#This Row],[DATA VERIFICAÇÃO]]="","",TEXT(AUDITORIA[[#This Row],[DATA VERIFICAÇÃO]],"mmm")))</f>
        <v>ABR</v>
      </c>
      <c r="Y329" t="s">
        <v>598</v>
      </c>
      <c r="Z329" t="s">
        <v>691</v>
      </c>
      <c r="AA329" t="s">
        <v>692</v>
      </c>
    </row>
    <row r="330" spans="1:27" ht="14.4" hidden="1" customHeight="1" x14ac:dyDescent="0.3">
      <c r="A330" s="4" t="s">
        <v>0</v>
      </c>
      <c r="B330" s="4" t="s">
        <v>17</v>
      </c>
      <c r="C330" s="16" t="s">
        <v>18</v>
      </c>
      <c r="D330" s="4">
        <v>10</v>
      </c>
      <c r="E330" s="4" t="s">
        <v>745</v>
      </c>
      <c r="F330" t="s">
        <v>119</v>
      </c>
      <c r="G330" t="s">
        <v>106</v>
      </c>
      <c r="J330" s="4" t="s">
        <v>19</v>
      </c>
      <c r="K330" s="4" t="s">
        <v>21</v>
      </c>
      <c r="L330" s="4" t="s">
        <v>742</v>
      </c>
      <c r="M330" s="17">
        <v>24</v>
      </c>
      <c r="N330" s="17">
        <v>1050</v>
      </c>
      <c r="O330" s="18" t="s">
        <v>19</v>
      </c>
      <c r="P330" s="18">
        <v>1050</v>
      </c>
      <c r="Q330" s="18">
        <v>24</v>
      </c>
      <c r="R330" s="18"/>
      <c r="S330" s="18"/>
      <c r="T330" s="18"/>
      <c r="U3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30" s="19">
        <f>IF(AUDITORIA[[#This Row],[CAT]]="",0,1)</f>
        <v>1</v>
      </c>
      <c r="W330" s="20">
        <v>46141</v>
      </c>
      <c r="X330" s="21" t="str">
        <f>UPPER(IF(AUDITORIA[[#This Row],[DATA VERIFICAÇÃO]]="","",TEXT(AUDITORIA[[#This Row],[DATA VERIFICAÇÃO]],"mmm")))</f>
        <v>ABR</v>
      </c>
      <c r="Y330" t="s">
        <v>598</v>
      </c>
      <c r="Z330" t="s">
        <v>691</v>
      </c>
      <c r="AA330" t="s">
        <v>692</v>
      </c>
    </row>
    <row r="331" spans="1:27" ht="14.4" hidden="1" customHeight="1" x14ac:dyDescent="0.3">
      <c r="A331" s="4" t="s">
        <v>0</v>
      </c>
      <c r="B331" s="4" t="s">
        <v>17</v>
      </c>
      <c r="C331" s="16" t="s">
        <v>18</v>
      </c>
      <c r="D331" s="4">
        <v>10</v>
      </c>
      <c r="E331" s="4" t="s">
        <v>745</v>
      </c>
      <c r="F331" t="s">
        <v>118</v>
      </c>
      <c r="G331" t="s">
        <v>106</v>
      </c>
      <c r="J331" s="4" t="s">
        <v>19</v>
      </c>
      <c r="K331" s="4" t="s">
        <v>21</v>
      </c>
      <c r="L331" s="4" t="s">
        <v>742</v>
      </c>
      <c r="M331" s="17">
        <v>24</v>
      </c>
      <c r="N331" s="17">
        <v>1062</v>
      </c>
      <c r="O331" s="18" t="s">
        <v>19</v>
      </c>
      <c r="P331" s="18">
        <v>1062</v>
      </c>
      <c r="Q331" s="18">
        <v>24</v>
      </c>
      <c r="R331" s="18"/>
      <c r="S331" s="18"/>
      <c r="T331" s="18"/>
      <c r="U3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31" s="19">
        <f>IF(AUDITORIA[[#This Row],[CAT]]="",0,1)</f>
        <v>1</v>
      </c>
      <c r="W331" s="20">
        <v>46141</v>
      </c>
      <c r="X331" s="21" t="str">
        <f>UPPER(IF(AUDITORIA[[#This Row],[DATA VERIFICAÇÃO]]="","",TEXT(AUDITORIA[[#This Row],[DATA VERIFICAÇÃO]],"mmm")))</f>
        <v>ABR</v>
      </c>
      <c r="Y331" t="s">
        <v>598</v>
      </c>
      <c r="Z331" t="s">
        <v>691</v>
      </c>
      <c r="AA331" t="s">
        <v>692</v>
      </c>
    </row>
    <row r="332" spans="1:27" ht="14.4" hidden="1" customHeight="1" x14ac:dyDescent="0.3">
      <c r="A332" s="4" t="s">
        <v>0</v>
      </c>
      <c r="B332" s="4" t="s">
        <v>17</v>
      </c>
      <c r="C332" s="16" t="s">
        <v>18</v>
      </c>
      <c r="D332" s="4">
        <v>10</v>
      </c>
      <c r="E332" s="4" t="s">
        <v>745</v>
      </c>
      <c r="F332" t="s">
        <v>116</v>
      </c>
      <c r="G332" t="s">
        <v>106</v>
      </c>
      <c r="J332" s="4" t="s">
        <v>19</v>
      </c>
      <c r="K332" s="4" t="s">
        <v>21</v>
      </c>
      <c r="L332" s="4" t="s">
        <v>742</v>
      </c>
      <c r="M332" s="17">
        <v>24</v>
      </c>
      <c r="N332" s="17">
        <v>1032</v>
      </c>
      <c r="O332" s="18" t="s">
        <v>19</v>
      </c>
      <c r="P332" s="18">
        <v>1032</v>
      </c>
      <c r="Q332" s="18">
        <v>24</v>
      </c>
      <c r="R332" s="18"/>
      <c r="S332" s="18"/>
      <c r="T332" s="18"/>
      <c r="U3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32" s="19">
        <f>IF(AUDITORIA[[#This Row],[CAT]]="",0,1)</f>
        <v>1</v>
      </c>
      <c r="W332" s="20">
        <v>46141</v>
      </c>
      <c r="X332" s="21" t="str">
        <f>UPPER(IF(AUDITORIA[[#This Row],[DATA VERIFICAÇÃO]]="","",TEXT(AUDITORIA[[#This Row],[DATA VERIFICAÇÃO]],"mmm")))</f>
        <v>ABR</v>
      </c>
      <c r="Y332" t="s">
        <v>598</v>
      </c>
      <c r="Z332" t="s">
        <v>691</v>
      </c>
      <c r="AA332" t="s">
        <v>692</v>
      </c>
    </row>
    <row r="333" spans="1:27" ht="14.4" hidden="1" customHeight="1" x14ac:dyDescent="0.3">
      <c r="A333" s="4" t="s">
        <v>0</v>
      </c>
      <c r="B333" s="4" t="s">
        <v>17</v>
      </c>
      <c r="C333" s="16" t="s">
        <v>18</v>
      </c>
      <c r="D333" s="4">
        <v>10</v>
      </c>
      <c r="E333" s="4" t="s">
        <v>745</v>
      </c>
      <c r="F333" t="s">
        <v>115</v>
      </c>
      <c r="G333" t="s">
        <v>106</v>
      </c>
      <c r="J333" s="4" t="s">
        <v>19</v>
      </c>
      <c r="K333" s="4" t="s">
        <v>21</v>
      </c>
      <c r="L333" s="4" t="s">
        <v>742</v>
      </c>
      <c r="M333" s="17">
        <v>24</v>
      </c>
      <c r="N333" s="17">
        <v>1048</v>
      </c>
      <c r="O333" s="18" t="s">
        <v>19</v>
      </c>
      <c r="P333" s="18">
        <v>1048</v>
      </c>
      <c r="Q333" s="18">
        <v>24</v>
      </c>
      <c r="R333" s="18"/>
      <c r="S333" s="18"/>
      <c r="T333" s="18"/>
      <c r="U3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33" s="19">
        <f>IF(AUDITORIA[[#This Row],[CAT]]="",0,1)</f>
        <v>1</v>
      </c>
      <c r="W333" s="20">
        <v>46141</v>
      </c>
      <c r="X333" s="21" t="str">
        <f>UPPER(IF(AUDITORIA[[#This Row],[DATA VERIFICAÇÃO]]="","",TEXT(AUDITORIA[[#This Row],[DATA VERIFICAÇÃO]],"mmm")))</f>
        <v>ABR</v>
      </c>
      <c r="Y333" t="s">
        <v>598</v>
      </c>
      <c r="Z333" t="s">
        <v>691</v>
      </c>
      <c r="AA333" t="s">
        <v>692</v>
      </c>
    </row>
    <row r="334" spans="1:27" ht="14.4" hidden="1" customHeight="1" x14ac:dyDescent="0.3">
      <c r="A334" s="4" t="s">
        <v>0</v>
      </c>
      <c r="B334" s="4" t="s">
        <v>17</v>
      </c>
      <c r="C334" s="16" t="s">
        <v>18</v>
      </c>
      <c r="D334" s="4">
        <v>10</v>
      </c>
      <c r="E334" s="4" t="s">
        <v>745</v>
      </c>
      <c r="F334" t="s">
        <v>114</v>
      </c>
      <c r="G334" t="s">
        <v>106</v>
      </c>
      <c r="J334" s="4" t="s">
        <v>19</v>
      </c>
      <c r="K334" s="4" t="s">
        <v>21</v>
      </c>
      <c r="L334" s="4" t="s">
        <v>742</v>
      </c>
      <c r="M334" s="17">
        <v>24</v>
      </c>
      <c r="N334" s="17">
        <v>1064</v>
      </c>
      <c r="O334" s="18" t="s">
        <v>19</v>
      </c>
      <c r="P334" s="18">
        <v>1064</v>
      </c>
      <c r="Q334" s="18">
        <v>24</v>
      </c>
      <c r="R334" s="18"/>
      <c r="S334" s="18"/>
      <c r="T334" s="18"/>
      <c r="U3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34" s="19">
        <f>IF(AUDITORIA[[#This Row],[CAT]]="",0,1)</f>
        <v>1</v>
      </c>
      <c r="W334" s="20">
        <v>46141</v>
      </c>
      <c r="X334" s="21" t="str">
        <f>UPPER(IF(AUDITORIA[[#This Row],[DATA VERIFICAÇÃO]]="","",TEXT(AUDITORIA[[#This Row],[DATA VERIFICAÇÃO]],"mmm")))</f>
        <v>ABR</v>
      </c>
      <c r="Y334" t="s">
        <v>598</v>
      </c>
      <c r="Z334" t="s">
        <v>691</v>
      </c>
      <c r="AA334" t="s">
        <v>692</v>
      </c>
    </row>
    <row r="335" spans="1:27" ht="14.4" hidden="1" customHeight="1" x14ac:dyDescent="0.3">
      <c r="A335" s="4" t="s">
        <v>0</v>
      </c>
      <c r="B335" s="4" t="s">
        <v>17</v>
      </c>
      <c r="C335" s="16" t="s">
        <v>18</v>
      </c>
      <c r="D335" s="4">
        <v>10</v>
      </c>
      <c r="E335" s="4" t="s">
        <v>745</v>
      </c>
      <c r="F335" t="s">
        <v>113</v>
      </c>
      <c r="G335" t="s">
        <v>106</v>
      </c>
      <c r="J335" s="4" t="s">
        <v>19</v>
      </c>
      <c r="K335" s="4" t="s">
        <v>21</v>
      </c>
      <c r="L335" s="4" t="s">
        <v>742</v>
      </c>
      <c r="M335" s="17">
        <v>24</v>
      </c>
      <c r="N335" s="17">
        <v>1078</v>
      </c>
      <c r="O335" s="18" t="s">
        <v>19</v>
      </c>
      <c r="P335" s="18">
        <v>1078</v>
      </c>
      <c r="Q335" s="18">
        <v>24</v>
      </c>
      <c r="R335" s="18"/>
      <c r="S335" s="18"/>
      <c r="T335" s="18"/>
      <c r="U3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35" s="19">
        <f>IF(AUDITORIA[[#This Row],[CAT]]="",0,1)</f>
        <v>1</v>
      </c>
      <c r="W335" s="20">
        <v>46141</v>
      </c>
      <c r="X335" s="21" t="str">
        <f>UPPER(IF(AUDITORIA[[#This Row],[DATA VERIFICAÇÃO]]="","",TEXT(AUDITORIA[[#This Row],[DATA VERIFICAÇÃO]],"mmm")))</f>
        <v>ABR</v>
      </c>
      <c r="Y335" t="s">
        <v>598</v>
      </c>
      <c r="Z335" t="s">
        <v>691</v>
      </c>
      <c r="AA335" t="s">
        <v>692</v>
      </c>
    </row>
    <row r="336" spans="1:27" ht="14.4" hidden="1" customHeight="1" x14ac:dyDescent="0.3">
      <c r="A336" s="4" t="s">
        <v>0</v>
      </c>
      <c r="B336" s="4" t="s">
        <v>17</v>
      </c>
      <c r="C336" s="16" t="s">
        <v>18</v>
      </c>
      <c r="D336" s="4">
        <v>10</v>
      </c>
      <c r="E336" s="4" t="s">
        <v>745</v>
      </c>
      <c r="F336" t="s">
        <v>112</v>
      </c>
      <c r="G336" t="s">
        <v>106</v>
      </c>
      <c r="J336" s="4" t="s">
        <v>19</v>
      </c>
      <c r="K336" s="4" t="s">
        <v>21</v>
      </c>
      <c r="L336" s="4" t="s">
        <v>742</v>
      </c>
      <c r="M336" s="17">
        <v>24</v>
      </c>
      <c r="N336" s="17">
        <v>1073</v>
      </c>
      <c r="O336" s="18" t="s">
        <v>19</v>
      </c>
      <c r="P336" s="18">
        <v>1073</v>
      </c>
      <c r="Q336" s="18">
        <v>24</v>
      </c>
      <c r="R336" s="18"/>
      <c r="S336" s="18"/>
      <c r="T336" s="18"/>
      <c r="U3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36" s="19">
        <f>IF(AUDITORIA[[#This Row],[CAT]]="",0,1)</f>
        <v>1</v>
      </c>
      <c r="W336" s="20">
        <v>46141</v>
      </c>
      <c r="X336" s="21" t="str">
        <f>UPPER(IF(AUDITORIA[[#This Row],[DATA VERIFICAÇÃO]]="","",TEXT(AUDITORIA[[#This Row],[DATA VERIFICAÇÃO]],"mmm")))</f>
        <v>ABR</v>
      </c>
      <c r="Y336" t="s">
        <v>598</v>
      </c>
      <c r="Z336" t="s">
        <v>691</v>
      </c>
      <c r="AA336" t="s">
        <v>692</v>
      </c>
    </row>
    <row r="337" spans="1:27" ht="14.4" hidden="1" customHeight="1" x14ac:dyDescent="0.3">
      <c r="A337" s="4" t="s">
        <v>0</v>
      </c>
      <c r="B337" s="4" t="s">
        <v>17</v>
      </c>
      <c r="C337" s="16" t="s">
        <v>18</v>
      </c>
      <c r="D337" s="4">
        <v>10</v>
      </c>
      <c r="E337" s="4" t="s">
        <v>745</v>
      </c>
      <c r="F337" t="s">
        <v>110</v>
      </c>
      <c r="G337" t="s">
        <v>106</v>
      </c>
      <c r="J337" s="4" t="s">
        <v>19</v>
      </c>
      <c r="K337" s="4" t="s">
        <v>21</v>
      </c>
      <c r="L337" s="4" t="s">
        <v>742</v>
      </c>
      <c r="M337" s="17">
        <v>24</v>
      </c>
      <c r="N337" s="17">
        <v>1065</v>
      </c>
      <c r="O337" s="18" t="s">
        <v>19</v>
      </c>
      <c r="P337" s="18">
        <v>1065</v>
      </c>
      <c r="Q337" s="18">
        <v>24</v>
      </c>
      <c r="R337" s="18"/>
      <c r="S337" s="18"/>
      <c r="T337" s="18"/>
      <c r="U3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37" s="19">
        <f>IF(AUDITORIA[[#This Row],[CAT]]="",0,1)</f>
        <v>1</v>
      </c>
      <c r="W337" s="20">
        <v>46141</v>
      </c>
      <c r="X337" s="21" t="str">
        <f>UPPER(IF(AUDITORIA[[#This Row],[DATA VERIFICAÇÃO]]="","",TEXT(AUDITORIA[[#This Row],[DATA VERIFICAÇÃO]],"mmm")))</f>
        <v>ABR</v>
      </c>
      <c r="Y337" t="s">
        <v>598</v>
      </c>
      <c r="Z337" t="s">
        <v>691</v>
      </c>
      <c r="AA337" t="s">
        <v>692</v>
      </c>
    </row>
    <row r="338" spans="1:27" ht="14.4" hidden="1" customHeight="1" x14ac:dyDescent="0.3">
      <c r="A338" s="4" t="s">
        <v>0</v>
      </c>
      <c r="B338" s="4" t="s">
        <v>17</v>
      </c>
      <c r="C338" s="16" t="s">
        <v>18</v>
      </c>
      <c r="D338" s="4">
        <v>10</v>
      </c>
      <c r="E338" s="4" t="s">
        <v>745</v>
      </c>
      <c r="F338" t="s">
        <v>105</v>
      </c>
      <c r="G338" t="s">
        <v>106</v>
      </c>
      <c r="J338" s="4" t="s">
        <v>19</v>
      </c>
      <c r="K338" s="4" t="s">
        <v>21</v>
      </c>
      <c r="L338" s="4" t="s">
        <v>742</v>
      </c>
      <c r="M338" s="17">
        <v>23</v>
      </c>
      <c r="N338" s="17">
        <v>1077</v>
      </c>
      <c r="O338" s="18" t="s">
        <v>19</v>
      </c>
      <c r="P338" s="18">
        <v>1077</v>
      </c>
      <c r="Q338" s="18">
        <v>23</v>
      </c>
      <c r="R338" s="18"/>
      <c r="S338" s="18"/>
      <c r="T338" s="18"/>
      <c r="U3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38" s="19">
        <f>IF(AUDITORIA[[#This Row],[CAT]]="",0,1)</f>
        <v>1</v>
      </c>
      <c r="W338" s="20">
        <v>46141</v>
      </c>
      <c r="X338" s="21" t="str">
        <f>UPPER(IF(AUDITORIA[[#This Row],[DATA VERIFICAÇÃO]]="","",TEXT(AUDITORIA[[#This Row],[DATA VERIFICAÇÃO]],"mmm")))</f>
        <v>ABR</v>
      </c>
      <c r="Y338" t="s">
        <v>598</v>
      </c>
      <c r="Z338" t="s">
        <v>691</v>
      </c>
      <c r="AA338" t="s">
        <v>692</v>
      </c>
    </row>
    <row r="339" spans="1:27" ht="14.4" hidden="1" customHeight="1" x14ac:dyDescent="0.3">
      <c r="A339" s="4" t="s">
        <v>0</v>
      </c>
      <c r="B339" s="4" t="s">
        <v>17</v>
      </c>
      <c r="C339" s="16" t="s">
        <v>18</v>
      </c>
      <c r="D339" s="4">
        <v>10</v>
      </c>
      <c r="E339" s="4" t="s">
        <v>745</v>
      </c>
      <c r="F339" t="s">
        <v>51</v>
      </c>
      <c r="G339" t="s">
        <v>34</v>
      </c>
      <c r="J339" s="4" t="s">
        <v>31</v>
      </c>
      <c r="K339" s="4" t="s">
        <v>20</v>
      </c>
      <c r="L339" s="4" t="s">
        <v>742</v>
      </c>
      <c r="M339" s="17">
        <v>30</v>
      </c>
      <c r="N339" s="17">
        <v>695</v>
      </c>
      <c r="O339" s="18" t="s">
        <v>31</v>
      </c>
      <c r="P339" s="18">
        <v>695</v>
      </c>
      <c r="Q339" s="18">
        <v>30</v>
      </c>
      <c r="R339" s="18"/>
      <c r="S339" s="18"/>
      <c r="T339" s="18"/>
      <c r="U3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39" s="19">
        <f>IF(AUDITORIA[[#This Row],[CAT]]="",0,1)</f>
        <v>1</v>
      </c>
      <c r="W339" s="20">
        <v>46141</v>
      </c>
      <c r="X339" s="21" t="str">
        <f>UPPER(IF(AUDITORIA[[#This Row],[DATA VERIFICAÇÃO]]="","",TEXT(AUDITORIA[[#This Row],[DATA VERIFICAÇÃO]],"mmm")))</f>
        <v>ABR</v>
      </c>
      <c r="Y339" t="s">
        <v>598</v>
      </c>
      <c r="Z339" t="s">
        <v>691</v>
      </c>
      <c r="AA339" t="s">
        <v>692</v>
      </c>
    </row>
    <row r="340" spans="1:27" ht="14.4" hidden="1" customHeight="1" x14ac:dyDescent="0.3">
      <c r="A340" s="4" t="s">
        <v>0</v>
      </c>
      <c r="B340" s="4" t="s">
        <v>17</v>
      </c>
      <c r="C340" s="16" t="s">
        <v>18</v>
      </c>
      <c r="D340" s="4">
        <v>10</v>
      </c>
      <c r="E340" s="4" t="s">
        <v>745</v>
      </c>
      <c r="F340" t="s">
        <v>50</v>
      </c>
      <c r="G340" t="s">
        <v>34</v>
      </c>
      <c r="J340" s="4" t="s">
        <v>31</v>
      </c>
      <c r="K340" s="4" t="s">
        <v>20</v>
      </c>
      <c r="L340" s="4" t="s">
        <v>742</v>
      </c>
      <c r="M340" s="17">
        <v>30</v>
      </c>
      <c r="N340" s="17">
        <v>651</v>
      </c>
      <c r="O340" s="18" t="s">
        <v>31</v>
      </c>
      <c r="P340" s="18">
        <v>651</v>
      </c>
      <c r="Q340" s="18">
        <v>30</v>
      </c>
      <c r="R340" s="18"/>
      <c r="S340" s="18"/>
      <c r="T340" s="18"/>
      <c r="U3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40" s="19">
        <f>IF(AUDITORIA[[#This Row],[CAT]]="",0,1)</f>
        <v>1</v>
      </c>
      <c r="W340" s="20">
        <v>46141</v>
      </c>
      <c r="X340" s="21" t="str">
        <f>UPPER(IF(AUDITORIA[[#This Row],[DATA VERIFICAÇÃO]]="","",TEXT(AUDITORIA[[#This Row],[DATA VERIFICAÇÃO]],"mmm")))</f>
        <v>ABR</v>
      </c>
      <c r="Y340" t="s">
        <v>598</v>
      </c>
      <c r="Z340" t="s">
        <v>691</v>
      </c>
      <c r="AA340" t="s">
        <v>692</v>
      </c>
    </row>
    <row r="341" spans="1:27" ht="14.4" hidden="1" customHeight="1" x14ac:dyDescent="0.3">
      <c r="A341" s="4" t="s">
        <v>0</v>
      </c>
      <c r="B341" s="4" t="s">
        <v>17</v>
      </c>
      <c r="C341" s="16" t="s">
        <v>18</v>
      </c>
      <c r="D341" s="4">
        <v>10</v>
      </c>
      <c r="E341" s="4" t="s">
        <v>745</v>
      </c>
      <c r="F341" t="s">
        <v>47</v>
      </c>
      <c r="G341" t="s">
        <v>34</v>
      </c>
      <c r="J341" s="4" t="s">
        <v>31</v>
      </c>
      <c r="K341" s="4" t="s">
        <v>20</v>
      </c>
      <c r="L341" s="4" t="s">
        <v>742</v>
      </c>
      <c r="M341" s="17">
        <v>30</v>
      </c>
      <c r="N341" s="17">
        <v>646</v>
      </c>
      <c r="O341" s="18" t="s">
        <v>31</v>
      </c>
      <c r="P341" s="18">
        <v>646</v>
      </c>
      <c r="Q341" s="18">
        <v>30</v>
      </c>
      <c r="R341" s="18"/>
      <c r="S341" s="18"/>
      <c r="T341" s="18"/>
      <c r="U3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41" s="19">
        <f>IF(AUDITORIA[[#This Row],[CAT]]="",0,1)</f>
        <v>1</v>
      </c>
      <c r="W341" s="20">
        <v>46141</v>
      </c>
      <c r="X341" s="21" t="str">
        <f>UPPER(IF(AUDITORIA[[#This Row],[DATA VERIFICAÇÃO]]="","",TEXT(AUDITORIA[[#This Row],[DATA VERIFICAÇÃO]],"mmm")))</f>
        <v>ABR</v>
      </c>
      <c r="Y341" t="s">
        <v>598</v>
      </c>
      <c r="Z341" t="s">
        <v>691</v>
      </c>
      <c r="AA341" t="s">
        <v>692</v>
      </c>
    </row>
    <row r="342" spans="1:27" ht="14.4" hidden="1" customHeight="1" x14ac:dyDescent="0.3">
      <c r="A342" s="4" t="s">
        <v>0</v>
      </c>
      <c r="B342" s="4" t="s">
        <v>17</v>
      </c>
      <c r="C342" s="16" t="s">
        <v>18</v>
      </c>
      <c r="D342" s="4">
        <v>10</v>
      </c>
      <c r="E342" s="4" t="s">
        <v>745</v>
      </c>
      <c r="F342" t="s">
        <v>45</v>
      </c>
      <c r="G342" t="s">
        <v>34</v>
      </c>
      <c r="J342" s="4" t="s">
        <v>31</v>
      </c>
      <c r="K342" s="4" t="s">
        <v>20</v>
      </c>
      <c r="L342" s="4" t="s">
        <v>742</v>
      </c>
      <c r="M342" s="17">
        <v>30</v>
      </c>
      <c r="N342" s="17">
        <v>648</v>
      </c>
      <c r="O342" s="18" t="s">
        <v>31</v>
      </c>
      <c r="P342" s="18">
        <v>648</v>
      </c>
      <c r="Q342" s="18">
        <v>30</v>
      </c>
      <c r="R342" s="18"/>
      <c r="S342" s="18"/>
      <c r="T342" s="18"/>
      <c r="U3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42" s="19">
        <f>IF(AUDITORIA[[#This Row],[CAT]]="",0,1)</f>
        <v>1</v>
      </c>
      <c r="W342" s="20">
        <v>46141</v>
      </c>
      <c r="X342" s="21" t="str">
        <f>UPPER(IF(AUDITORIA[[#This Row],[DATA VERIFICAÇÃO]]="","",TEXT(AUDITORIA[[#This Row],[DATA VERIFICAÇÃO]],"mmm")))</f>
        <v>ABR</v>
      </c>
      <c r="Y342" t="s">
        <v>598</v>
      </c>
      <c r="Z342" t="s">
        <v>691</v>
      </c>
      <c r="AA342" t="s">
        <v>692</v>
      </c>
    </row>
    <row r="343" spans="1:27" ht="14.4" hidden="1" customHeight="1" x14ac:dyDescent="0.3">
      <c r="A343" s="4" t="s">
        <v>0</v>
      </c>
      <c r="B343" s="4" t="s">
        <v>17</v>
      </c>
      <c r="C343" s="16" t="s">
        <v>18</v>
      </c>
      <c r="D343" s="4">
        <v>10</v>
      </c>
      <c r="E343" s="4" t="s">
        <v>745</v>
      </c>
      <c r="F343" t="s">
        <v>42</v>
      </c>
      <c r="G343" t="s">
        <v>34</v>
      </c>
      <c r="J343" s="4" t="s">
        <v>31</v>
      </c>
      <c r="K343" s="4" t="s">
        <v>20</v>
      </c>
      <c r="L343" s="4" t="s">
        <v>742</v>
      </c>
      <c r="M343" s="17">
        <v>30</v>
      </c>
      <c r="N343" s="17">
        <v>643</v>
      </c>
      <c r="O343" s="18" t="s">
        <v>31</v>
      </c>
      <c r="P343" s="18">
        <v>643</v>
      </c>
      <c r="Q343" s="18">
        <v>30</v>
      </c>
      <c r="R343" s="18"/>
      <c r="S343" s="18"/>
      <c r="T343" s="18"/>
      <c r="U3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43" s="19">
        <f>IF(AUDITORIA[[#This Row],[CAT]]="",0,1)</f>
        <v>1</v>
      </c>
      <c r="W343" s="20">
        <v>46141</v>
      </c>
      <c r="X343" s="21" t="str">
        <f>UPPER(IF(AUDITORIA[[#This Row],[DATA VERIFICAÇÃO]]="","",TEXT(AUDITORIA[[#This Row],[DATA VERIFICAÇÃO]],"mmm")))</f>
        <v>ABR</v>
      </c>
      <c r="Y343" t="s">
        <v>598</v>
      </c>
      <c r="Z343" t="s">
        <v>691</v>
      </c>
      <c r="AA343" t="s">
        <v>692</v>
      </c>
    </row>
    <row r="344" spans="1:27" ht="14.4" hidden="1" customHeight="1" x14ac:dyDescent="0.3">
      <c r="A344" s="4" t="s">
        <v>0</v>
      </c>
      <c r="B344" s="4" t="s">
        <v>17</v>
      </c>
      <c r="C344" s="16" t="s">
        <v>18</v>
      </c>
      <c r="D344" s="4">
        <v>10</v>
      </c>
      <c r="E344" s="4" t="s">
        <v>745</v>
      </c>
      <c r="F344" t="s">
        <v>40</v>
      </c>
      <c r="G344" t="s">
        <v>34</v>
      </c>
      <c r="J344" s="4" t="s">
        <v>31</v>
      </c>
      <c r="K344" s="4" t="s">
        <v>20</v>
      </c>
      <c r="L344" s="4" t="s">
        <v>742</v>
      </c>
      <c r="M344" s="17">
        <v>30</v>
      </c>
      <c r="N344" s="17">
        <v>644</v>
      </c>
      <c r="O344" s="18" t="s">
        <v>31</v>
      </c>
      <c r="P344" s="18">
        <v>644</v>
      </c>
      <c r="Q344" s="18">
        <v>30</v>
      </c>
      <c r="R344" s="18"/>
      <c r="S344" s="18"/>
      <c r="T344" s="18"/>
      <c r="U3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44" s="19">
        <f>IF(AUDITORIA[[#This Row],[CAT]]="",0,1)</f>
        <v>1</v>
      </c>
      <c r="W344" s="20">
        <v>46141</v>
      </c>
      <c r="X344" s="21" t="str">
        <f>UPPER(IF(AUDITORIA[[#This Row],[DATA VERIFICAÇÃO]]="","",TEXT(AUDITORIA[[#This Row],[DATA VERIFICAÇÃO]],"mmm")))</f>
        <v>ABR</v>
      </c>
      <c r="Y344" t="s">
        <v>598</v>
      </c>
      <c r="Z344" t="s">
        <v>691</v>
      </c>
      <c r="AA344" t="s">
        <v>692</v>
      </c>
    </row>
    <row r="345" spans="1:27" ht="14.4" hidden="1" customHeight="1" x14ac:dyDescent="0.3">
      <c r="A345" s="4" t="s">
        <v>0</v>
      </c>
      <c r="B345" s="4" t="s">
        <v>17</v>
      </c>
      <c r="C345" s="16" t="s">
        <v>18</v>
      </c>
      <c r="D345" s="4">
        <v>10</v>
      </c>
      <c r="E345" s="4" t="s">
        <v>745</v>
      </c>
      <c r="F345" t="s">
        <v>37</v>
      </c>
      <c r="G345" t="s">
        <v>34</v>
      </c>
      <c r="J345" s="4" t="s">
        <v>31</v>
      </c>
      <c r="K345" s="4" t="s">
        <v>20</v>
      </c>
      <c r="L345" s="4" t="s">
        <v>742</v>
      </c>
      <c r="M345" s="17">
        <v>30</v>
      </c>
      <c r="N345" s="17">
        <v>638</v>
      </c>
      <c r="O345" s="18" t="s">
        <v>31</v>
      </c>
      <c r="P345" s="18">
        <v>638</v>
      </c>
      <c r="Q345" s="18">
        <v>30</v>
      </c>
      <c r="R345" s="18"/>
      <c r="S345" s="18"/>
      <c r="T345" s="18"/>
      <c r="U3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45" s="19">
        <f>IF(AUDITORIA[[#This Row],[CAT]]="",0,1)</f>
        <v>1</v>
      </c>
      <c r="W345" s="20">
        <v>46141</v>
      </c>
      <c r="X345" s="21" t="str">
        <f>UPPER(IF(AUDITORIA[[#This Row],[DATA VERIFICAÇÃO]]="","",TEXT(AUDITORIA[[#This Row],[DATA VERIFICAÇÃO]],"mmm")))</f>
        <v>ABR</v>
      </c>
      <c r="Y345" t="s">
        <v>598</v>
      </c>
      <c r="Z345" t="s">
        <v>691</v>
      </c>
      <c r="AA345" t="s">
        <v>692</v>
      </c>
    </row>
    <row r="346" spans="1:27" ht="14.4" hidden="1" customHeight="1" x14ac:dyDescent="0.3">
      <c r="A346" s="4" t="s">
        <v>0</v>
      </c>
      <c r="B346" s="4" t="s">
        <v>17</v>
      </c>
      <c r="C346" s="16" t="s">
        <v>18</v>
      </c>
      <c r="D346" s="4">
        <v>10</v>
      </c>
      <c r="E346" s="4" t="s">
        <v>745</v>
      </c>
      <c r="F346" t="s">
        <v>35</v>
      </c>
      <c r="G346" t="s">
        <v>34</v>
      </c>
      <c r="J346" s="4" t="s">
        <v>31</v>
      </c>
      <c r="K346" s="4" t="s">
        <v>20</v>
      </c>
      <c r="L346" s="4" t="s">
        <v>742</v>
      </c>
      <c r="M346" s="17">
        <v>30</v>
      </c>
      <c r="N346" s="17">
        <v>636</v>
      </c>
      <c r="O346" s="18" t="s">
        <v>31</v>
      </c>
      <c r="P346" s="18">
        <v>636</v>
      </c>
      <c r="Q346" s="18">
        <v>30</v>
      </c>
      <c r="R346" s="18"/>
      <c r="S346" s="18"/>
      <c r="T346" s="18"/>
      <c r="U3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46" s="19">
        <f>IF(AUDITORIA[[#This Row],[CAT]]="",0,1)</f>
        <v>1</v>
      </c>
      <c r="W346" s="20">
        <v>46141</v>
      </c>
      <c r="X346" s="21" t="str">
        <f>UPPER(IF(AUDITORIA[[#This Row],[DATA VERIFICAÇÃO]]="","",TEXT(AUDITORIA[[#This Row],[DATA VERIFICAÇÃO]],"mmm")))</f>
        <v>ABR</v>
      </c>
      <c r="Y346" t="s">
        <v>598</v>
      </c>
      <c r="Z346" t="s">
        <v>691</v>
      </c>
      <c r="AA346" t="s">
        <v>692</v>
      </c>
    </row>
    <row r="347" spans="1:27" ht="14.4" hidden="1" customHeight="1" x14ac:dyDescent="0.3">
      <c r="A347" s="4" t="s">
        <v>0</v>
      </c>
      <c r="B347" s="4" t="s">
        <v>17</v>
      </c>
      <c r="C347" s="16" t="s">
        <v>18</v>
      </c>
      <c r="D347" s="4">
        <v>10</v>
      </c>
      <c r="E347" s="4" t="s">
        <v>745</v>
      </c>
      <c r="F347" t="s">
        <v>52</v>
      </c>
      <c r="G347" t="s">
        <v>34</v>
      </c>
      <c r="J347" s="4" t="s">
        <v>31</v>
      </c>
      <c r="K347" s="4" t="s">
        <v>21</v>
      </c>
      <c r="L347" s="4" t="s">
        <v>742</v>
      </c>
      <c r="M347" s="17">
        <v>30</v>
      </c>
      <c r="N347" s="17">
        <v>819</v>
      </c>
      <c r="O347" s="18" t="s">
        <v>31</v>
      </c>
      <c r="P347" s="18">
        <v>819</v>
      </c>
      <c r="Q347" s="18">
        <v>30</v>
      </c>
      <c r="R347" s="18"/>
      <c r="S347" s="18"/>
      <c r="T347" s="18"/>
      <c r="U3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47" s="19">
        <f>IF(AUDITORIA[[#This Row],[CAT]]="",0,1)</f>
        <v>1</v>
      </c>
      <c r="W347" s="20">
        <v>46141</v>
      </c>
      <c r="X347" s="21" t="str">
        <f>UPPER(IF(AUDITORIA[[#This Row],[DATA VERIFICAÇÃO]]="","",TEXT(AUDITORIA[[#This Row],[DATA VERIFICAÇÃO]],"mmm")))</f>
        <v>ABR</v>
      </c>
      <c r="Y347" t="s">
        <v>598</v>
      </c>
      <c r="Z347" t="s">
        <v>691</v>
      </c>
      <c r="AA347" t="s">
        <v>692</v>
      </c>
    </row>
    <row r="348" spans="1:27" ht="14.4" hidden="1" customHeight="1" x14ac:dyDescent="0.3">
      <c r="A348" s="4" t="s">
        <v>0</v>
      </c>
      <c r="B348" s="4" t="s">
        <v>17</v>
      </c>
      <c r="C348" s="16" t="s">
        <v>18</v>
      </c>
      <c r="D348" s="4">
        <v>10</v>
      </c>
      <c r="E348" s="4" t="s">
        <v>745</v>
      </c>
      <c r="F348" t="s">
        <v>49</v>
      </c>
      <c r="G348" t="s">
        <v>34</v>
      </c>
      <c r="J348" s="4" t="s">
        <v>31</v>
      </c>
      <c r="K348" s="4" t="s">
        <v>21</v>
      </c>
      <c r="L348" s="4" t="s">
        <v>742</v>
      </c>
      <c r="M348" s="17">
        <v>30</v>
      </c>
      <c r="N348" s="17">
        <v>802</v>
      </c>
      <c r="O348" s="18" t="s">
        <v>31</v>
      </c>
      <c r="P348" s="18">
        <v>802</v>
      </c>
      <c r="Q348" s="18">
        <v>30</v>
      </c>
      <c r="R348" s="18"/>
      <c r="S348" s="18"/>
      <c r="T348" s="18"/>
      <c r="U3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48" s="19">
        <f>IF(AUDITORIA[[#This Row],[CAT]]="",0,1)</f>
        <v>1</v>
      </c>
      <c r="W348" s="20">
        <v>46141</v>
      </c>
      <c r="X348" s="21" t="str">
        <f>UPPER(IF(AUDITORIA[[#This Row],[DATA VERIFICAÇÃO]]="","",TEXT(AUDITORIA[[#This Row],[DATA VERIFICAÇÃO]],"mmm")))</f>
        <v>ABR</v>
      </c>
      <c r="Y348" t="s">
        <v>598</v>
      </c>
      <c r="Z348" t="s">
        <v>691</v>
      </c>
      <c r="AA348" t="s">
        <v>692</v>
      </c>
    </row>
    <row r="349" spans="1:27" ht="14.4" hidden="1" customHeight="1" x14ac:dyDescent="0.3">
      <c r="A349" s="4" t="s">
        <v>0</v>
      </c>
      <c r="B349" s="4" t="s">
        <v>17</v>
      </c>
      <c r="C349" s="16" t="s">
        <v>18</v>
      </c>
      <c r="D349" s="4">
        <v>10</v>
      </c>
      <c r="E349" s="4" t="s">
        <v>745</v>
      </c>
      <c r="F349" t="s">
        <v>48</v>
      </c>
      <c r="G349" t="s">
        <v>34</v>
      </c>
      <c r="J349" s="4" t="s">
        <v>31</v>
      </c>
      <c r="K349" s="4" t="s">
        <v>21</v>
      </c>
      <c r="L349" s="4" t="s">
        <v>742</v>
      </c>
      <c r="M349" s="17">
        <v>30</v>
      </c>
      <c r="N349" s="17">
        <v>815</v>
      </c>
      <c r="O349" s="18" t="s">
        <v>31</v>
      </c>
      <c r="P349" s="18">
        <v>815</v>
      </c>
      <c r="Q349" s="18">
        <v>30</v>
      </c>
      <c r="R349" s="18"/>
      <c r="S349" s="18"/>
      <c r="T349" s="18"/>
      <c r="U3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49" s="19">
        <f>IF(AUDITORIA[[#This Row],[CAT]]="",0,1)</f>
        <v>1</v>
      </c>
      <c r="W349" s="20">
        <v>46141</v>
      </c>
      <c r="X349" s="21" t="str">
        <f>UPPER(IF(AUDITORIA[[#This Row],[DATA VERIFICAÇÃO]]="","",TEXT(AUDITORIA[[#This Row],[DATA VERIFICAÇÃO]],"mmm")))</f>
        <v>ABR</v>
      </c>
      <c r="Y349" t="s">
        <v>598</v>
      </c>
      <c r="Z349" t="s">
        <v>691</v>
      </c>
      <c r="AA349" t="s">
        <v>692</v>
      </c>
    </row>
    <row r="350" spans="1:27" ht="14.4" hidden="1" customHeight="1" x14ac:dyDescent="0.3">
      <c r="A350" s="4" t="s">
        <v>0</v>
      </c>
      <c r="B350" s="4" t="s">
        <v>17</v>
      </c>
      <c r="C350" s="16" t="s">
        <v>18</v>
      </c>
      <c r="D350" s="4">
        <v>10</v>
      </c>
      <c r="E350" s="4" t="s">
        <v>745</v>
      </c>
      <c r="F350" t="s">
        <v>46</v>
      </c>
      <c r="G350" t="s">
        <v>34</v>
      </c>
      <c r="J350" s="4" t="s">
        <v>31</v>
      </c>
      <c r="K350" s="4" t="s">
        <v>21</v>
      </c>
      <c r="L350" s="4" t="s">
        <v>742</v>
      </c>
      <c r="M350" s="17">
        <v>30</v>
      </c>
      <c r="N350" s="17">
        <v>796</v>
      </c>
      <c r="O350" s="18" t="s">
        <v>31</v>
      </c>
      <c r="P350" s="18">
        <v>796</v>
      </c>
      <c r="Q350" s="18">
        <v>30</v>
      </c>
      <c r="R350" s="18"/>
      <c r="S350" s="18"/>
      <c r="T350" s="18"/>
      <c r="U3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50" s="19">
        <f>IF(AUDITORIA[[#This Row],[CAT]]="",0,1)</f>
        <v>1</v>
      </c>
      <c r="W350" s="20">
        <v>46141</v>
      </c>
      <c r="X350" s="21" t="str">
        <f>UPPER(IF(AUDITORIA[[#This Row],[DATA VERIFICAÇÃO]]="","",TEXT(AUDITORIA[[#This Row],[DATA VERIFICAÇÃO]],"mmm")))</f>
        <v>ABR</v>
      </c>
      <c r="Y350" t="s">
        <v>598</v>
      </c>
      <c r="Z350" t="s">
        <v>691</v>
      </c>
      <c r="AA350" t="s">
        <v>692</v>
      </c>
    </row>
    <row r="351" spans="1:27" ht="14.4" hidden="1" customHeight="1" x14ac:dyDescent="0.3">
      <c r="A351" s="4" t="s">
        <v>0</v>
      </c>
      <c r="B351" s="4" t="s">
        <v>17</v>
      </c>
      <c r="C351" s="16" t="s">
        <v>18</v>
      </c>
      <c r="D351" s="4">
        <v>10</v>
      </c>
      <c r="E351" s="4" t="s">
        <v>745</v>
      </c>
      <c r="F351" t="s">
        <v>44</v>
      </c>
      <c r="G351" t="s">
        <v>34</v>
      </c>
      <c r="J351" s="4" t="s">
        <v>31</v>
      </c>
      <c r="K351" s="4" t="s">
        <v>21</v>
      </c>
      <c r="L351" s="4" t="s">
        <v>742</v>
      </c>
      <c r="M351" s="17">
        <v>30</v>
      </c>
      <c r="N351" s="17">
        <v>794</v>
      </c>
      <c r="O351" s="18" t="s">
        <v>31</v>
      </c>
      <c r="P351" s="18">
        <v>794</v>
      </c>
      <c r="Q351" s="18">
        <v>30</v>
      </c>
      <c r="R351" s="18"/>
      <c r="S351" s="18"/>
      <c r="T351" s="18"/>
      <c r="U3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51" s="19">
        <f>IF(AUDITORIA[[#This Row],[CAT]]="",0,1)</f>
        <v>1</v>
      </c>
      <c r="W351" s="20">
        <v>46141</v>
      </c>
      <c r="X351" s="21" t="str">
        <f>UPPER(IF(AUDITORIA[[#This Row],[DATA VERIFICAÇÃO]]="","",TEXT(AUDITORIA[[#This Row],[DATA VERIFICAÇÃO]],"mmm")))</f>
        <v>ABR</v>
      </c>
      <c r="Y351" t="s">
        <v>598</v>
      </c>
      <c r="Z351" t="s">
        <v>691</v>
      </c>
      <c r="AA351" t="s">
        <v>692</v>
      </c>
    </row>
    <row r="352" spans="1:27" ht="14.4" hidden="1" customHeight="1" x14ac:dyDescent="0.3">
      <c r="A352" s="4" t="s">
        <v>0</v>
      </c>
      <c r="B352" s="4" t="s">
        <v>17</v>
      </c>
      <c r="C352" s="16" t="s">
        <v>18</v>
      </c>
      <c r="D352" s="4">
        <v>10</v>
      </c>
      <c r="E352" s="4" t="s">
        <v>745</v>
      </c>
      <c r="F352" t="s">
        <v>43</v>
      </c>
      <c r="G352" t="s">
        <v>34</v>
      </c>
      <c r="J352" s="4" t="s">
        <v>31</v>
      </c>
      <c r="K352" s="4" t="s">
        <v>21</v>
      </c>
      <c r="L352" s="4" t="s">
        <v>742</v>
      </c>
      <c r="M352" s="17">
        <v>30</v>
      </c>
      <c r="N352" s="17">
        <v>793</v>
      </c>
      <c r="O352" s="18" t="s">
        <v>31</v>
      </c>
      <c r="P352" s="18">
        <v>793</v>
      </c>
      <c r="Q352" s="18">
        <v>30</v>
      </c>
      <c r="R352" s="18"/>
      <c r="S352" s="18"/>
      <c r="T352" s="18"/>
      <c r="U3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52" s="19">
        <f>IF(AUDITORIA[[#This Row],[CAT]]="",0,1)</f>
        <v>1</v>
      </c>
      <c r="W352" s="20">
        <v>46141</v>
      </c>
      <c r="X352" s="21" t="str">
        <f>UPPER(IF(AUDITORIA[[#This Row],[DATA VERIFICAÇÃO]]="","",TEXT(AUDITORIA[[#This Row],[DATA VERIFICAÇÃO]],"mmm")))</f>
        <v>ABR</v>
      </c>
      <c r="Y352" t="s">
        <v>598</v>
      </c>
      <c r="Z352" t="s">
        <v>691</v>
      </c>
      <c r="AA352" t="s">
        <v>692</v>
      </c>
    </row>
    <row r="353" spans="1:27" ht="14.4" hidden="1" customHeight="1" x14ac:dyDescent="0.3">
      <c r="A353" s="4" t="s">
        <v>0</v>
      </c>
      <c r="B353" s="4" t="s">
        <v>17</v>
      </c>
      <c r="C353" s="16" t="s">
        <v>18</v>
      </c>
      <c r="D353" s="4">
        <v>10</v>
      </c>
      <c r="E353" s="4" t="s">
        <v>745</v>
      </c>
      <c r="F353" t="s">
        <v>41</v>
      </c>
      <c r="G353" t="s">
        <v>34</v>
      </c>
      <c r="J353" s="4" t="s">
        <v>31</v>
      </c>
      <c r="K353" s="4" t="s">
        <v>21</v>
      </c>
      <c r="L353" s="4" t="s">
        <v>742</v>
      </c>
      <c r="M353" s="17">
        <v>30</v>
      </c>
      <c r="N353" s="17">
        <v>791</v>
      </c>
      <c r="O353" s="18" t="s">
        <v>31</v>
      </c>
      <c r="P353" s="18">
        <v>791</v>
      </c>
      <c r="Q353" s="18">
        <v>30</v>
      </c>
      <c r="R353" s="18"/>
      <c r="S353" s="18"/>
      <c r="T353" s="18"/>
      <c r="U3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53" s="19">
        <f>IF(AUDITORIA[[#This Row],[CAT]]="",0,1)</f>
        <v>1</v>
      </c>
      <c r="W353" s="20">
        <v>46141</v>
      </c>
      <c r="X353" s="21" t="str">
        <f>UPPER(IF(AUDITORIA[[#This Row],[DATA VERIFICAÇÃO]]="","",TEXT(AUDITORIA[[#This Row],[DATA VERIFICAÇÃO]],"mmm")))</f>
        <v>ABR</v>
      </c>
      <c r="Y353" t="s">
        <v>598</v>
      </c>
      <c r="Z353" t="s">
        <v>691</v>
      </c>
      <c r="AA353" t="s">
        <v>692</v>
      </c>
    </row>
    <row r="354" spans="1:27" ht="14.4" hidden="1" customHeight="1" x14ac:dyDescent="0.3">
      <c r="A354" s="4" t="s">
        <v>0</v>
      </c>
      <c r="B354" s="4" t="s">
        <v>17</v>
      </c>
      <c r="C354" s="16" t="s">
        <v>18</v>
      </c>
      <c r="D354" s="4">
        <v>10</v>
      </c>
      <c r="E354" s="4" t="s">
        <v>745</v>
      </c>
      <c r="F354" t="s">
        <v>39</v>
      </c>
      <c r="G354" t="s">
        <v>34</v>
      </c>
      <c r="J354" s="4" t="s">
        <v>31</v>
      </c>
      <c r="K354" s="4" t="s">
        <v>21</v>
      </c>
      <c r="L354" s="4" t="s">
        <v>742</v>
      </c>
      <c r="M354" s="17">
        <v>30</v>
      </c>
      <c r="N354" s="17">
        <v>804</v>
      </c>
      <c r="O354" s="18" t="s">
        <v>31</v>
      </c>
      <c r="P354" s="18">
        <v>804</v>
      </c>
      <c r="Q354" s="18">
        <v>30</v>
      </c>
      <c r="R354" s="18"/>
      <c r="S354" s="18"/>
      <c r="T354" s="18"/>
      <c r="U3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54" s="19">
        <f>IF(AUDITORIA[[#This Row],[CAT]]="",0,1)</f>
        <v>1</v>
      </c>
      <c r="W354" s="20">
        <v>46141</v>
      </c>
      <c r="X354" s="21" t="str">
        <f>UPPER(IF(AUDITORIA[[#This Row],[DATA VERIFICAÇÃO]]="","",TEXT(AUDITORIA[[#This Row],[DATA VERIFICAÇÃO]],"mmm")))</f>
        <v>ABR</v>
      </c>
      <c r="Y354" t="s">
        <v>598</v>
      </c>
      <c r="Z354" t="s">
        <v>691</v>
      </c>
      <c r="AA354" t="s">
        <v>692</v>
      </c>
    </row>
    <row r="355" spans="1:27" ht="14.4" hidden="1" customHeight="1" x14ac:dyDescent="0.3">
      <c r="A355" s="4" t="s">
        <v>0</v>
      </c>
      <c r="B355" s="4" t="s">
        <v>17</v>
      </c>
      <c r="C355" s="16" t="s">
        <v>18</v>
      </c>
      <c r="D355" s="4">
        <v>10</v>
      </c>
      <c r="E355" s="4" t="s">
        <v>745</v>
      </c>
      <c r="F355" t="s">
        <v>38</v>
      </c>
      <c r="G355" t="s">
        <v>34</v>
      </c>
      <c r="J355" s="4" t="s">
        <v>31</v>
      </c>
      <c r="K355" s="4" t="s">
        <v>21</v>
      </c>
      <c r="L355" s="4" t="s">
        <v>742</v>
      </c>
      <c r="M355" s="17">
        <v>30</v>
      </c>
      <c r="N355" s="17">
        <v>787</v>
      </c>
      <c r="O355" s="18" t="s">
        <v>31</v>
      </c>
      <c r="P355" s="18">
        <v>787</v>
      </c>
      <c r="Q355" s="18">
        <v>30</v>
      </c>
      <c r="R355" s="18"/>
      <c r="S355" s="18"/>
      <c r="T355" s="18"/>
      <c r="U3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55" s="19">
        <f>IF(AUDITORIA[[#This Row],[CAT]]="",0,1)</f>
        <v>1</v>
      </c>
      <c r="W355" s="20">
        <v>46141</v>
      </c>
      <c r="X355" s="21" t="str">
        <f>UPPER(IF(AUDITORIA[[#This Row],[DATA VERIFICAÇÃO]]="","",TEXT(AUDITORIA[[#This Row],[DATA VERIFICAÇÃO]],"mmm")))</f>
        <v>ABR</v>
      </c>
      <c r="Y355" t="s">
        <v>598</v>
      </c>
      <c r="Z355" t="s">
        <v>691</v>
      </c>
      <c r="AA355" t="s">
        <v>692</v>
      </c>
    </row>
    <row r="356" spans="1:27" ht="14.4" hidden="1" customHeight="1" x14ac:dyDescent="0.3">
      <c r="A356" s="4" t="s">
        <v>0</v>
      </c>
      <c r="B356" s="4" t="s">
        <v>17</v>
      </c>
      <c r="C356" s="16" t="s">
        <v>18</v>
      </c>
      <c r="D356" s="4">
        <v>10</v>
      </c>
      <c r="E356" s="4" t="s">
        <v>745</v>
      </c>
      <c r="F356" t="s">
        <v>36</v>
      </c>
      <c r="G356" t="s">
        <v>34</v>
      </c>
      <c r="J356" s="4" t="s">
        <v>31</v>
      </c>
      <c r="K356" s="4" t="s">
        <v>21</v>
      </c>
      <c r="L356" s="4" t="s">
        <v>742</v>
      </c>
      <c r="M356" s="17">
        <v>30</v>
      </c>
      <c r="N356" s="17">
        <v>792</v>
      </c>
      <c r="O356" s="18" t="s">
        <v>31</v>
      </c>
      <c r="P356" s="18">
        <v>792</v>
      </c>
      <c r="Q356" s="18">
        <v>30</v>
      </c>
      <c r="R356" s="18"/>
      <c r="S356" s="18"/>
      <c r="T356" s="18"/>
      <c r="U3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56" s="19">
        <f>IF(AUDITORIA[[#This Row],[CAT]]="",0,1)</f>
        <v>1</v>
      </c>
      <c r="W356" s="20">
        <v>46141</v>
      </c>
      <c r="X356" s="21" t="str">
        <f>UPPER(IF(AUDITORIA[[#This Row],[DATA VERIFICAÇÃO]]="","",TEXT(AUDITORIA[[#This Row],[DATA VERIFICAÇÃO]],"mmm")))</f>
        <v>ABR</v>
      </c>
      <c r="Y356" t="s">
        <v>598</v>
      </c>
      <c r="Z356" t="s">
        <v>691</v>
      </c>
      <c r="AA356" t="s">
        <v>692</v>
      </c>
    </row>
    <row r="357" spans="1:27" ht="14.4" hidden="1" customHeight="1" x14ac:dyDescent="0.3">
      <c r="A357" s="4" t="s">
        <v>0</v>
      </c>
      <c r="B357" s="4" t="s">
        <v>17</v>
      </c>
      <c r="C357" s="16" t="s">
        <v>18</v>
      </c>
      <c r="D357" s="4">
        <v>10</v>
      </c>
      <c r="E357" s="4" t="s">
        <v>745</v>
      </c>
      <c r="F357" t="s">
        <v>33</v>
      </c>
      <c r="G357" t="s">
        <v>34</v>
      </c>
      <c r="J357" s="4" t="s">
        <v>31</v>
      </c>
      <c r="K357" s="4" t="s">
        <v>21</v>
      </c>
      <c r="L357" s="4" t="s">
        <v>742</v>
      </c>
      <c r="M357" s="17">
        <v>17</v>
      </c>
      <c r="N357" s="17">
        <v>808</v>
      </c>
      <c r="O357" s="18" t="s">
        <v>31</v>
      </c>
      <c r="P357" s="18">
        <v>808</v>
      </c>
      <c r="Q357" s="18">
        <v>17</v>
      </c>
      <c r="R357" s="18"/>
      <c r="S357" s="18"/>
      <c r="T357" s="18"/>
      <c r="U3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57" s="19">
        <f>IF(AUDITORIA[[#This Row],[CAT]]="",0,1)</f>
        <v>1</v>
      </c>
      <c r="W357" s="20">
        <v>46141</v>
      </c>
      <c r="X357" s="21" t="str">
        <f>UPPER(IF(AUDITORIA[[#This Row],[DATA VERIFICAÇÃO]]="","",TEXT(AUDITORIA[[#This Row],[DATA VERIFICAÇÃO]],"mmm")))</f>
        <v>ABR</v>
      </c>
      <c r="Y357" t="s">
        <v>598</v>
      </c>
      <c r="Z357" t="s">
        <v>691</v>
      </c>
      <c r="AA357" t="s">
        <v>692</v>
      </c>
    </row>
    <row r="358" spans="1:27" ht="14.4" hidden="1" customHeight="1" x14ac:dyDescent="0.3">
      <c r="A358" s="4" t="s">
        <v>0</v>
      </c>
      <c r="B358" s="4" t="s">
        <v>17</v>
      </c>
      <c r="C358" s="16" t="s">
        <v>18</v>
      </c>
      <c r="D358" s="4">
        <v>10</v>
      </c>
      <c r="E358" s="4" t="s">
        <v>745</v>
      </c>
      <c r="F358" t="s">
        <v>32</v>
      </c>
      <c r="G358" t="s">
        <v>30</v>
      </c>
      <c r="J358" s="4" t="s">
        <v>31</v>
      </c>
      <c r="K358" s="4" t="s">
        <v>20</v>
      </c>
      <c r="L358" s="4" t="s">
        <v>742</v>
      </c>
      <c r="M358" s="17">
        <v>30</v>
      </c>
      <c r="N358" s="17">
        <v>730</v>
      </c>
      <c r="O358" s="18" t="s">
        <v>31</v>
      </c>
      <c r="P358" s="18">
        <v>730</v>
      </c>
      <c r="Q358" s="18">
        <v>30</v>
      </c>
      <c r="R358" s="18"/>
      <c r="S358" s="18"/>
      <c r="T358" s="18"/>
      <c r="U3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58" s="19">
        <f>IF(AUDITORIA[[#This Row],[CAT]]="",0,1)</f>
        <v>1</v>
      </c>
      <c r="W358" s="20">
        <v>46141</v>
      </c>
      <c r="X358" s="21" t="str">
        <f>UPPER(IF(AUDITORIA[[#This Row],[DATA VERIFICAÇÃO]]="","",TEXT(AUDITORIA[[#This Row],[DATA VERIFICAÇÃO]],"mmm")))</f>
        <v>ABR</v>
      </c>
      <c r="Y358" t="s">
        <v>598</v>
      </c>
      <c r="Z358" t="s">
        <v>691</v>
      </c>
      <c r="AA358" t="s">
        <v>692</v>
      </c>
    </row>
    <row r="359" spans="1:27" ht="14.4" hidden="1" customHeight="1" x14ac:dyDescent="0.3">
      <c r="A359" s="4" t="s">
        <v>0</v>
      </c>
      <c r="B359" s="4" t="s">
        <v>17</v>
      </c>
      <c r="C359" s="16" t="s">
        <v>18</v>
      </c>
      <c r="D359" s="4">
        <v>10</v>
      </c>
      <c r="E359" s="4" t="s">
        <v>745</v>
      </c>
      <c r="F359" t="s">
        <v>690</v>
      </c>
      <c r="G359" t="s">
        <v>30</v>
      </c>
      <c r="J359" s="4" t="s">
        <v>31</v>
      </c>
      <c r="K359" s="4" t="s">
        <v>20</v>
      </c>
      <c r="L359" s="4" t="s">
        <v>742</v>
      </c>
      <c r="M359" s="17">
        <v>30</v>
      </c>
      <c r="N359" s="17">
        <v>734</v>
      </c>
      <c r="O359" s="18" t="s">
        <v>31</v>
      </c>
      <c r="P359" s="18">
        <v>734</v>
      </c>
      <c r="Q359" s="18">
        <v>30</v>
      </c>
      <c r="R359" s="18"/>
      <c r="S359" s="18"/>
      <c r="T359" s="18"/>
      <c r="U3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59" s="19">
        <f>IF(AUDITORIA[[#This Row],[CAT]]="",0,1)</f>
        <v>1</v>
      </c>
      <c r="W359" s="20">
        <v>46141</v>
      </c>
      <c r="X359" s="21" t="str">
        <f>UPPER(IF(AUDITORIA[[#This Row],[DATA VERIFICAÇÃO]]="","",TEXT(AUDITORIA[[#This Row],[DATA VERIFICAÇÃO]],"mmm")))</f>
        <v>ABR</v>
      </c>
      <c r="Y359" t="s">
        <v>598</v>
      </c>
      <c r="Z359" t="s">
        <v>691</v>
      </c>
      <c r="AA359" t="s">
        <v>692</v>
      </c>
    </row>
    <row r="360" spans="1:27" ht="14.4" hidden="1" customHeight="1" x14ac:dyDescent="0.3">
      <c r="A360" s="4" t="s">
        <v>0</v>
      </c>
      <c r="B360" s="4" t="s">
        <v>17</v>
      </c>
      <c r="C360" s="16" t="s">
        <v>18</v>
      </c>
      <c r="D360" s="4">
        <v>10</v>
      </c>
      <c r="E360" s="4" t="s">
        <v>745</v>
      </c>
      <c r="F360" t="s">
        <v>29</v>
      </c>
      <c r="G360" t="s">
        <v>30</v>
      </c>
      <c r="J360" s="4" t="s">
        <v>31</v>
      </c>
      <c r="K360" s="4" t="s">
        <v>21</v>
      </c>
      <c r="L360" s="4" t="s">
        <v>742</v>
      </c>
      <c r="M360" s="17">
        <v>30</v>
      </c>
      <c r="N360" s="17">
        <v>871</v>
      </c>
      <c r="O360" s="18" t="s">
        <v>31</v>
      </c>
      <c r="P360" s="18">
        <v>871</v>
      </c>
      <c r="Q360" s="18">
        <v>30</v>
      </c>
      <c r="R360" s="18"/>
      <c r="S360" s="18"/>
      <c r="T360" s="18"/>
      <c r="U3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60" s="19">
        <f>IF(AUDITORIA[[#This Row],[CAT]]="",0,1)</f>
        <v>1</v>
      </c>
      <c r="W360" s="20">
        <v>46141</v>
      </c>
      <c r="X360" s="21" t="str">
        <f>UPPER(IF(AUDITORIA[[#This Row],[DATA VERIFICAÇÃO]]="","",TEXT(AUDITORIA[[#This Row],[DATA VERIFICAÇÃO]],"mmm")))</f>
        <v>ABR</v>
      </c>
      <c r="Y360" t="s">
        <v>598</v>
      </c>
      <c r="Z360" t="s">
        <v>691</v>
      </c>
      <c r="AA360" t="s">
        <v>692</v>
      </c>
    </row>
    <row r="361" spans="1:27" ht="14.4" hidden="1" customHeight="1" x14ac:dyDescent="0.3">
      <c r="A361" s="4" t="s">
        <v>0</v>
      </c>
      <c r="B361" s="4" t="s">
        <v>17</v>
      </c>
      <c r="C361" s="16" t="s">
        <v>18</v>
      </c>
      <c r="D361" s="4">
        <v>10</v>
      </c>
      <c r="E361" s="4" t="s">
        <v>745</v>
      </c>
      <c r="F361" t="s">
        <v>689</v>
      </c>
      <c r="G361" t="s">
        <v>30</v>
      </c>
      <c r="J361" s="4" t="s">
        <v>31</v>
      </c>
      <c r="K361" s="4" t="s">
        <v>21</v>
      </c>
      <c r="L361" s="4" t="s">
        <v>742</v>
      </c>
      <c r="M361" s="17">
        <v>12</v>
      </c>
      <c r="N361" s="17">
        <v>852</v>
      </c>
      <c r="O361" s="18" t="s">
        <v>31</v>
      </c>
      <c r="P361" s="18">
        <v>852</v>
      </c>
      <c r="Q361" s="18">
        <v>12</v>
      </c>
      <c r="R361" s="18"/>
      <c r="S361" s="18"/>
      <c r="T361" s="18"/>
      <c r="U3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61" s="19">
        <f>IF(AUDITORIA[[#This Row],[CAT]]="",0,1)</f>
        <v>1</v>
      </c>
      <c r="W361" s="20">
        <v>46141</v>
      </c>
      <c r="X361" s="21" t="str">
        <f>UPPER(IF(AUDITORIA[[#This Row],[DATA VERIFICAÇÃO]]="","",TEXT(AUDITORIA[[#This Row],[DATA VERIFICAÇÃO]],"mmm")))</f>
        <v>ABR</v>
      </c>
      <c r="Y361" t="s">
        <v>598</v>
      </c>
      <c r="Z361" t="s">
        <v>691</v>
      </c>
      <c r="AA361" t="s">
        <v>692</v>
      </c>
    </row>
    <row r="362" spans="1:27" ht="14.4" hidden="1" customHeight="1" x14ac:dyDescent="0.3">
      <c r="A362" s="4" t="s">
        <v>0</v>
      </c>
      <c r="B362" s="4" t="s">
        <v>17</v>
      </c>
      <c r="C362" s="16" t="s">
        <v>18</v>
      </c>
      <c r="D362" s="4">
        <v>10</v>
      </c>
      <c r="E362" s="4" t="s">
        <v>746</v>
      </c>
      <c r="F362" t="s">
        <v>695</v>
      </c>
      <c r="G362" t="s">
        <v>726</v>
      </c>
      <c r="J362" s="4" t="s">
        <v>55</v>
      </c>
      <c r="L362" s="4" t="s">
        <v>743</v>
      </c>
      <c r="M362" s="17">
        <v>1</v>
      </c>
      <c r="N362" s="17"/>
      <c r="O362" s="18" t="s">
        <v>55</v>
      </c>
      <c r="P362" s="18"/>
      <c r="Q362" s="18">
        <v>1</v>
      </c>
      <c r="R362" s="18"/>
      <c r="S362" s="18"/>
      <c r="T362" s="18"/>
      <c r="U3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62" s="19">
        <f>IF(AUDITORIA[[#This Row],[CAT]]="",0,1)</f>
        <v>1</v>
      </c>
      <c r="W362" s="20">
        <v>46141</v>
      </c>
      <c r="X362" s="21" t="str">
        <f>UPPER(IF(AUDITORIA[[#This Row],[DATA VERIFICAÇÃO]]="","",TEXT(AUDITORIA[[#This Row],[DATA VERIFICAÇÃO]],"mmm")))</f>
        <v>ABR</v>
      </c>
      <c r="Y362" t="s">
        <v>598</v>
      </c>
      <c r="Z362" t="s">
        <v>691</v>
      </c>
      <c r="AA362" t="s">
        <v>692</v>
      </c>
    </row>
    <row r="363" spans="1:27" ht="14.4" hidden="1" customHeight="1" x14ac:dyDescent="0.3">
      <c r="A363" s="4" t="s">
        <v>0</v>
      </c>
      <c r="B363" s="4" t="s">
        <v>17</v>
      </c>
      <c r="C363" s="16" t="s">
        <v>18</v>
      </c>
      <c r="D363" s="4">
        <v>10</v>
      </c>
      <c r="E363" s="4" t="s">
        <v>746</v>
      </c>
      <c r="F363" t="s">
        <v>704</v>
      </c>
      <c r="G363" t="s">
        <v>726</v>
      </c>
      <c r="J363" s="4" t="s">
        <v>55</v>
      </c>
      <c r="K363" s="4" t="s">
        <v>733</v>
      </c>
      <c r="L363" s="4" t="s">
        <v>743</v>
      </c>
      <c r="M363" s="17">
        <v>61</v>
      </c>
      <c r="N363" s="17"/>
      <c r="O363" s="18" t="s">
        <v>55</v>
      </c>
      <c r="P363" s="18"/>
      <c r="Q363" s="18">
        <v>61</v>
      </c>
      <c r="R363" s="18"/>
      <c r="S363" s="18"/>
      <c r="T363" s="18"/>
      <c r="U3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63" s="19">
        <f>IF(AUDITORIA[[#This Row],[CAT]]="",0,1)</f>
        <v>1</v>
      </c>
      <c r="W363" s="20">
        <v>46141</v>
      </c>
      <c r="X363" s="21" t="str">
        <f>UPPER(IF(AUDITORIA[[#This Row],[DATA VERIFICAÇÃO]]="","",TEXT(AUDITORIA[[#This Row],[DATA VERIFICAÇÃO]],"mmm")))</f>
        <v>ABR</v>
      </c>
      <c r="Y363" t="s">
        <v>598</v>
      </c>
      <c r="Z363" t="s">
        <v>691</v>
      </c>
      <c r="AA363" t="s">
        <v>692</v>
      </c>
    </row>
    <row r="364" spans="1:27" ht="14.4" hidden="1" customHeight="1" x14ac:dyDescent="0.3">
      <c r="A364" s="4" t="s">
        <v>0</v>
      </c>
      <c r="B364" s="4" t="s">
        <v>17</v>
      </c>
      <c r="C364" s="16" t="s">
        <v>18</v>
      </c>
      <c r="D364" s="4">
        <v>10</v>
      </c>
      <c r="E364" s="4" t="s">
        <v>746</v>
      </c>
      <c r="F364" t="s">
        <v>705</v>
      </c>
      <c r="G364" t="s">
        <v>726</v>
      </c>
      <c r="J364" s="4" t="s">
        <v>55</v>
      </c>
      <c r="K364" s="4" t="s">
        <v>734</v>
      </c>
      <c r="L364" s="4" t="s">
        <v>743</v>
      </c>
      <c r="M364" s="17">
        <v>8</v>
      </c>
      <c r="N364" s="17"/>
      <c r="O364" s="18" t="s">
        <v>55</v>
      </c>
      <c r="P364" s="18"/>
      <c r="Q364" s="18">
        <v>8</v>
      </c>
      <c r="R364" s="18"/>
      <c r="S364" s="18"/>
      <c r="T364" s="18"/>
      <c r="U3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64" s="19">
        <f>IF(AUDITORIA[[#This Row],[CAT]]="",0,1)</f>
        <v>1</v>
      </c>
      <c r="W364" s="20">
        <v>46141</v>
      </c>
      <c r="X364" s="21" t="str">
        <f>UPPER(IF(AUDITORIA[[#This Row],[DATA VERIFICAÇÃO]]="","",TEXT(AUDITORIA[[#This Row],[DATA VERIFICAÇÃO]],"mmm")))</f>
        <v>ABR</v>
      </c>
      <c r="Y364" t="s">
        <v>598</v>
      </c>
      <c r="Z364" t="s">
        <v>691</v>
      </c>
      <c r="AA364" t="s">
        <v>692</v>
      </c>
    </row>
    <row r="365" spans="1:27" ht="14.4" hidden="1" customHeight="1" x14ac:dyDescent="0.3">
      <c r="A365" s="4" t="s">
        <v>0</v>
      </c>
      <c r="B365" s="4" t="s">
        <v>17</v>
      </c>
      <c r="C365" s="16" t="s">
        <v>18</v>
      </c>
      <c r="D365" s="4">
        <v>10</v>
      </c>
      <c r="E365" s="4" t="s">
        <v>746</v>
      </c>
      <c r="F365" t="s">
        <v>706</v>
      </c>
      <c r="G365" t="s">
        <v>726</v>
      </c>
      <c r="J365" s="4" t="s">
        <v>55</v>
      </c>
      <c r="K365" s="4" t="s">
        <v>730</v>
      </c>
      <c r="L365" s="4" t="s">
        <v>743</v>
      </c>
      <c r="M365" s="17">
        <v>16</v>
      </c>
      <c r="N365" s="17"/>
      <c r="O365" s="18" t="s">
        <v>55</v>
      </c>
      <c r="P365" s="18"/>
      <c r="Q365" s="18">
        <v>16</v>
      </c>
      <c r="R365" s="18"/>
      <c r="S365" s="18"/>
      <c r="T365" s="18"/>
      <c r="U3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65" s="19">
        <f>IF(AUDITORIA[[#This Row],[CAT]]="",0,1)</f>
        <v>1</v>
      </c>
      <c r="W365" s="20">
        <v>46141</v>
      </c>
      <c r="X365" s="21" t="str">
        <f>UPPER(IF(AUDITORIA[[#This Row],[DATA VERIFICAÇÃO]]="","",TEXT(AUDITORIA[[#This Row],[DATA VERIFICAÇÃO]],"mmm")))</f>
        <v>ABR</v>
      </c>
      <c r="Y365" t="s">
        <v>598</v>
      </c>
      <c r="Z365" t="s">
        <v>691</v>
      </c>
      <c r="AA365" t="s">
        <v>692</v>
      </c>
    </row>
    <row r="366" spans="1:27" ht="14.4" hidden="1" customHeight="1" x14ac:dyDescent="0.3">
      <c r="A366" s="4" t="s">
        <v>0</v>
      </c>
      <c r="B366" s="4" t="s">
        <v>17</v>
      </c>
      <c r="C366" s="16" t="s">
        <v>18</v>
      </c>
      <c r="D366" s="4">
        <v>10</v>
      </c>
      <c r="E366" s="4" t="s">
        <v>746</v>
      </c>
      <c r="F366" t="s">
        <v>707</v>
      </c>
      <c r="G366" t="s">
        <v>726</v>
      </c>
      <c r="J366" s="4" t="s">
        <v>55</v>
      </c>
      <c r="K366" s="4" t="s">
        <v>732</v>
      </c>
      <c r="L366" s="4" t="s">
        <v>743</v>
      </c>
      <c r="M366" s="17">
        <v>36</v>
      </c>
      <c r="N366" s="17"/>
      <c r="O366" s="18" t="s">
        <v>55</v>
      </c>
      <c r="P366" s="18"/>
      <c r="Q366" s="18">
        <v>36</v>
      </c>
      <c r="R366" s="18"/>
      <c r="S366" s="18"/>
      <c r="T366" s="18"/>
      <c r="U3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66" s="19">
        <f>IF(AUDITORIA[[#This Row],[CAT]]="",0,1)</f>
        <v>1</v>
      </c>
      <c r="W366" s="20">
        <v>46141</v>
      </c>
      <c r="X366" s="21" t="str">
        <f>UPPER(IF(AUDITORIA[[#This Row],[DATA VERIFICAÇÃO]]="","",TEXT(AUDITORIA[[#This Row],[DATA VERIFICAÇÃO]],"mmm")))</f>
        <v>ABR</v>
      </c>
      <c r="Y366" t="s">
        <v>598</v>
      </c>
      <c r="Z366" t="s">
        <v>691</v>
      </c>
      <c r="AA366" t="s">
        <v>692</v>
      </c>
    </row>
    <row r="367" spans="1:27" ht="14.4" hidden="1" customHeight="1" x14ac:dyDescent="0.3">
      <c r="A367" s="4" t="s">
        <v>0</v>
      </c>
      <c r="B367" s="4" t="s">
        <v>17</v>
      </c>
      <c r="C367" s="16" t="s">
        <v>18</v>
      </c>
      <c r="D367" s="4">
        <v>10</v>
      </c>
      <c r="E367" s="4" t="s">
        <v>746</v>
      </c>
      <c r="F367" t="s">
        <v>708</v>
      </c>
      <c r="G367" t="s">
        <v>726</v>
      </c>
      <c r="J367" s="4" t="s">
        <v>55</v>
      </c>
      <c r="K367" s="4" t="s">
        <v>728</v>
      </c>
      <c r="L367" s="4" t="s">
        <v>743</v>
      </c>
      <c r="M367" s="17">
        <v>11</v>
      </c>
      <c r="N367" s="17"/>
      <c r="O367" s="18" t="s">
        <v>55</v>
      </c>
      <c r="P367" s="18"/>
      <c r="Q367" s="18">
        <v>11</v>
      </c>
      <c r="R367" s="18"/>
      <c r="S367" s="18"/>
      <c r="T367" s="18"/>
      <c r="U3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67" s="19">
        <f>IF(AUDITORIA[[#This Row],[CAT]]="",0,1)</f>
        <v>1</v>
      </c>
      <c r="W367" s="20">
        <v>46141</v>
      </c>
      <c r="X367" s="21" t="str">
        <f>UPPER(IF(AUDITORIA[[#This Row],[DATA VERIFICAÇÃO]]="","",TEXT(AUDITORIA[[#This Row],[DATA VERIFICAÇÃO]],"mmm")))</f>
        <v>ABR</v>
      </c>
      <c r="Y367" t="s">
        <v>598</v>
      </c>
      <c r="Z367" t="s">
        <v>691</v>
      </c>
      <c r="AA367" t="s">
        <v>692</v>
      </c>
    </row>
    <row r="368" spans="1:27" ht="14.4" hidden="1" customHeight="1" x14ac:dyDescent="0.3">
      <c r="A368" s="4" t="s">
        <v>0</v>
      </c>
      <c r="B368" s="4" t="s">
        <v>17</v>
      </c>
      <c r="C368" s="16" t="s">
        <v>18</v>
      </c>
      <c r="D368" s="4">
        <v>10</v>
      </c>
      <c r="E368" s="4" t="s">
        <v>746</v>
      </c>
      <c r="F368" t="s">
        <v>709</v>
      </c>
      <c r="G368" t="s">
        <v>726</v>
      </c>
      <c r="J368" s="4" t="s">
        <v>55</v>
      </c>
      <c r="K368" s="4" t="s">
        <v>735</v>
      </c>
      <c r="L368" s="4" t="s">
        <v>743</v>
      </c>
      <c r="M368" s="17">
        <v>23</v>
      </c>
      <c r="N368" s="17"/>
      <c r="O368" s="18" t="s">
        <v>55</v>
      </c>
      <c r="P368" s="18"/>
      <c r="Q368" s="18">
        <v>23</v>
      </c>
      <c r="R368" s="18"/>
      <c r="S368" s="18"/>
      <c r="T368" s="18"/>
      <c r="U3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68" s="19">
        <f>IF(AUDITORIA[[#This Row],[CAT]]="",0,1)</f>
        <v>1</v>
      </c>
      <c r="W368" s="20">
        <v>46141</v>
      </c>
      <c r="X368" s="21" t="str">
        <f>UPPER(IF(AUDITORIA[[#This Row],[DATA VERIFICAÇÃO]]="","",TEXT(AUDITORIA[[#This Row],[DATA VERIFICAÇÃO]],"mmm")))</f>
        <v>ABR</v>
      </c>
      <c r="Y368" t="s">
        <v>598</v>
      </c>
      <c r="Z368" t="s">
        <v>691</v>
      </c>
      <c r="AA368" t="s">
        <v>692</v>
      </c>
    </row>
    <row r="369" spans="1:27" ht="14.4" hidden="1" customHeight="1" x14ac:dyDescent="0.3">
      <c r="A369" s="4" t="s">
        <v>0</v>
      </c>
      <c r="B369" s="4" t="s">
        <v>17</v>
      </c>
      <c r="C369" s="16" t="s">
        <v>18</v>
      </c>
      <c r="D369" s="4">
        <v>10</v>
      </c>
      <c r="E369" s="4" t="s">
        <v>746</v>
      </c>
      <c r="F369" t="s">
        <v>722</v>
      </c>
      <c r="G369" t="s">
        <v>726</v>
      </c>
      <c r="J369" s="4" t="s">
        <v>55</v>
      </c>
      <c r="K369" s="4" t="s">
        <v>740</v>
      </c>
      <c r="L369" s="4" t="s">
        <v>743</v>
      </c>
      <c r="M369" s="17">
        <v>3</v>
      </c>
      <c r="N369" s="17"/>
      <c r="O369" s="18" t="s">
        <v>55</v>
      </c>
      <c r="P369" s="18"/>
      <c r="Q369" s="18">
        <v>3</v>
      </c>
      <c r="R369" s="18"/>
      <c r="S369" s="18"/>
      <c r="T369" s="18"/>
      <c r="U3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69" s="19">
        <f>IF(AUDITORIA[[#This Row],[CAT]]="",0,1)</f>
        <v>1</v>
      </c>
      <c r="W369" s="20">
        <v>46141</v>
      </c>
      <c r="X369" s="21" t="str">
        <f>UPPER(IF(AUDITORIA[[#This Row],[DATA VERIFICAÇÃO]]="","",TEXT(AUDITORIA[[#This Row],[DATA VERIFICAÇÃO]],"mmm")))</f>
        <v>ABR</v>
      </c>
      <c r="Y369" t="s">
        <v>598</v>
      </c>
      <c r="Z369" t="s">
        <v>691</v>
      </c>
      <c r="AA369" t="s">
        <v>692</v>
      </c>
    </row>
    <row r="370" spans="1:27" ht="14.4" hidden="1" customHeight="1" x14ac:dyDescent="0.3">
      <c r="A370" s="4" t="s">
        <v>0</v>
      </c>
      <c r="B370" s="4" t="s">
        <v>17</v>
      </c>
      <c r="C370" s="16" t="s">
        <v>18</v>
      </c>
      <c r="D370" s="4">
        <v>10</v>
      </c>
      <c r="E370" s="4" t="s">
        <v>746</v>
      </c>
      <c r="F370" t="s">
        <v>710</v>
      </c>
      <c r="G370" t="s">
        <v>726</v>
      </c>
      <c r="J370" s="4" t="s">
        <v>55</v>
      </c>
      <c r="K370" s="4" t="s">
        <v>730</v>
      </c>
      <c r="L370" s="4" t="s">
        <v>743</v>
      </c>
      <c r="M370" s="17">
        <v>87</v>
      </c>
      <c r="N370" s="17"/>
      <c r="O370" s="18" t="s">
        <v>55</v>
      </c>
      <c r="P370" s="18"/>
      <c r="Q370" s="18">
        <v>87</v>
      </c>
      <c r="R370" s="18"/>
      <c r="S370" s="18"/>
      <c r="T370" s="18"/>
      <c r="U3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70" s="19">
        <f>IF(AUDITORIA[[#This Row],[CAT]]="",0,1)</f>
        <v>1</v>
      </c>
      <c r="W370" s="20">
        <v>46141</v>
      </c>
      <c r="X370" s="21" t="str">
        <f>UPPER(IF(AUDITORIA[[#This Row],[DATA VERIFICAÇÃO]]="","",TEXT(AUDITORIA[[#This Row],[DATA VERIFICAÇÃO]],"mmm")))</f>
        <v>ABR</v>
      </c>
      <c r="Y370" t="s">
        <v>598</v>
      </c>
      <c r="Z370" t="s">
        <v>691</v>
      </c>
      <c r="AA370" t="s">
        <v>692</v>
      </c>
    </row>
    <row r="371" spans="1:27" ht="14.4" hidden="1" customHeight="1" x14ac:dyDescent="0.3">
      <c r="A371" s="4" t="s">
        <v>0</v>
      </c>
      <c r="B371" s="4" t="s">
        <v>17</v>
      </c>
      <c r="C371" s="16" t="s">
        <v>18</v>
      </c>
      <c r="D371" s="4">
        <v>10</v>
      </c>
      <c r="E371" s="4" t="s">
        <v>746</v>
      </c>
      <c r="F371" t="s">
        <v>696</v>
      </c>
      <c r="G371" t="s">
        <v>726</v>
      </c>
      <c r="J371" s="4" t="s">
        <v>55</v>
      </c>
      <c r="L371" s="4" t="s">
        <v>743</v>
      </c>
      <c r="M371" s="17">
        <v>305</v>
      </c>
      <c r="N371" s="17"/>
      <c r="O371" s="18" t="s">
        <v>55</v>
      </c>
      <c r="P371" s="18"/>
      <c r="Q371" s="18">
        <v>305</v>
      </c>
      <c r="R371" s="18"/>
      <c r="S371" s="18"/>
      <c r="T371" s="18"/>
      <c r="U3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71" s="19">
        <f>IF(AUDITORIA[[#This Row],[CAT]]="",0,1)</f>
        <v>1</v>
      </c>
      <c r="W371" s="20">
        <v>46141</v>
      </c>
      <c r="X371" s="21" t="str">
        <f>UPPER(IF(AUDITORIA[[#This Row],[DATA VERIFICAÇÃO]]="","",TEXT(AUDITORIA[[#This Row],[DATA VERIFICAÇÃO]],"mmm")))</f>
        <v>ABR</v>
      </c>
      <c r="Y371" t="s">
        <v>598</v>
      </c>
      <c r="Z371" t="s">
        <v>691</v>
      </c>
      <c r="AA371" t="s">
        <v>692</v>
      </c>
    </row>
    <row r="372" spans="1:27" ht="14.4" hidden="1" customHeight="1" x14ac:dyDescent="0.3">
      <c r="A372" s="4" t="s">
        <v>0</v>
      </c>
      <c r="B372" s="4" t="s">
        <v>17</v>
      </c>
      <c r="C372" s="16" t="s">
        <v>18</v>
      </c>
      <c r="D372" s="4">
        <v>10</v>
      </c>
      <c r="E372" s="4" t="s">
        <v>746</v>
      </c>
      <c r="F372" t="s">
        <v>711</v>
      </c>
      <c r="G372" t="s">
        <v>726</v>
      </c>
      <c r="J372" s="4" t="s">
        <v>55</v>
      </c>
      <c r="K372" s="4" t="s">
        <v>735</v>
      </c>
      <c r="L372" s="4" t="s">
        <v>743</v>
      </c>
      <c r="M372" s="17">
        <v>204</v>
      </c>
      <c r="N372" s="17"/>
      <c r="O372" s="18" t="s">
        <v>55</v>
      </c>
      <c r="P372" s="18"/>
      <c r="Q372" s="18">
        <v>204</v>
      </c>
      <c r="R372" s="18"/>
      <c r="S372" s="18"/>
      <c r="T372" s="18"/>
      <c r="U3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72" s="19">
        <f>IF(AUDITORIA[[#This Row],[CAT]]="",0,1)</f>
        <v>1</v>
      </c>
      <c r="W372" s="20">
        <v>46141</v>
      </c>
      <c r="X372" s="21" t="str">
        <f>UPPER(IF(AUDITORIA[[#This Row],[DATA VERIFICAÇÃO]]="","",TEXT(AUDITORIA[[#This Row],[DATA VERIFICAÇÃO]],"mmm")))</f>
        <v>ABR</v>
      </c>
      <c r="Y372" t="s">
        <v>598</v>
      </c>
      <c r="Z372" t="s">
        <v>691</v>
      </c>
      <c r="AA372" t="s">
        <v>692</v>
      </c>
    </row>
    <row r="373" spans="1:27" ht="14.4" hidden="1" customHeight="1" x14ac:dyDescent="0.3">
      <c r="A373" s="4" t="s">
        <v>0</v>
      </c>
      <c r="B373" s="4" t="s">
        <v>17</v>
      </c>
      <c r="C373" s="16" t="s">
        <v>18</v>
      </c>
      <c r="D373" s="4">
        <v>10</v>
      </c>
      <c r="E373" s="4" t="s">
        <v>746</v>
      </c>
      <c r="F373" t="s">
        <v>712</v>
      </c>
      <c r="G373" t="s">
        <v>726</v>
      </c>
      <c r="J373" s="4" t="s">
        <v>55</v>
      </c>
      <c r="K373" s="4" t="s">
        <v>736</v>
      </c>
      <c r="L373" s="4" t="s">
        <v>743</v>
      </c>
      <c r="M373" s="17">
        <v>12</v>
      </c>
      <c r="N373" s="17"/>
      <c r="O373" s="18" t="s">
        <v>55</v>
      </c>
      <c r="P373" s="18"/>
      <c r="Q373" s="18">
        <v>12</v>
      </c>
      <c r="R373" s="18"/>
      <c r="S373" s="18"/>
      <c r="T373" s="18"/>
      <c r="U3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73" s="19">
        <f>IF(AUDITORIA[[#This Row],[CAT]]="",0,1)</f>
        <v>1</v>
      </c>
      <c r="W373" s="20">
        <v>46141</v>
      </c>
      <c r="X373" s="21" t="str">
        <f>UPPER(IF(AUDITORIA[[#This Row],[DATA VERIFICAÇÃO]]="","",TEXT(AUDITORIA[[#This Row],[DATA VERIFICAÇÃO]],"mmm")))</f>
        <v>ABR</v>
      </c>
      <c r="Y373" t="s">
        <v>598</v>
      </c>
      <c r="Z373" t="s">
        <v>691</v>
      </c>
      <c r="AA373" t="s">
        <v>692</v>
      </c>
    </row>
    <row r="374" spans="1:27" ht="14.4" hidden="1" customHeight="1" x14ac:dyDescent="0.3">
      <c r="A374" s="4" t="s">
        <v>0</v>
      </c>
      <c r="B374" s="4" t="s">
        <v>17</v>
      </c>
      <c r="C374" s="16" t="s">
        <v>18</v>
      </c>
      <c r="D374" s="4">
        <v>10</v>
      </c>
      <c r="E374" s="4" t="s">
        <v>746</v>
      </c>
      <c r="F374" t="s">
        <v>713</v>
      </c>
      <c r="G374" t="s">
        <v>726</v>
      </c>
      <c r="J374" s="4" t="s">
        <v>55</v>
      </c>
      <c r="K374" s="4" t="s">
        <v>737</v>
      </c>
      <c r="L374" s="4" t="s">
        <v>743</v>
      </c>
      <c r="M374" s="17">
        <v>162</v>
      </c>
      <c r="N374" s="17"/>
      <c r="O374" s="18" t="s">
        <v>55</v>
      </c>
      <c r="P374" s="18"/>
      <c r="Q374" s="18">
        <v>162</v>
      </c>
      <c r="R374" s="18"/>
      <c r="S374" s="18"/>
      <c r="T374" s="18"/>
      <c r="U3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74" s="19">
        <f>IF(AUDITORIA[[#This Row],[CAT]]="",0,1)</f>
        <v>1</v>
      </c>
      <c r="W374" s="20">
        <v>46141</v>
      </c>
      <c r="X374" s="21" t="str">
        <f>UPPER(IF(AUDITORIA[[#This Row],[DATA VERIFICAÇÃO]]="","",TEXT(AUDITORIA[[#This Row],[DATA VERIFICAÇÃO]],"mmm")))</f>
        <v>ABR</v>
      </c>
      <c r="Y374" t="s">
        <v>598</v>
      </c>
      <c r="Z374" t="s">
        <v>691</v>
      </c>
      <c r="AA374" t="s">
        <v>692</v>
      </c>
    </row>
    <row r="375" spans="1:27" ht="14.4" hidden="1" customHeight="1" x14ac:dyDescent="0.3">
      <c r="A375" s="4" t="s">
        <v>0</v>
      </c>
      <c r="B375" s="4" t="s">
        <v>17</v>
      </c>
      <c r="C375" s="16" t="s">
        <v>18</v>
      </c>
      <c r="D375" s="4">
        <v>10</v>
      </c>
      <c r="E375" s="4" t="s">
        <v>746</v>
      </c>
      <c r="F375" t="s">
        <v>714</v>
      </c>
      <c r="G375" t="s">
        <v>726</v>
      </c>
      <c r="J375" s="4" t="s">
        <v>55</v>
      </c>
      <c r="K375" s="4" t="s">
        <v>738</v>
      </c>
      <c r="L375" s="4" t="s">
        <v>743</v>
      </c>
      <c r="M375" s="17">
        <v>1</v>
      </c>
      <c r="N375" s="17"/>
      <c r="O375" s="18" t="s">
        <v>55</v>
      </c>
      <c r="P375" s="18"/>
      <c r="Q375" s="18">
        <v>1</v>
      </c>
      <c r="R375" s="18"/>
      <c r="S375" s="18"/>
      <c r="T375" s="18"/>
      <c r="U3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75" s="19">
        <f>IF(AUDITORIA[[#This Row],[CAT]]="",0,1)</f>
        <v>1</v>
      </c>
      <c r="W375" s="20">
        <v>46141</v>
      </c>
      <c r="X375" s="21" t="str">
        <f>UPPER(IF(AUDITORIA[[#This Row],[DATA VERIFICAÇÃO]]="","",TEXT(AUDITORIA[[#This Row],[DATA VERIFICAÇÃO]],"mmm")))</f>
        <v>ABR</v>
      </c>
      <c r="Y375" t="s">
        <v>598</v>
      </c>
      <c r="Z375" t="s">
        <v>691</v>
      </c>
      <c r="AA375" t="s">
        <v>692</v>
      </c>
    </row>
    <row r="376" spans="1:27" ht="14.4" hidden="1" customHeight="1" x14ac:dyDescent="0.3">
      <c r="A376" s="4" t="s">
        <v>0</v>
      </c>
      <c r="B376" s="4" t="s">
        <v>17</v>
      </c>
      <c r="C376" s="16" t="s">
        <v>18</v>
      </c>
      <c r="D376" s="4">
        <v>10</v>
      </c>
      <c r="E376" s="4" t="s">
        <v>745</v>
      </c>
      <c r="F376" t="s">
        <v>276</v>
      </c>
      <c r="G376" t="s">
        <v>233</v>
      </c>
      <c r="J376" s="4" t="s">
        <v>88</v>
      </c>
      <c r="K376" s="4" t="s">
        <v>20</v>
      </c>
      <c r="L376" s="4" t="s">
        <v>742</v>
      </c>
      <c r="M376" s="17">
        <v>27</v>
      </c>
      <c r="N376" s="17">
        <v>923</v>
      </c>
      <c r="O376" s="18" t="s">
        <v>88</v>
      </c>
      <c r="P376" s="18">
        <v>923</v>
      </c>
      <c r="Q376" s="18">
        <v>27</v>
      </c>
      <c r="R376" s="18"/>
      <c r="S376" s="18"/>
      <c r="T376" s="18"/>
      <c r="U3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76" s="19">
        <f>IF(AUDITORIA[[#This Row],[CAT]]="",0,1)</f>
        <v>1</v>
      </c>
      <c r="W376" s="20">
        <v>46141</v>
      </c>
      <c r="X376" s="21" t="str">
        <f>UPPER(IF(AUDITORIA[[#This Row],[DATA VERIFICAÇÃO]]="","",TEXT(AUDITORIA[[#This Row],[DATA VERIFICAÇÃO]],"mmm")))</f>
        <v>ABR</v>
      </c>
      <c r="Y376" t="s">
        <v>598</v>
      </c>
      <c r="Z376" t="s">
        <v>691</v>
      </c>
      <c r="AA376" t="s">
        <v>692</v>
      </c>
    </row>
    <row r="377" spans="1:27" ht="14.4" hidden="1" customHeight="1" x14ac:dyDescent="0.3">
      <c r="A377" s="4" t="s">
        <v>0</v>
      </c>
      <c r="B377" s="4" t="s">
        <v>17</v>
      </c>
      <c r="C377" s="16" t="s">
        <v>18</v>
      </c>
      <c r="D377" s="4">
        <v>10</v>
      </c>
      <c r="E377" s="4" t="s">
        <v>745</v>
      </c>
      <c r="F377" t="s">
        <v>275</v>
      </c>
      <c r="G377" t="s">
        <v>233</v>
      </c>
      <c r="J377" s="4" t="s">
        <v>88</v>
      </c>
      <c r="K377" s="4" t="s">
        <v>20</v>
      </c>
      <c r="L377" s="4" t="s">
        <v>742</v>
      </c>
      <c r="M377" s="17">
        <v>30</v>
      </c>
      <c r="N377" s="17">
        <v>868</v>
      </c>
      <c r="O377" s="18" t="s">
        <v>88</v>
      </c>
      <c r="P377" s="18">
        <v>868</v>
      </c>
      <c r="Q377" s="18">
        <v>30</v>
      </c>
      <c r="R377" s="18"/>
      <c r="S377" s="18"/>
      <c r="T377" s="18"/>
      <c r="U3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77" s="19">
        <f>IF(AUDITORIA[[#This Row],[CAT]]="",0,1)</f>
        <v>1</v>
      </c>
      <c r="W377" s="20">
        <v>46141</v>
      </c>
      <c r="X377" s="21" t="str">
        <f>UPPER(IF(AUDITORIA[[#This Row],[DATA VERIFICAÇÃO]]="","",TEXT(AUDITORIA[[#This Row],[DATA VERIFICAÇÃO]],"mmm")))</f>
        <v>ABR</v>
      </c>
      <c r="Y377" t="s">
        <v>598</v>
      </c>
      <c r="Z377" t="s">
        <v>691</v>
      </c>
      <c r="AA377" t="s">
        <v>692</v>
      </c>
    </row>
    <row r="378" spans="1:27" ht="14.4" hidden="1" customHeight="1" x14ac:dyDescent="0.3">
      <c r="A378" s="4" t="s">
        <v>0</v>
      </c>
      <c r="B378" s="4" t="s">
        <v>17</v>
      </c>
      <c r="C378" s="16" t="s">
        <v>18</v>
      </c>
      <c r="D378" s="4">
        <v>10</v>
      </c>
      <c r="E378" s="4" t="s">
        <v>745</v>
      </c>
      <c r="F378" t="s">
        <v>274</v>
      </c>
      <c r="G378" t="s">
        <v>233</v>
      </c>
      <c r="J378" s="4" t="s">
        <v>88</v>
      </c>
      <c r="K378" s="4" t="s">
        <v>20</v>
      </c>
      <c r="L378" s="4" t="s">
        <v>742</v>
      </c>
      <c r="M378" s="17">
        <v>30</v>
      </c>
      <c r="N378" s="17">
        <v>782</v>
      </c>
      <c r="O378" s="18" t="s">
        <v>88</v>
      </c>
      <c r="P378" s="18">
        <v>782</v>
      </c>
      <c r="Q378" s="18">
        <v>30</v>
      </c>
      <c r="R378" s="18"/>
      <c r="S378" s="18"/>
      <c r="T378" s="18"/>
      <c r="U3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78" s="19">
        <f>IF(AUDITORIA[[#This Row],[CAT]]="",0,1)</f>
        <v>1</v>
      </c>
      <c r="W378" s="20">
        <v>46141</v>
      </c>
      <c r="X378" s="21" t="str">
        <f>UPPER(IF(AUDITORIA[[#This Row],[DATA VERIFICAÇÃO]]="","",TEXT(AUDITORIA[[#This Row],[DATA VERIFICAÇÃO]],"mmm")))</f>
        <v>ABR</v>
      </c>
      <c r="Y378" t="s">
        <v>598</v>
      </c>
      <c r="Z378" t="s">
        <v>691</v>
      </c>
      <c r="AA378" t="s">
        <v>692</v>
      </c>
    </row>
    <row r="379" spans="1:27" ht="14.4" hidden="1" customHeight="1" x14ac:dyDescent="0.3">
      <c r="A379" s="4" t="s">
        <v>0</v>
      </c>
      <c r="B379" s="4" t="s">
        <v>17</v>
      </c>
      <c r="C379" s="16" t="s">
        <v>18</v>
      </c>
      <c r="D379" s="4">
        <v>10</v>
      </c>
      <c r="E379" s="4" t="s">
        <v>745</v>
      </c>
      <c r="F379" t="s">
        <v>273</v>
      </c>
      <c r="G379" t="s">
        <v>233</v>
      </c>
      <c r="J379" s="4" t="s">
        <v>88</v>
      </c>
      <c r="K379" s="4" t="s">
        <v>20</v>
      </c>
      <c r="L379" s="4" t="s">
        <v>742</v>
      </c>
      <c r="M379" s="17">
        <v>30</v>
      </c>
      <c r="N379" s="17">
        <v>795</v>
      </c>
      <c r="O379" s="18" t="s">
        <v>88</v>
      </c>
      <c r="P379" s="18">
        <v>795</v>
      </c>
      <c r="Q379" s="18">
        <v>30</v>
      </c>
      <c r="R379" s="18"/>
      <c r="S379" s="18"/>
      <c r="T379" s="18"/>
      <c r="U3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79" s="19">
        <f>IF(AUDITORIA[[#This Row],[CAT]]="",0,1)</f>
        <v>1</v>
      </c>
      <c r="W379" s="20">
        <v>46141</v>
      </c>
      <c r="X379" s="21" t="str">
        <f>UPPER(IF(AUDITORIA[[#This Row],[DATA VERIFICAÇÃO]]="","",TEXT(AUDITORIA[[#This Row],[DATA VERIFICAÇÃO]],"mmm")))</f>
        <v>ABR</v>
      </c>
      <c r="Y379" t="s">
        <v>598</v>
      </c>
      <c r="Z379" t="s">
        <v>691</v>
      </c>
      <c r="AA379" t="s">
        <v>692</v>
      </c>
    </row>
    <row r="380" spans="1:27" ht="14.4" hidden="1" customHeight="1" x14ac:dyDescent="0.3">
      <c r="A380" s="4" t="s">
        <v>0</v>
      </c>
      <c r="B380" s="4" t="s">
        <v>17</v>
      </c>
      <c r="C380" s="16" t="s">
        <v>18</v>
      </c>
      <c r="D380" s="4">
        <v>10</v>
      </c>
      <c r="E380" s="4" t="s">
        <v>745</v>
      </c>
      <c r="F380" t="s">
        <v>272</v>
      </c>
      <c r="G380" t="s">
        <v>233</v>
      </c>
      <c r="J380" s="4" t="s">
        <v>88</v>
      </c>
      <c r="K380" s="4" t="s">
        <v>20</v>
      </c>
      <c r="L380" s="4" t="s">
        <v>742</v>
      </c>
      <c r="M380" s="17">
        <v>30</v>
      </c>
      <c r="N380" s="17">
        <v>790</v>
      </c>
      <c r="O380" s="18" t="s">
        <v>88</v>
      </c>
      <c r="P380" s="18">
        <v>790</v>
      </c>
      <c r="Q380" s="18">
        <v>30</v>
      </c>
      <c r="R380" s="18"/>
      <c r="S380" s="18"/>
      <c r="T380" s="18"/>
      <c r="U3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80" s="19">
        <f>IF(AUDITORIA[[#This Row],[CAT]]="",0,1)</f>
        <v>1</v>
      </c>
      <c r="W380" s="20">
        <v>46141</v>
      </c>
      <c r="X380" s="21" t="str">
        <f>UPPER(IF(AUDITORIA[[#This Row],[DATA VERIFICAÇÃO]]="","",TEXT(AUDITORIA[[#This Row],[DATA VERIFICAÇÃO]],"mmm")))</f>
        <v>ABR</v>
      </c>
      <c r="Y380" t="s">
        <v>598</v>
      </c>
      <c r="Z380" t="s">
        <v>691</v>
      </c>
      <c r="AA380" t="s">
        <v>692</v>
      </c>
    </row>
    <row r="381" spans="1:27" ht="14.4" hidden="1" customHeight="1" x14ac:dyDescent="0.3">
      <c r="A381" s="4" t="s">
        <v>0</v>
      </c>
      <c r="B381" s="4" t="s">
        <v>17</v>
      </c>
      <c r="C381" s="16" t="s">
        <v>18</v>
      </c>
      <c r="D381" s="4">
        <v>10</v>
      </c>
      <c r="E381" s="4" t="s">
        <v>745</v>
      </c>
      <c r="F381" t="s">
        <v>271</v>
      </c>
      <c r="G381" t="s">
        <v>233</v>
      </c>
      <c r="J381" s="4" t="s">
        <v>88</v>
      </c>
      <c r="K381" s="4" t="s">
        <v>20</v>
      </c>
      <c r="L381" s="4" t="s">
        <v>742</v>
      </c>
      <c r="M381" s="17">
        <v>30</v>
      </c>
      <c r="N381" s="17">
        <v>791</v>
      </c>
      <c r="O381" s="18" t="s">
        <v>88</v>
      </c>
      <c r="P381" s="18">
        <v>791</v>
      </c>
      <c r="Q381" s="18">
        <v>30</v>
      </c>
      <c r="R381" s="18"/>
      <c r="S381" s="18"/>
      <c r="T381" s="18"/>
      <c r="U3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81" s="19">
        <f>IF(AUDITORIA[[#This Row],[CAT]]="",0,1)</f>
        <v>1</v>
      </c>
      <c r="W381" s="20">
        <v>46141</v>
      </c>
      <c r="X381" s="21" t="str">
        <f>UPPER(IF(AUDITORIA[[#This Row],[DATA VERIFICAÇÃO]]="","",TEXT(AUDITORIA[[#This Row],[DATA VERIFICAÇÃO]],"mmm")))</f>
        <v>ABR</v>
      </c>
      <c r="Y381" t="s">
        <v>598</v>
      </c>
      <c r="Z381" t="s">
        <v>691</v>
      </c>
      <c r="AA381" t="s">
        <v>692</v>
      </c>
    </row>
    <row r="382" spans="1:27" ht="14.4" hidden="1" customHeight="1" x14ac:dyDescent="0.3">
      <c r="A382" s="4" t="s">
        <v>0</v>
      </c>
      <c r="B382" s="4" t="s">
        <v>17</v>
      </c>
      <c r="C382" s="16" t="s">
        <v>18</v>
      </c>
      <c r="D382" s="4">
        <v>10</v>
      </c>
      <c r="E382" s="4" t="s">
        <v>745</v>
      </c>
      <c r="F382" t="s">
        <v>270</v>
      </c>
      <c r="G382" t="s">
        <v>233</v>
      </c>
      <c r="J382" s="4" t="s">
        <v>88</v>
      </c>
      <c r="K382" s="4" t="s">
        <v>20</v>
      </c>
      <c r="L382" s="4" t="s">
        <v>742</v>
      </c>
      <c r="M382" s="17">
        <v>30</v>
      </c>
      <c r="N382" s="17">
        <v>790</v>
      </c>
      <c r="O382" s="18" t="s">
        <v>88</v>
      </c>
      <c r="P382" s="18">
        <v>790</v>
      </c>
      <c r="Q382" s="18">
        <v>30</v>
      </c>
      <c r="R382" s="18"/>
      <c r="S382" s="18"/>
      <c r="T382" s="18"/>
      <c r="U3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82" s="19">
        <f>IF(AUDITORIA[[#This Row],[CAT]]="",0,1)</f>
        <v>1</v>
      </c>
      <c r="W382" s="20">
        <v>46141</v>
      </c>
      <c r="X382" s="21" t="str">
        <f>UPPER(IF(AUDITORIA[[#This Row],[DATA VERIFICAÇÃO]]="","",TEXT(AUDITORIA[[#This Row],[DATA VERIFICAÇÃO]],"mmm")))</f>
        <v>ABR</v>
      </c>
      <c r="Y382" t="s">
        <v>598</v>
      </c>
      <c r="Z382" t="s">
        <v>691</v>
      </c>
      <c r="AA382" t="s">
        <v>692</v>
      </c>
    </row>
    <row r="383" spans="1:27" ht="14.4" hidden="1" customHeight="1" x14ac:dyDescent="0.3">
      <c r="A383" s="4" t="s">
        <v>0</v>
      </c>
      <c r="B383" s="4" t="s">
        <v>17</v>
      </c>
      <c r="C383" s="16" t="s">
        <v>18</v>
      </c>
      <c r="D383" s="4">
        <v>10</v>
      </c>
      <c r="E383" s="4" t="s">
        <v>745</v>
      </c>
      <c r="F383" t="s">
        <v>269</v>
      </c>
      <c r="G383" t="s">
        <v>233</v>
      </c>
      <c r="J383" s="4" t="s">
        <v>88</v>
      </c>
      <c r="K383" s="4" t="s">
        <v>20</v>
      </c>
      <c r="L383" s="4" t="s">
        <v>742</v>
      </c>
      <c r="M383" s="17">
        <v>30</v>
      </c>
      <c r="N383" s="17">
        <v>775</v>
      </c>
      <c r="O383" s="18" t="s">
        <v>88</v>
      </c>
      <c r="P383" s="18">
        <v>775</v>
      </c>
      <c r="Q383" s="18">
        <v>30</v>
      </c>
      <c r="R383" s="18"/>
      <c r="S383" s="18"/>
      <c r="T383" s="18"/>
      <c r="U3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83" s="19">
        <f>IF(AUDITORIA[[#This Row],[CAT]]="",0,1)</f>
        <v>1</v>
      </c>
      <c r="W383" s="20">
        <v>46141</v>
      </c>
      <c r="X383" s="21" t="str">
        <f>UPPER(IF(AUDITORIA[[#This Row],[DATA VERIFICAÇÃO]]="","",TEXT(AUDITORIA[[#This Row],[DATA VERIFICAÇÃO]],"mmm")))</f>
        <v>ABR</v>
      </c>
      <c r="Y383" t="s">
        <v>598</v>
      </c>
      <c r="Z383" t="s">
        <v>691</v>
      </c>
      <c r="AA383" t="s">
        <v>692</v>
      </c>
    </row>
    <row r="384" spans="1:27" ht="14.4" hidden="1" customHeight="1" x14ac:dyDescent="0.3">
      <c r="A384" s="4" t="s">
        <v>0</v>
      </c>
      <c r="B384" s="4" t="s">
        <v>17</v>
      </c>
      <c r="C384" s="16" t="s">
        <v>18</v>
      </c>
      <c r="D384" s="4">
        <v>10</v>
      </c>
      <c r="E384" s="4" t="s">
        <v>745</v>
      </c>
      <c r="F384" t="s">
        <v>268</v>
      </c>
      <c r="G384" t="s">
        <v>233</v>
      </c>
      <c r="J384" s="4" t="s">
        <v>88</v>
      </c>
      <c r="K384" s="4" t="s">
        <v>20</v>
      </c>
      <c r="L384" s="4" t="s">
        <v>742</v>
      </c>
      <c r="M384" s="17">
        <v>30</v>
      </c>
      <c r="N384" s="17">
        <v>800</v>
      </c>
      <c r="O384" s="18" t="s">
        <v>88</v>
      </c>
      <c r="P384" s="18">
        <v>800</v>
      </c>
      <c r="Q384" s="18">
        <v>30</v>
      </c>
      <c r="R384" s="18"/>
      <c r="S384" s="18"/>
      <c r="T384" s="18"/>
      <c r="U3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84" s="19">
        <f>IF(AUDITORIA[[#This Row],[CAT]]="",0,1)</f>
        <v>1</v>
      </c>
      <c r="W384" s="20">
        <v>46141</v>
      </c>
      <c r="X384" s="21" t="str">
        <f>UPPER(IF(AUDITORIA[[#This Row],[DATA VERIFICAÇÃO]]="","",TEXT(AUDITORIA[[#This Row],[DATA VERIFICAÇÃO]],"mmm")))</f>
        <v>ABR</v>
      </c>
      <c r="Y384" t="s">
        <v>598</v>
      </c>
      <c r="Z384" t="s">
        <v>691</v>
      </c>
      <c r="AA384" t="s">
        <v>692</v>
      </c>
    </row>
    <row r="385" spans="1:27" ht="14.4" hidden="1" customHeight="1" x14ac:dyDescent="0.3">
      <c r="A385" s="4" t="s">
        <v>0</v>
      </c>
      <c r="B385" s="4" t="s">
        <v>17</v>
      </c>
      <c r="C385" s="16" t="s">
        <v>18</v>
      </c>
      <c r="D385" s="4">
        <v>10</v>
      </c>
      <c r="E385" s="4" t="s">
        <v>745</v>
      </c>
      <c r="F385" t="s">
        <v>267</v>
      </c>
      <c r="G385" t="s">
        <v>233</v>
      </c>
      <c r="J385" s="4" t="s">
        <v>88</v>
      </c>
      <c r="K385" s="4" t="s">
        <v>20</v>
      </c>
      <c r="L385" s="4" t="s">
        <v>742</v>
      </c>
      <c r="M385" s="17">
        <v>30</v>
      </c>
      <c r="N385" s="17">
        <v>787</v>
      </c>
      <c r="O385" s="18" t="s">
        <v>88</v>
      </c>
      <c r="P385" s="18">
        <v>787</v>
      </c>
      <c r="Q385" s="18">
        <v>30</v>
      </c>
      <c r="R385" s="18"/>
      <c r="S385" s="18"/>
      <c r="T385" s="18"/>
      <c r="U3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85" s="19">
        <f>IF(AUDITORIA[[#This Row],[CAT]]="",0,1)</f>
        <v>1</v>
      </c>
      <c r="W385" s="20">
        <v>46141</v>
      </c>
      <c r="X385" s="21" t="str">
        <f>UPPER(IF(AUDITORIA[[#This Row],[DATA VERIFICAÇÃO]]="","",TEXT(AUDITORIA[[#This Row],[DATA VERIFICAÇÃO]],"mmm")))</f>
        <v>ABR</v>
      </c>
      <c r="Y385" t="s">
        <v>598</v>
      </c>
      <c r="Z385" t="s">
        <v>691</v>
      </c>
      <c r="AA385" t="s">
        <v>692</v>
      </c>
    </row>
    <row r="386" spans="1:27" ht="14.4" hidden="1" customHeight="1" x14ac:dyDescent="0.3">
      <c r="A386" s="4" t="s">
        <v>0</v>
      </c>
      <c r="B386" s="4" t="s">
        <v>17</v>
      </c>
      <c r="C386" s="16" t="s">
        <v>18</v>
      </c>
      <c r="D386" s="4">
        <v>10</v>
      </c>
      <c r="E386" s="4" t="s">
        <v>745</v>
      </c>
      <c r="F386" t="s">
        <v>266</v>
      </c>
      <c r="G386" t="s">
        <v>233</v>
      </c>
      <c r="J386" s="4" t="s">
        <v>88</v>
      </c>
      <c r="K386" s="4" t="s">
        <v>20</v>
      </c>
      <c r="L386" s="4" t="s">
        <v>742</v>
      </c>
      <c r="M386" s="17">
        <v>30</v>
      </c>
      <c r="N386" s="17">
        <v>798</v>
      </c>
      <c r="O386" s="18" t="s">
        <v>88</v>
      </c>
      <c r="P386" s="18">
        <v>798</v>
      </c>
      <c r="Q386" s="18">
        <v>30</v>
      </c>
      <c r="R386" s="18"/>
      <c r="S386" s="18"/>
      <c r="T386" s="18"/>
      <c r="U3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86" s="19">
        <f>IF(AUDITORIA[[#This Row],[CAT]]="",0,1)</f>
        <v>1</v>
      </c>
      <c r="W386" s="20">
        <v>46141</v>
      </c>
      <c r="X386" s="21" t="str">
        <f>UPPER(IF(AUDITORIA[[#This Row],[DATA VERIFICAÇÃO]]="","",TEXT(AUDITORIA[[#This Row],[DATA VERIFICAÇÃO]],"mmm")))</f>
        <v>ABR</v>
      </c>
      <c r="Y386" t="s">
        <v>598</v>
      </c>
      <c r="Z386" t="s">
        <v>691</v>
      </c>
      <c r="AA386" t="s">
        <v>692</v>
      </c>
    </row>
    <row r="387" spans="1:27" ht="14.4" hidden="1" customHeight="1" x14ac:dyDescent="0.3">
      <c r="A387" s="4" t="s">
        <v>0</v>
      </c>
      <c r="B387" s="4" t="s">
        <v>17</v>
      </c>
      <c r="C387" s="16" t="s">
        <v>18</v>
      </c>
      <c r="D387" s="4">
        <v>10</v>
      </c>
      <c r="E387" s="4" t="s">
        <v>745</v>
      </c>
      <c r="F387" t="s">
        <v>265</v>
      </c>
      <c r="G387" t="s">
        <v>233</v>
      </c>
      <c r="J387" s="4" t="s">
        <v>88</v>
      </c>
      <c r="K387" s="4" t="s">
        <v>20</v>
      </c>
      <c r="L387" s="4" t="s">
        <v>742</v>
      </c>
      <c r="M387" s="17">
        <v>30</v>
      </c>
      <c r="N387" s="17">
        <v>804</v>
      </c>
      <c r="O387" s="18" t="s">
        <v>88</v>
      </c>
      <c r="P387" s="18">
        <v>804</v>
      </c>
      <c r="Q387" s="18">
        <v>30</v>
      </c>
      <c r="R387" s="18"/>
      <c r="S387" s="18"/>
      <c r="T387" s="18"/>
      <c r="U3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87" s="19">
        <f>IF(AUDITORIA[[#This Row],[CAT]]="",0,1)</f>
        <v>1</v>
      </c>
      <c r="W387" s="20">
        <v>46141</v>
      </c>
      <c r="X387" s="21" t="str">
        <f>UPPER(IF(AUDITORIA[[#This Row],[DATA VERIFICAÇÃO]]="","",TEXT(AUDITORIA[[#This Row],[DATA VERIFICAÇÃO]],"mmm")))</f>
        <v>ABR</v>
      </c>
      <c r="Y387" t="s">
        <v>598</v>
      </c>
      <c r="Z387" t="s">
        <v>691</v>
      </c>
      <c r="AA387" t="s">
        <v>692</v>
      </c>
    </row>
    <row r="388" spans="1:27" ht="14.4" hidden="1" customHeight="1" x14ac:dyDescent="0.3">
      <c r="A388" s="4" t="s">
        <v>0</v>
      </c>
      <c r="B388" s="4" t="s">
        <v>17</v>
      </c>
      <c r="C388" s="16" t="s">
        <v>18</v>
      </c>
      <c r="D388" s="4">
        <v>10</v>
      </c>
      <c r="E388" s="4" t="s">
        <v>745</v>
      </c>
      <c r="F388" t="s">
        <v>264</v>
      </c>
      <c r="G388" t="s">
        <v>233</v>
      </c>
      <c r="J388" s="4" t="s">
        <v>88</v>
      </c>
      <c r="K388" s="4" t="s">
        <v>20</v>
      </c>
      <c r="L388" s="4" t="s">
        <v>742</v>
      </c>
      <c r="M388" s="17">
        <v>24</v>
      </c>
      <c r="N388" s="17">
        <v>825</v>
      </c>
      <c r="O388" s="18" t="s">
        <v>88</v>
      </c>
      <c r="P388" s="18">
        <v>825</v>
      </c>
      <c r="Q388" s="18">
        <v>24</v>
      </c>
      <c r="R388" s="18"/>
      <c r="S388" s="18"/>
      <c r="T388" s="18"/>
      <c r="U3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88" s="19">
        <f>IF(AUDITORIA[[#This Row],[CAT]]="",0,1)</f>
        <v>1</v>
      </c>
      <c r="W388" s="20">
        <v>46141</v>
      </c>
      <c r="X388" s="21" t="str">
        <f>UPPER(IF(AUDITORIA[[#This Row],[DATA VERIFICAÇÃO]]="","",TEXT(AUDITORIA[[#This Row],[DATA VERIFICAÇÃO]],"mmm")))</f>
        <v>ABR</v>
      </c>
      <c r="Y388" t="s">
        <v>598</v>
      </c>
      <c r="Z388" t="s">
        <v>691</v>
      </c>
      <c r="AA388" t="s">
        <v>692</v>
      </c>
    </row>
    <row r="389" spans="1:27" ht="14.4" hidden="1" customHeight="1" x14ac:dyDescent="0.3">
      <c r="A389" s="4" t="s">
        <v>0</v>
      </c>
      <c r="B389" s="4" t="s">
        <v>17</v>
      </c>
      <c r="C389" s="16" t="s">
        <v>18</v>
      </c>
      <c r="D389" s="4">
        <v>10</v>
      </c>
      <c r="E389" s="4" t="s">
        <v>745</v>
      </c>
      <c r="F389" t="s">
        <v>263</v>
      </c>
      <c r="G389" t="s">
        <v>233</v>
      </c>
      <c r="J389" s="4" t="s">
        <v>88</v>
      </c>
      <c r="K389" s="4" t="s">
        <v>20</v>
      </c>
      <c r="L389" s="4" t="s">
        <v>742</v>
      </c>
      <c r="M389" s="17">
        <v>30</v>
      </c>
      <c r="N389" s="17">
        <v>813</v>
      </c>
      <c r="O389" s="18" t="s">
        <v>88</v>
      </c>
      <c r="P389" s="18">
        <v>813</v>
      </c>
      <c r="Q389" s="18">
        <v>30</v>
      </c>
      <c r="R389" s="18"/>
      <c r="S389" s="18"/>
      <c r="T389" s="18"/>
      <c r="U3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89" s="19">
        <f>IF(AUDITORIA[[#This Row],[CAT]]="",0,1)</f>
        <v>1</v>
      </c>
      <c r="W389" s="20">
        <v>46141</v>
      </c>
      <c r="X389" s="21" t="str">
        <f>UPPER(IF(AUDITORIA[[#This Row],[DATA VERIFICAÇÃO]]="","",TEXT(AUDITORIA[[#This Row],[DATA VERIFICAÇÃO]],"mmm")))</f>
        <v>ABR</v>
      </c>
      <c r="Y389" t="s">
        <v>598</v>
      </c>
      <c r="Z389" t="s">
        <v>691</v>
      </c>
      <c r="AA389" t="s">
        <v>692</v>
      </c>
    </row>
    <row r="390" spans="1:27" ht="14.4" hidden="1" customHeight="1" x14ac:dyDescent="0.3">
      <c r="A390" s="4" t="s">
        <v>0</v>
      </c>
      <c r="B390" s="4" t="s">
        <v>17</v>
      </c>
      <c r="C390" s="16" t="s">
        <v>18</v>
      </c>
      <c r="D390" s="4">
        <v>10</v>
      </c>
      <c r="E390" s="4" t="s">
        <v>745</v>
      </c>
      <c r="F390" t="s">
        <v>262</v>
      </c>
      <c r="G390" t="s">
        <v>233</v>
      </c>
      <c r="J390" s="4" t="s">
        <v>88</v>
      </c>
      <c r="K390" s="4" t="s">
        <v>20</v>
      </c>
      <c r="L390" s="4" t="s">
        <v>742</v>
      </c>
      <c r="M390" s="17">
        <v>30</v>
      </c>
      <c r="N390" s="17">
        <v>806</v>
      </c>
      <c r="O390" s="18" t="s">
        <v>88</v>
      </c>
      <c r="P390" s="18">
        <v>806</v>
      </c>
      <c r="Q390" s="18">
        <v>30</v>
      </c>
      <c r="R390" s="18"/>
      <c r="S390" s="18"/>
      <c r="T390" s="18"/>
      <c r="U3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90" s="19">
        <f>IF(AUDITORIA[[#This Row],[CAT]]="",0,1)</f>
        <v>1</v>
      </c>
      <c r="W390" s="20">
        <v>46141</v>
      </c>
      <c r="X390" s="21" t="str">
        <f>UPPER(IF(AUDITORIA[[#This Row],[DATA VERIFICAÇÃO]]="","",TEXT(AUDITORIA[[#This Row],[DATA VERIFICAÇÃO]],"mmm")))</f>
        <v>ABR</v>
      </c>
      <c r="Y390" t="s">
        <v>598</v>
      </c>
      <c r="Z390" t="s">
        <v>691</v>
      </c>
      <c r="AA390" t="s">
        <v>692</v>
      </c>
    </row>
    <row r="391" spans="1:27" ht="14.4" hidden="1" customHeight="1" x14ac:dyDescent="0.3">
      <c r="A391" s="4" t="s">
        <v>0</v>
      </c>
      <c r="B391" s="4" t="s">
        <v>17</v>
      </c>
      <c r="C391" s="16" t="s">
        <v>18</v>
      </c>
      <c r="D391" s="4">
        <v>10</v>
      </c>
      <c r="E391" s="4" t="s">
        <v>745</v>
      </c>
      <c r="F391" t="s">
        <v>261</v>
      </c>
      <c r="G391" t="s">
        <v>233</v>
      </c>
      <c r="J391" s="4" t="s">
        <v>88</v>
      </c>
      <c r="K391" s="4" t="s">
        <v>20</v>
      </c>
      <c r="L391" s="4" t="s">
        <v>742</v>
      </c>
      <c r="M391" s="17">
        <v>30</v>
      </c>
      <c r="N391" s="17">
        <v>805</v>
      </c>
      <c r="O391" s="18" t="s">
        <v>88</v>
      </c>
      <c r="P391" s="18">
        <v>805</v>
      </c>
      <c r="Q391" s="18">
        <v>30</v>
      </c>
      <c r="R391" s="18"/>
      <c r="S391" s="18"/>
      <c r="T391" s="18"/>
      <c r="U3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91" s="19">
        <f>IF(AUDITORIA[[#This Row],[CAT]]="",0,1)</f>
        <v>1</v>
      </c>
      <c r="W391" s="20">
        <v>46141</v>
      </c>
      <c r="X391" s="21" t="str">
        <f>UPPER(IF(AUDITORIA[[#This Row],[DATA VERIFICAÇÃO]]="","",TEXT(AUDITORIA[[#This Row],[DATA VERIFICAÇÃO]],"mmm")))</f>
        <v>ABR</v>
      </c>
      <c r="Y391" t="s">
        <v>598</v>
      </c>
      <c r="Z391" t="s">
        <v>691</v>
      </c>
      <c r="AA391" t="s">
        <v>692</v>
      </c>
    </row>
    <row r="392" spans="1:27" ht="14.4" hidden="1" customHeight="1" x14ac:dyDescent="0.3">
      <c r="A392" s="4" t="s">
        <v>0</v>
      </c>
      <c r="B392" s="4" t="s">
        <v>17</v>
      </c>
      <c r="C392" s="16" t="s">
        <v>18</v>
      </c>
      <c r="D392" s="4">
        <v>10</v>
      </c>
      <c r="E392" s="4" t="s">
        <v>745</v>
      </c>
      <c r="F392" t="s">
        <v>260</v>
      </c>
      <c r="G392" t="s">
        <v>233</v>
      </c>
      <c r="J392" s="4" t="s">
        <v>88</v>
      </c>
      <c r="K392" s="4" t="s">
        <v>20</v>
      </c>
      <c r="L392" s="4" t="s">
        <v>742</v>
      </c>
      <c r="M392" s="17">
        <v>30</v>
      </c>
      <c r="N392" s="17">
        <v>803</v>
      </c>
      <c r="O392" s="18" t="s">
        <v>88</v>
      </c>
      <c r="P392" s="18">
        <v>803</v>
      </c>
      <c r="Q392" s="18">
        <v>30</v>
      </c>
      <c r="R392" s="18"/>
      <c r="S392" s="18"/>
      <c r="T392" s="18"/>
      <c r="U3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92" s="19">
        <f>IF(AUDITORIA[[#This Row],[CAT]]="",0,1)</f>
        <v>1</v>
      </c>
      <c r="W392" s="20">
        <v>46141</v>
      </c>
      <c r="X392" s="21" t="str">
        <f>UPPER(IF(AUDITORIA[[#This Row],[DATA VERIFICAÇÃO]]="","",TEXT(AUDITORIA[[#This Row],[DATA VERIFICAÇÃO]],"mmm")))</f>
        <v>ABR</v>
      </c>
      <c r="Y392" t="s">
        <v>598</v>
      </c>
      <c r="Z392" t="s">
        <v>691</v>
      </c>
      <c r="AA392" t="s">
        <v>692</v>
      </c>
    </row>
    <row r="393" spans="1:27" ht="14.4" hidden="1" customHeight="1" x14ac:dyDescent="0.3">
      <c r="A393" s="4" t="s">
        <v>0</v>
      </c>
      <c r="B393" s="4" t="s">
        <v>17</v>
      </c>
      <c r="C393" s="16" t="s">
        <v>18</v>
      </c>
      <c r="D393" s="4">
        <v>10</v>
      </c>
      <c r="E393" s="4" t="s">
        <v>745</v>
      </c>
      <c r="F393" t="s">
        <v>259</v>
      </c>
      <c r="G393" t="s">
        <v>233</v>
      </c>
      <c r="J393" s="4" t="s">
        <v>88</v>
      </c>
      <c r="K393" s="4" t="s">
        <v>20</v>
      </c>
      <c r="L393" s="4" t="s">
        <v>742</v>
      </c>
      <c r="M393" s="17">
        <v>30</v>
      </c>
      <c r="N393" s="17">
        <v>829</v>
      </c>
      <c r="O393" s="18" t="s">
        <v>88</v>
      </c>
      <c r="P393" s="18">
        <v>829</v>
      </c>
      <c r="Q393" s="18">
        <v>30</v>
      </c>
      <c r="R393" s="18"/>
      <c r="S393" s="18"/>
      <c r="T393" s="18"/>
      <c r="U3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93" s="19">
        <f>IF(AUDITORIA[[#This Row],[CAT]]="",0,1)</f>
        <v>1</v>
      </c>
      <c r="W393" s="20">
        <v>46141</v>
      </c>
      <c r="X393" s="21" t="str">
        <f>UPPER(IF(AUDITORIA[[#This Row],[DATA VERIFICAÇÃO]]="","",TEXT(AUDITORIA[[#This Row],[DATA VERIFICAÇÃO]],"mmm")))</f>
        <v>ABR</v>
      </c>
      <c r="Y393" t="s">
        <v>598</v>
      </c>
      <c r="Z393" t="s">
        <v>691</v>
      </c>
      <c r="AA393" t="s">
        <v>692</v>
      </c>
    </row>
    <row r="394" spans="1:27" ht="14.4" hidden="1" customHeight="1" x14ac:dyDescent="0.3">
      <c r="A394" s="4" t="s">
        <v>0</v>
      </c>
      <c r="B394" s="4" t="s">
        <v>17</v>
      </c>
      <c r="C394" s="16" t="s">
        <v>18</v>
      </c>
      <c r="D394" s="4">
        <v>10</v>
      </c>
      <c r="E394" s="4" t="s">
        <v>745</v>
      </c>
      <c r="F394" t="s">
        <v>258</v>
      </c>
      <c r="G394" t="s">
        <v>233</v>
      </c>
      <c r="J394" s="4" t="s">
        <v>88</v>
      </c>
      <c r="K394" s="4" t="s">
        <v>20</v>
      </c>
      <c r="L394" s="4" t="s">
        <v>742</v>
      </c>
      <c r="M394" s="17">
        <v>30</v>
      </c>
      <c r="N394" s="17">
        <v>782</v>
      </c>
      <c r="O394" s="18" t="s">
        <v>88</v>
      </c>
      <c r="P394" s="18">
        <v>782</v>
      </c>
      <c r="Q394" s="18">
        <v>30</v>
      </c>
      <c r="R394" s="18"/>
      <c r="S394" s="18"/>
      <c r="T394" s="18"/>
      <c r="U3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94" s="19">
        <f>IF(AUDITORIA[[#This Row],[CAT]]="",0,1)</f>
        <v>1</v>
      </c>
      <c r="W394" s="20">
        <v>46141</v>
      </c>
      <c r="X394" s="21" t="str">
        <f>UPPER(IF(AUDITORIA[[#This Row],[DATA VERIFICAÇÃO]]="","",TEXT(AUDITORIA[[#This Row],[DATA VERIFICAÇÃO]],"mmm")))</f>
        <v>ABR</v>
      </c>
      <c r="Y394" t="s">
        <v>598</v>
      </c>
      <c r="Z394" t="s">
        <v>691</v>
      </c>
      <c r="AA394" t="s">
        <v>692</v>
      </c>
    </row>
    <row r="395" spans="1:27" ht="14.4" hidden="1" customHeight="1" x14ac:dyDescent="0.3">
      <c r="A395" s="4" t="s">
        <v>0</v>
      </c>
      <c r="B395" s="4" t="s">
        <v>17</v>
      </c>
      <c r="C395" s="16" t="s">
        <v>18</v>
      </c>
      <c r="D395" s="4">
        <v>10</v>
      </c>
      <c r="E395" s="4" t="s">
        <v>745</v>
      </c>
      <c r="F395" t="s">
        <v>257</v>
      </c>
      <c r="G395" t="s">
        <v>233</v>
      </c>
      <c r="J395" s="4" t="s">
        <v>88</v>
      </c>
      <c r="K395" s="4" t="s">
        <v>20</v>
      </c>
      <c r="L395" s="4" t="s">
        <v>742</v>
      </c>
      <c r="M395" s="17">
        <v>30</v>
      </c>
      <c r="N395" s="17">
        <v>782</v>
      </c>
      <c r="O395" s="18" t="s">
        <v>88</v>
      </c>
      <c r="P395" s="18">
        <v>782</v>
      </c>
      <c r="Q395" s="18">
        <v>30</v>
      </c>
      <c r="R395" s="18"/>
      <c r="S395" s="18"/>
      <c r="T395" s="18"/>
      <c r="U3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95" s="19">
        <f>IF(AUDITORIA[[#This Row],[CAT]]="",0,1)</f>
        <v>1</v>
      </c>
      <c r="W395" s="20">
        <v>46141</v>
      </c>
      <c r="X395" s="21" t="str">
        <f>UPPER(IF(AUDITORIA[[#This Row],[DATA VERIFICAÇÃO]]="","",TEXT(AUDITORIA[[#This Row],[DATA VERIFICAÇÃO]],"mmm")))</f>
        <v>ABR</v>
      </c>
      <c r="Y395" t="s">
        <v>598</v>
      </c>
      <c r="Z395" t="s">
        <v>691</v>
      </c>
      <c r="AA395" t="s">
        <v>692</v>
      </c>
    </row>
    <row r="396" spans="1:27" ht="14.4" hidden="1" customHeight="1" x14ac:dyDescent="0.3">
      <c r="A396" s="4" t="s">
        <v>0</v>
      </c>
      <c r="B396" s="4" t="s">
        <v>17</v>
      </c>
      <c r="C396" s="16" t="s">
        <v>18</v>
      </c>
      <c r="D396" s="4">
        <v>10</v>
      </c>
      <c r="E396" s="4" t="s">
        <v>745</v>
      </c>
      <c r="F396" t="s">
        <v>256</v>
      </c>
      <c r="G396" t="s">
        <v>233</v>
      </c>
      <c r="J396" s="4" t="s">
        <v>88</v>
      </c>
      <c r="K396" s="4" t="s">
        <v>20</v>
      </c>
      <c r="L396" s="4" t="s">
        <v>742</v>
      </c>
      <c r="M396" s="17">
        <v>30</v>
      </c>
      <c r="N396" s="17">
        <v>793</v>
      </c>
      <c r="O396" s="18" t="s">
        <v>88</v>
      </c>
      <c r="P396" s="18">
        <v>793</v>
      </c>
      <c r="Q396" s="18">
        <v>30</v>
      </c>
      <c r="R396" s="18"/>
      <c r="S396" s="18"/>
      <c r="T396" s="18"/>
      <c r="U3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96" s="19">
        <f>IF(AUDITORIA[[#This Row],[CAT]]="",0,1)</f>
        <v>1</v>
      </c>
      <c r="W396" s="20">
        <v>46141</v>
      </c>
      <c r="X396" s="21" t="str">
        <f>UPPER(IF(AUDITORIA[[#This Row],[DATA VERIFICAÇÃO]]="","",TEXT(AUDITORIA[[#This Row],[DATA VERIFICAÇÃO]],"mmm")))</f>
        <v>ABR</v>
      </c>
      <c r="Y396" t="s">
        <v>598</v>
      </c>
      <c r="Z396" t="s">
        <v>691</v>
      </c>
      <c r="AA396" t="s">
        <v>692</v>
      </c>
    </row>
    <row r="397" spans="1:27" ht="14.4" hidden="1" customHeight="1" x14ac:dyDescent="0.3">
      <c r="A397" s="4" t="s">
        <v>0</v>
      </c>
      <c r="B397" s="4" t="s">
        <v>17</v>
      </c>
      <c r="C397" s="16" t="s">
        <v>18</v>
      </c>
      <c r="D397" s="4">
        <v>10</v>
      </c>
      <c r="E397" s="4" t="s">
        <v>745</v>
      </c>
      <c r="F397" t="s">
        <v>255</v>
      </c>
      <c r="G397" t="s">
        <v>233</v>
      </c>
      <c r="J397" s="4" t="s">
        <v>88</v>
      </c>
      <c r="K397" s="4" t="s">
        <v>20</v>
      </c>
      <c r="L397" s="4" t="s">
        <v>742</v>
      </c>
      <c r="M397" s="17">
        <v>30</v>
      </c>
      <c r="N397" s="17">
        <v>814</v>
      </c>
      <c r="O397" s="18" t="s">
        <v>88</v>
      </c>
      <c r="P397" s="18">
        <v>814</v>
      </c>
      <c r="Q397" s="18">
        <v>30</v>
      </c>
      <c r="R397" s="18"/>
      <c r="S397" s="18"/>
      <c r="T397" s="18"/>
      <c r="U3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97" s="19">
        <f>IF(AUDITORIA[[#This Row],[CAT]]="",0,1)</f>
        <v>1</v>
      </c>
      <c r="W397" s="20">
        <v>46141</v>
      </c>
      <c r="X397" s="21" t="str">
        <f>UPPER(IF(AUDITORIA[[#This Row],[DATA VERIFICAÇÃO]]="","",TEXT(AUDITORIA[[#This Row],[DATA VERIFICAÇÃO]],"mmm")))</f>
        <v>ABR</v>
      </c>
      <c r="Y397" t="s">
        <v>598</v>
      </c>
      <c r="Z397" t="s">
        <v>691</v>
      </c>
      <c r="AA397" t="s">
        <v>692</v>
      </c>
    </row>
    <row r="398" spans="1:27" ht="14.4" hidden="1" customHeight="1" x14ac:dyDescent="0.3">
      <c r="A398" s="4" t="s">
        <v>0</v>
      </c>
      <c r="B398" s="4" t="s">
        <v>17</v>
      </c>
      <c r="C398" s="16" t="s">
        <v>18</v>
      </c>
      <c r="D398" s="4">
        <v>10</v>
      </c>
      <c r="E398" s="4" t="s">
        <v>745</v>
      </c>
      <c r="F398" t="s">
        <v>232</v>
      </c>
      <c r="G398" t="s">
        <v>233</v>
      </c>
      <c r="J398" s="4" t="s">
        <v>88</v>
      </c>
      <c r="K398" s="4" t="s">
        <v>20</v>
      </c>
      <c r="L398" s="4" t="s">
        <v>742</v>
      </c>
      <c r="M398" s="17">
        <v>30</v>
      </c>
      <c r="N398" s="17">
        <v>820</v>
      </c>
      <c r="O398" s="18" t="s">
        <v>88</v>
      </c>
      <c r="P398" s="18">
        <v>820</v>
      </c>
      <c r="Q398" s="18">
        <v>30</v>
      </c>
      <c r="R398" s="18"/>
      <c r="S398" s="18"/>
      <c r="T398" s="18"/>
      <c r="U3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98" s="19">
        <f>IF(AUDITORIA[[#This Row],[CAT]]="",0,1)</f>
        <v>1</v>
      </c>
      <c r="W398" s="20">
        <v>46141</v>
      </c>
      <c r="X398" s="21" t="str">
        <f>UPPER(IF(AUDITORIA[[#This Row],[DATA VERIFICAÇÃO]]="","",TEXT(AUDITORIA[[#This Row],[DATA VERIFICAÇÃO]],"mmm")))</f>
        <v>ABR</v>
      </c>
      <c r="Y398" t="s">
        <v>598</v>
      </c>
      <c r="Z398" t="s">
        <v>691</v>
      </c>
      <c r="AA398" t="s">
        <v>692</v>
      </c>
    </row>
    <row r="399" spans="1:27" ht="14.4" hidden="1" customHeight="1" x14ac:dyDescent="0.3">
      <c r="A399" s="4" t="s">
        <v>0</v>
      </c>
      <c r="B399" s="4" t="s">
        <v>17</v>
      </c>
      <c r="C399" s="16" t="s">
        <v>18</v>
      </c>
      <c r="D399" s="4">
        <v>10</v>
      </c>
      <c r="E399" s="4" t="s">
        <v>745</v>
      </c>
      <c r="F399" t="s">
        <v>254</v>
      </c>
      <c r="G399" t="s">
        <v>233</v>
      </c>
      <c r="J399" s="4" t="s">
        <v>88</v>
      </c>
      <c r="K399" s="4" t="s">
        <v>21</v>
      </c>
      <c r="L399" s="4" t="s">
        <v>742</v>
      </c>
      <c r="M399" s="17">
        <v>9</v>
      </c>
      <c r="N399" s="17">
        <v>1127</v>
      </c>
      <c r="O399" s="18" t="s">
        <v>88</v>
      </c>
      <c r="P399" s="18">
        <v>1127</v>
      </c>
      <c r="Q399" s="18">
        <v>9</v>
      </c>
      <c r="R399" s="18"/>
      <c r="S399" s="18"/>
      <c r="T399" s="18"/>
      <c r="U3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399" s="19">
        <f>IF(AUDITORIA[[#This Row],[CAT]]="",0,1)</f>
        <v>1</v>
      </c>
      <c r="W399" s="20">
        <v>46141</v>
      </c>
      <c r="X399" s="21" t="str">
        <f>UPPER(IF(AUDITORIA[[#This Row],[DATA VERIFICAÇÃO]]="","",TEXT(AUDITORIA[[#This Row],[DATA VERIFICAÇÃO]],"mmm")))</f>
        <v>ABR</v>
      </c>
      <c r="Y399" t="s">
        <v>598</v>
      </c>
      <c r="Z399" t="s">
        <v>691</v>
      </c>
      <c r="AA399" t="s">
        <v>692</v>
      </c>
    </row>
    <row r="400" spans="1:27" ht="14.4" hidden="1" customHeight="1" x14ac:dyDescent="0.3">
      <c r="A400" s="4" t="s">
        <v>0</v>
      </c>
      <c r="B400" s="4" t="s">
        <v>17</v>
      </c>
      <c r="C400" s="16" t="s">
        <v>18</v>
      </c>
      <c r="D400" s="4">
        <v>10</v>
      </c>
      <c r="E400" s="4" t="s">
        <v>745</v>
      </c>
      <c r="F400" t="s">
        <v>253</v>
      </c>
      <c r="G400" t="s">
        <v>233</v>
      </c>
      <c r="J400" s="4" t="s">
        <v>88</v>
      </c>
      <c r="K400" s="4" t="s">
        <v>21</v>
      </c>
      <c r="L400" s="4" t="s">
        <v>742</v>
      </c>
      <c r="M400" s="17">
        <v>27</v>
      </c>
      <c r="N400" s="17">
        <v>964</v>
      </c>
      <c r="O400" s="18" t="s">
        <v>88</v>
      </c>
      <c r="P400" s="18">
        <v>964</v>
      </c>
      <c r="Q400" s="18">
        <v>27</v>
      </c>
      <c r="R400" s="18"/>
      <c r="S400" s="18"/>
      <c r="T400" s="18"/>
      <c r="U4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00" s="19">
        <f>IF(AUDITORIA[[#This Row],[CAT]]="",0,1)</f>
        <v>1</v>
      </c>
      <c r="W400" s="20">
        <v>46141</v>
      </c>
      <c r="X400" s="21" t="str">
        <f>UPPER(IF(AUDITORIA[[#This Row],[DATA VERIFICAÇÃO]]="","",TEXT(AUDITORIA[[#This Row],[DATA VERIFICAÇÃO]],"mmm")))</f>
        <v>ABR</v>
      </c>
      <c r="Y400" t="s">
        <v>598</v>
      </c>
      <c r="Z400" t="s">
        <v>691</v>
      </c>
      <c r="AA400" t="s">
        <v>692</v>
      </c>
    </row>
    <row r="401" spans="1:27" ht="14.4" hidden="1" customHeight="1" x14ac:dyDescent="0.3">
      <c r="A401" s="4" t="s">
        <v>0</v>
      </c>
      <c r="B401" s="4" t="s">
        <v>17</v>
      </c>
      <c r="C401" s="16" t="s">
        <v>18</v>
      </c>
      <c r="D401" s="4">
        <v>10</v>
      </c>
      <c r="E401" s="4" t="s">
        <v>745</v>
      </c>
      <c r="F401" t="s">
        <v>252</v>
      </c>
      <c r="G401" t="s">
        <v>233</v>
      </c>
      <c r="J401" s="4" t="s">
        <v>88</v>
      </c>
      <c r="K401" s="4" t="s">
        <v>21</v>
      </c>
      <c r="L401" s="4" t="s">
        <v>742</v>
      </c>
      <c r="M401" s="17">
        <v>27</v>
      </c>
      <c r="N401" s="17">
        <v>946</v>
      </c>
      <c r="O401" s="18" t="s">
        <v>88</v>
      </c>
      <c r="P401" s="18">
        <v>946</v>
      </c>
      <c r="Q401" s="18">
        <v>27</v>
      </c>
      <c r="R401" s="18"/>
      <c r="S401" s="18"/>
      <c r="T401" s="18"/>
      <c r="U4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01" s="19">
        <f>IF(AUDITORIA[[#This Row],[CAT]]="",0,1)</f>
        <v>1</v>
      </c>
      <c r="W401" s="20">
        <v>46141</v>
      </c>
      <c r="X401" s="21" t="str">
        <f>UPPER(IF(AUDITORIA[[#This Row],[DATA VERIFICAÇÃO]]="","",TEXT(AUDITORIA[[#This Row],[DATA VERIFICAÇÃO]],"mmm")))</f>
        <v>ABR</v>
      </c>
      <c r="Y401" t="s">
        <v>598</v>
      </c>
      <c r="Z401" t="s">
        <v>691</v>
      </c>
      <c r="AA401" t="s">
        <v>692</v>
      </c>
    </row>
    <row r="402" spans="1:27" ht="14.4" hidden="1" customHeight="1" x14ac:dyDescent="0.3">
      <c r="A402" s="4" t="s">
        <v>0</v>
      </c>
      <c r="B402" s="4" t="s">
        <v>17</v>
      </c>
      <c r="C402" s="16" t="s">
        <v>18</v>
      </c>
      <c r="D402" s="4">
        <v>10</v>
      </c>
      <c r="E402" s="4" t="s">
        <v>745</v>
      </c>
      <c r="F402" t="s">
        <v>251</v>
      </c>
      <c r="G402" t="s">
        <v>233</v>
      </c>
      <c r="J402" s="4" t="s">
        <v>88</v>
      </c>
      <c r="K402" s="4" t="s">
        <v>21</v>
      </c>
      <c r="L402" s="4" t="s">
        <v>742</v>
      </c>
      <c r="M402" s="17">
        <v>27</v>
      </c>
      <c r="N402" s="17">
        <v>955</v>
      </c>
      <c r="O402" s="18" t="s">
        <v>88</v>
      </c>
      <c r="P402" s="18">
        <v>955</v>
      </c>
      <c r="Q402" s="18">
        <v>27</v>
      </c>
      <c r="R402" s="18"/>
      <c r="S402" s="18"/>
      <c r="T402" s="18"/>
      <c r="U4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02" s="19">
        <f>IF(AUDITORIA[[#This Row],[CAT]]="",0,1)</f>
        <v>1</v>
      </c>
      <c r="W402" s="20">
        <v>46141</v>
      </c>
      <c r="X402" s="21" t="str">
        <f>UPPER(IF(AUDITORIA[[#This Row],[DATA VERIFICAÇÃO]]="","",TEXT(AUDITORIA[[#This Row],[DATA VERIFICAÇÃO]],"mmm")))</f>
        <v>ABR</v>
      </c>
      <c r="Y402" t="s">
        <v>598</v>
      </c>
      <c r="Z402" t="s">
        <v>691</v>
      </c>
      <c r="AA402" t="s">
        <v>692</v>
      </c>
    </row>
    <row r="403" spans="1:27" ht="14.4" hidden="1" customHeight="1" x14ac:dyDescent="0.3">
      <c r="A403" s="4" t="s">
        <v>0</v>
      </c>
      <c r="B403" s="4" t="s">
        <v>17</v>
      </c>
      <c r="C403" s="16" t="s">
        <v>18</v>
      </c>
      <c r="D403" s="4">
        <v>10</v>
      </c>
      <c r="E403" s="4" t="s">
        <v>745</v>
      </c>
      <c r="F403" t="s">
        <v>250</v>
      </c>
      <c r="G403" t="s">
        <v>233</v>
      </c>
      <c r="J403" s="4" t="s">
        <v>88</v>
      </c>
      <c r="K403" s="4" t="s">
        <v>21</v>
      </c>
      <c r="L403" s="4" t="s">
        <v>742</v>
      </c>
      <c r="M403" s="17">
        <v>27</v>
      </c>
      <c r="N403" s="17">
        <v>964</v>
      </c>
      <c r="O403" s="18" t="s">
        <v>88</v>
      </c>
      <c r="P403" s="18">
        <v>964</v>
      </c>
      <c r="Q403" s="18">
        <v>27</v>
      </c>
      <c r="R403" s="18"/>
      <c r="S403" s="18"/>
      <c r="T403" s="18"/>
      <c r="U4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03" s="19">
        <f>IF(AUDITORIA[[#This Row],[CAT]]="",0,1)</f>
        <v>1</v>
      </c>
      <c r="W403" s="20">
        <v>46141</v>
      </c>
      <c r="X403" s="21" t="str">
        <f>UPPER(IF(AUDITORIA[[#This Row],[DATA VERIFICAÇÃO]]="","",TEXT(AUDITORIA[[#This Row],[DATA VERIFICAÇÃO]],"mmm")))</f>
        <v>ABR</v>
      </c>
      <c r="Y403" t="s">
        <v>598</v>
      </c>
      <c r="Z403" t="s">
        <v>691</v>
      </c>
      <c r="AA403" t="s">
        <v>692</v>
      </c>
    </row>
    <row r="404" spans="1:27" ht="14.4" hidden="1" customHeight="1" x14ac:dyDescent="0.3">
      <c r="A404" s="4" t="s">
        <v>0</v>
      </c>
      <c r="B404" s="4" t="s">
        <v>17</v>
      </c>
      <c r="C404" s="16" t="s">
        <v>18</v>
      </c>
      <c r="D404" s="4">
        <v>10</v>
      </c>
      <c r="E404" s="4" t="s">
        <v>745</v>
      </c>
      <c r="F404" t="s">
        <v>249</v>
      </c>
      <c r="G404" t="s">
        <v>233</v>
      </c>
      <c r="J404" s="4" t="s">
        <v>88</v>
      </c>
      <c r="K404" s="4" t="s">
        <v>21</v>
      </c>
      <c r="L404" s="4" t="s">
        <v>742</v>
      </c>
      <c r="M404" s="17">
        <v>27</v>
      </c>
      <c r="N404" s="17">
        <v>949</v>
      </c>
      <c r="O404" s="18" t="s">
        <v>88</v>
      </c>
      <c r="P404" s="18">
        <v>949</v>
      </c>
      <c r="Q404" s="18">
        <v>27</v>
      </c>
      <c r="R404" s="18"/>
      <c r="S404" s="18"/>
      <c r="T404" s="18"/>
      <c r="U4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04" s="19">
        <f>IF(AUDITORIA[[#This Row],[CAT]]="",0,1)</f>
        <v>1</v>
      </c>
      <c r="W404" s="20">
        <v>46141</v>
      </c>
      <c r="X404" s="21" t="str">
        <f>UPPER(IF(AUDITORIA[[#This Row],[DATA VERIFICAÇÃO]]="","",TEXT(AUDITORIA[[#This Row],[DATA VERIFICAÇÃO]],"mmm")))</f>
        <v>ABR</v>
      </c>
      <c r="Y404" t="s">
        <v>598</v>
      </c>
      <c r="Z404" t="s">
        <v>691</v>
      </c>
      <c r="AA404" t="s">
        <v>692</v>
      </c>
    </row>
    <row r="405" spans="1:27" ht="14.4" hidden="1" customHeight="1" x14ac:dyDescent="0.3">
      <c r="A405" s="4" t="s">
        <v>0</v>
      </c>
      <c r="B405" s="4" t="s">
        <v>17</v>
      </c>
      <c r="C405" s="16" t="s">
        <v>18</v>
      </c>
      <c r="D405" s="4">
        <v>10</v>
      </c>
      <c r="E405" s="4" t="s">
        <v>745</v>
      </c>
      <c r="F405" t="s">
        <v>248</v>
      </c>
      <c r="G405" t="s">
        <v>233</v>
      </c>
      <c r="J405" s="4" t="s">
        <v>88</v>
      </c>
      <c r="K405" s="4" t="s">
        <v>21</v>
      </c>
      <c r="L405" s="4" t="s">
        <v>742</v>
      </c>
      <c r="M405" s="17">
        <v>27</v>
      </c>
      <c r="N405" s="17">
        <v>973</v>
      </c>
      <c r="O405" s="18" t="s">
        <v>88</v>
      </c>
      <c r="P405" s="18">
        <v>973</v>
      </c>
      <c r="Q405" s="18">
        <v>27</v>
      </c>
      <c r="R405" s="18"/>
      <c r="S405" s="18"/>
      <c r="T405" s="18"/>
      <c r="U4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05" s="19">
        <f>IF(AUDITORIA[[#This Row],[CAT]]="",0,1)</f>
        <v>1</v>
      </c>
      <c r="W405" s="20">
        <v>46141</v>
      </c>
      <c r="X405" s="21" t="str">
        <f>UPPER(IF(AUDITORIA[[#This Row],[DATA VERIFICAÇÃO]]="","",TEXT(AUDITORIA[[#This Row],[DATA VERIFICAÇÃO]],"mmm")))</f>
        <v>ABR</v>
      </c>
      <c r="Y405" t="s">
        <v>598</v>
      </c>
      <c r="Z405" t="s">
        <v>691</v>
      </c>
      <c r="AA405" t="s">
        <v>692</v>
      </c>
    </row>
    <row r="406" spans="1:27" ht="14.4" hidden="1" customHeight="1" x14ac:dyDescent="0.3">
      <c r="A406" s="4" t="s">
        <v>0</v>
      </c>
      <c r="B406" s="4" t="s">
        <v>17</v>
      </c>
      <c r="C406" s="16" t="s">
        <v>18</v>
      </c>
      <c r="D406" s="4">
        <v>10</v>
      </c>
      <c r="E406" s="4" t="s">
        <v>745</v>
      </c>
      <c r="F406" t="s">
        <v>247</v>
      </c>
      <c r="G406" t="s">
        <v>233</v>
      </c>
      <c r="J406" s="4" t="s">
        <v>88</v>
      </c>
      <c r="K406" s="4" t="s">
        <v>21</v>
      </c>
      <c r="L406" s="4" t="s">
        <v>742</v>
      </c>
      <c r="M406" s="17">
        <v>27</v>
      </c>
      <c r="N406" s="17">
        <v>998</v>
      </c>
      <c r="O406" s="18" t="s">
        <v>88</v>
      </c>
      <c r="P406" s="18">
        <v>998</v>
      </c>
      <c r="Q406" s="18">
        <v>27</v>
      </c>
      <c r="R406" s="18"/>
      <c r="S406" s="18"/>
      <c r="T406" s="18"/>
      <c r="U4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06" s="19">
        <f>IF(AUDITORIA[[#This Row],[CAT]]="",0,1)</f>
        <v>1</v>
      </c>
      <c r="W406" s="20">
        <v>46141</v>
      </c>
      <c r="X406" s="21" t="str">
        <f>UPPER(IF(AUDITORIA[[#This Row],[DATA VERIFICAÇÃO]]="","",TEXT(AUDITORIA[[#This Row],[DATA VERIFICAÇÃO]],"mmm")))</f>
        <v>ABR</v>
      </c>
      <c r="Y406" t="s">
        <v>598</v>
      </c>
      <c r="Z406" t="s">
        <v>691</v>
      </c>
      <c r="AA406" t="s">
        <v>692</v>
      </c>
    </row>
    <row r="407" spans="1:27" ht="14.4" hidden="1" customHeight="1" x14ac:dyDescent="0.3">
      <c r="A407" s="4" t="s">
        <v>0</v>
      </c>
      <c r="B407" s="4" t="s">
        <v>17</v>
      </c>
      <c r="C407" s="16" t="s">
        <v>18</v>
      </c>
      <c r="D407" s="4">
        <v>10</v>
      </c>
      <c r="E407" s="4" t="s">
        <v>745</v>
      </c>
      <c r="F407" t="s">
        <v>246</v>
      </c>
      <c r="G407" t="s">
        <v>233</v>
      </c>
      <c r="J407" s="4" t="s">
        <v>88</v>
      </c>
      <c r="K407" s="4" t="s">
        <v>21</v>
      </c>
      <c r="L407" s="4" t="s">
        <v>742</v>
      </c>
      <c r="M407" s="17">
        <v>27</v>
      </c>
      <c r="N407" s="17">
        <v>969</v>
      </c>
      <c r="O407" s="18" t="s">
        <v>88</v>
      </c>
      <c r="P407" s="18">
        <v>969</v>
      </c>
      <c r="Q407" s="18">
        <v>27</v>
      </c>
      <c r="R407" s="18"/>
      <c r="S407" s="18"/>
      <c r="T407" s="18"/>
      <c r="U4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07" s="19">
        <f>IF(AUDITORIA[[#This Row],[CAT]]="",0,1)</f>
        <v>1</v>
      </c>
      <c r="W407" s="20">
        <v>46141</v>
      </c>
      <c r="X407" s="21" t="str">
        <f>UPPER(IF(AUDITORIA[[#This Row],[DATA VERIFICAÇÃO]]="","",TEXT(AUDITORIA[[#This Row],[DATA VERIFICAÇÃO]],"mmm")))</f>
        <v>ABR</v>
      </c>
      <c r="Y407" t="s">
        <v>598</v>
      </c>
      <c r="Z407" t="s">
        <v>691</v>
      </c>
      <c r="AA407" t="s">
        <v>692</v>
      </c>
    </row>
    <row r="408" spans="1:27" ht="14.4" hidden="1" customHeight="1" x14ac:dyDescent="0.3">
      <c r="A408" s="4" t="s">
        <v>0</v>
      </c>
      <c r="B408" s="4" t="s">
        <v>17</v>
      </c>
      <c r="C408" s="16" t="s">
        <v>18</v>
      </c>
      <c r="D408" s="4">
        <v>10</v>
      </c>
      <c r="E408" s="4" t="s">
        <v>745</v>
      </c>
      <c r="F408" t="s">
        <v>245</v>
      </c>
      <c r="G408" t="s">
        <v>233</v>
      </c>
      <c r="J408" s="4" t="s">
        <v>88</v>
      </c>
      <c r="K408" s="4" t="s">
        <v>21</v>
      </c>
      <c r="L408" s="4" t="s">
        <v>742</v>
      </c>
      <c r="M408" s="17">
        <v>27</v>
      </c>
      <c r="N408" s="17">
        <v>964</v>
      </c>
      <c r="O408" s="18" t="s">
        <v>88</v>
      </c>
      <c r="P408" s="18">
        <v>964</v>
      </c>
      <c r="Q408" s="18">
        <v>27</v>
      </c>
      <c r="R408" s="18"/>
      <c r="S408" s="18"/>
      <c r="T408" s="18"/>
      <c r="U4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08" s="19">
        <f>IF(AUDITORIA[[#This Row],[CAT]]="",0,1)</f>
        <v>1</v>
      </c>
      <c r="W408" s="20">
        <v>46141</v>
      </c>
      <c r="X408" s="21" t="str">
        <f>UPPER(IF(AUDITORIA[[#This Row],[DATA VERIFICAÇÃO]]="","",TEXT(AUDITORIA[[#This Row],[DATA VERIFICAÇÃO]],"mmm")))</f>
        <v>ABR</v>
      </c>
      <c r="Y408" t="s">
        <v>598</v>
      </c>
      <c r="Z408" t="s">
        <v>691</v>
      </c>
      <c r="AA408" t="s">
        <v>692</v>
      </c>
    </row>
    <row r="409" spans="1:27" ht="14.4" hidden="1" customHeight="1" x14ac:dyDescent="0.3">
      <c r="A409" s="4" t="s">
        <v>0</v>
      </c>
      <c r="B409" s="4" t="s">
        <v>17</v>
      </c>
      <c r="C409" s="16" t="s">
        <v>18</v>
      </c>
      <c r="D409" s="4">
        <v>10</v>
      </c>
      <c r="E409" s="4" t="s">
        <v>745</v>
      </c>
      <c r="F409" t="s">
        <v>244</v>
      </c>
      <c r="G409" t="s">
        <v>233</v>
      </c>
      <c r="J409" s="4" t="s">
        <v>88</v>
      </c>
      <c r="K409" s="4" t="s">
        <v>21</v>
      </c>
      <c r="L409" s="4" t="s">
        <v>742</v>
      </c>
      <c r="M409" s="17">
        <v>27</v>
      </c>
      <c r="N409" s="17">
        <v>956</v>
      </c>
      <c r="O409" s="18" t="s">
        <v>88</v>
      </c>
      <c r="P409" s="18">
        <v>956</v>
      </c>
      <c r="Q409" s="18">
        <v>27</v>
      </c>
      <c r="R409" s="18"/>
      <c r="S409" s="18"/>
      <c r="T409" s="18"/>
      <c r="U4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09" s="19">
        <f>IF(AUDITORIA[[#This Row],[CAT]]="",0,1)</f>
        <v>1</v>
      </c>
      <c r="W409" s="20">
        <v>46141</v>
      </c>
      <c r="X409" s="21" t="str">
        <f>UPPER(IF(AUDITORIA[[#This Row],[DATA VERIFICAÇÃO]]="","",TEXT(AUDITORIA[[#This Row],[DATA VERIFICAÇÃO]],"mmm")))</f>
        <v>ABR</v>
      </c>
      <c r="Y409" t="s">
        <v>598</v>
      </c>
      <c r="Z409" t="s">
        <v>691</v>
      </c>
      <c r="AA409" t="s">
        <v>692</v>
      </c>
    </row>
    <row r="410" spans="1:27" ht="14.4" hidden="1" customHeight="1" x14ac:dyDescent="0.3">
      <c r="A410" s="4" t="s">
        <v>0</v>
      </c>
      <c r="B410" s="4" t="s">
        <v>17</v>
      </c>
      <c r="C410" s="16" t="s">
        <v>18</v>
      </c>
      <c r="D410" s="4">
        <v>10</v>
      </c>
      <c r="E410" s="4" t="s">
        <v>745</v>
      </c>
      <c r="F410" t="s">
        <v>243</v>
      </c>
      <c r="G410" t="s">
        <v>233</v>
      </c>
      <c r="J410" s="4" t="s">
        <v>88</v>
      </c>
      <c r="K410" s="4" t="s">
        <v>21</v>
      </c>
      <c r="L410" s="4" t="s">
        <v>742</v>
      </c>
      <c r="M410" s="17">
        <v>27</v>
      </c>
      <c r="N410" s="17">
        <v>963</v>
      </c>
      <c r="O410" s="18" t="s">
        <v>88</v>
      </c>
      <c r="P410" s="18">
        <v>963</v>
      </c>
      <c r="Q410" s="18">
        <v>27</v>
      </c>
      <c r="R410" s="18"/>
      <c r="S410" s="18"/>
      <c r="T410" s="18"/>
      <c r="U4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10" s="19">
        <f>IF(AUDITORIA[[#This Row],[CAT]]="",0,1)</f>
        <v>1</v>
      </c>
      <c r="W410" s="20">
        <v>46141</v>
      </c>
      <c r="X410" s="21" t="str">
        <f>UPPER(IF(AUDITORIA[[#This Row],[DATA VERIFICAÇÃO]]="","",TEXT(AUDITORIA[[#This Row],[DATA VERIFICAÇÃO]],"mmm")))</f>
        <v>ABR</v>
      </c>
      <c r="Y410" t="s">
        <v>598</v>
      </c>
      <c r="Z410" t="s">
        <v>691</v>
      </c>
      <c r="AA410" t="s">
        <v>692</v>
      </c>
    </row>
    <row r="411" spans="1:27" ht="14.4" hidden="1" customHeight="1" x14ac:dyDescent="0.3">
      <c r="A411" s="4" t="s">
        <v>0</v>
      </c>
      <c r="B411" s="4" t="s">
        <v>17</v>
      </c>
      <c r="C411" s="16" t="s">
        <v>18</v>
      </c>
      <c r="D411" s="4">
        <v>10</v>
      </c>
      <c r="E411" s="4" t="s">
        <v>745</v>
      </c>
      <c r="F411" t="s">
        <v>242</v>
      </c>
      <c r="G411" t="s">
        <v>233</v>
      </c>
      <c r="J411" s="4" t="s">
        <v>88</v>
      </c>
      <c r="K411" s="4" t="s">
        <v>21</v>
      </c>
      <c r="L411" s="4" t="s">
        <v>742</v>
      </c>
      <c r="M411" s="17">
        <v>27</v>
      </c>
      <c r="N411" s="17">
        <v>958</v>
      </c>
      <c r="O411" s="18" t="s">
        <v>88</v>
      </c>
      <c r="P411" s="18">
        <v>958</v>
      </c>
      <c r="Q411" s="18">
        <v>27</v>
      </c>
      <c r="R411" s="18"/>
      <c r="S411" s="18"/>
      <c r="T411" s="18"/>
      <c r="U4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11" s="19">
        <f>IF(AUDITORIA[[#This Row],[CAT]]="",0,1)</f>
        <v>1</v>
      </c>
      <c r="W411" s="20">
        <v>46141</v>
      </c>
      <c r="X411" s="21" t="str">
        <f>UPPER(IF(AUDITORIA[[#This Row],[DATA VERIFICAÇÃO]]="","",TEXT(AUDITORIA[[#This Row],[DATA VERIFICAÇÃO]],"mmm")))</f>
        <v>ABR</v>
      </c>
      <c r="Y411" t="s">
        <v>598</v>
      </c>
      <c r="Z411" t="s">
        <v>691</v>
      </c>
      <c r="AA411" t="s">
        <v>692</v>
      </c>
    </row>
    <row r="412" spans="1:27" ht="14.4" hidden="1" customHeight="1" x14ac:dyDescent="0.3">
      <c r="A412" s="4" t="s">
        <v>0</v>
      </c>
      <c r="B412" s="4" t="s">
        <v>17</v>
      </c>
      <c r="C412" s="16" t="s">
        <v>18</v>
      </c>
      <c r="D412" s="4">
        <v>10</v>
      </c>
      <c r="E412" s="4" t="s">
        <v>745</v>
      </c>
      <c r="F412" t="s">
        <v>241</v>
      </c>
      <c r="G412" t="s">
        <v>233</v>
      </c>
      <c r="J412" s="4" t="s">
        <v>88</v>
      </c>
      <c r="K412" s="4" t="s">
        <v>21</v>
      </c>
      <c r="L412" s="4" t="s">
        <v>742</v>
      </c>
      <c r="M412" s="17">
        <v>27</v>
      </c>
      <c r="N412" s="17">
        <v>940</v>
      </c>
      <c r="O412" s="18" t="s">
        <v>88</v>
      </c>
      <c r="P412" s="18">
        <v>940</v>
      </c>
      <c r="Q412" s="18">
        <v>27</v>
      </c>
      <c r="R412" s="18"/>
      <c r="S412" s="18"/>
      <c r="T412" s="18"/>
      <c r="U4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12" s="19">
        <f>IF(AUDITORIA[[#This Row],[CAT]]="",0,1)</f>
        <v>1</v>
      </c>
      <c r="W412" s="20">
        <v>46141</v>
      </c>
      <c r="X412" s="21" t="str">
        <f>UPPER(IF(AUDITORIA[[#This Row],[DATA VERIFICAÇÃO]]="","",TEXT(AUDITORIA[[#This Row],[DATA VERIFICAÇÃO]],"mmm")))</f>
        <v>ABR</v>
      </c>
      <c r="Y412" t="s">
        <v>598</v>
      </c>
      <c r="Z412" t="s">
        <v>691</v>
      </c>
      <c r="AA412" t="s">
        <v>692</v>
      </c>
    </row>
    <row r="413" spans="1:27" ht="14.4" hidden="1" customHeight="1" x14ac:dyDescent="0.3">
      <c r="A413" s="4" t="s">
        <v>0</v>
      </c>
      <c r="B413" s="4" t="s">
        <v>17</v>
      </c>
      <c r="C413" s="16" t="s">
        <v>18</v>
      </c>
      <c r="D413" s="4">
        <v>10</v>
      </c>
      <c r="E413" s="4" t="s">
        <v>745</v>
      </c>
      <c r="F413" t="s">
        <v>240</v>
      </c>
      <c r="G413" t="s">
        <v>233</v>
      </c>
      <c r="J413" s="4" t="s">
        <v>88</v>
      </c>
      <c r="K413" s="4" t="s">
        <v>21</v>
      </c>
      <c r="L413" s="4" t="s">
        <v>742</v>
      </c>
      <c r="M413" s="17">
        <v>27</v>
      </c>
      <c r="N413" s="17">
        <v>956</v>
      </c>
      <c r="O413" s="18" t="s">
        <v>88</v>
      </c>
      <c r="P413" s="18">
        <v>956</v>
      </c>
      <c r="Q413" s="18">
        <v>27</v>
      </c>
      <c r="R413" s="18"/>
      <c r="S413" s="18"/>
      <c r="T413" s="18"/>
      <c r="U4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13" s="19">
        <f>IF(AUDITORIA[[#This Row],[CAT]]="",0,1)</f>
        <v>1</v>
      </c>
      <c r="W413" s="20">
        <v>46141</v>
      </c>
      <c r="X413" s="21" t="str">
        <f>UPPER(IF(AUDITORIA[[#This Row],[DATA VERIFICAÇÃO]]="","",TEXT(AUDITORIA[[#This Row],[DATA VERIFICAÇÃO]],"mmm")))</f>
        <v>ABR</v>
      </c>
      <c r="Y413" t="s">
        <v>598</v>
      </c>
      <c r="Z413" t="s">
        <v>691</v>
      </c>
      <c r="AA413" t="s">
        <v>692</v>
      </c>
    </row>
    <row r="414" spans="1:27" ht="14.4" hidden="1" customHeight="1" x14ac:dyDescent="0.3">
      <c r="A414" s="4" t="s">
        <v>0</v>
      </c>
      <c r="B414" s="4" t="s">
        <v>17</v>
      </c>
      <c r="C414" s="16" t="s">
        <v>18</v>
      </c>
      <c r="D414" s="4">
        <v>10</v>
      </c>
      <c r="E414" s="4" t="s">
        <v>745</v>
      </c>
      <c r="F414" t="s">
        <v>239</v>
      </c>
      <c r="G414" t="s">
        <v>233</v>
      </c>
      <c r="J414" s="4" t="s">
        <v>88</v>
      </c>
      <c r="K414" s="4" t="s">
        <v>21</v>
      </c>
      <c r="L414" s="4" t="s">
        <v>742</v>
      </c>
      <c r="M414" s="17">
        <v>27</v>
      </c>
      <c r="N414" s="17">
        <v>937</v>
      </c>
      <c r="O414" s="18" t="s">
        <v>88</v>
      </c>
      <c r="P414" s="18">
        <v>937</v>
      </c>
      <c r="Q414" s="18">
        <v>27</v>
      </c>
      <c r="R414" s="18"/>
      <c r="S414" s="18"/>
      <c r="T414" s="18"/>
      <c r="U4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14" s="19">
        <f>IF(AUDITORIA[[#This Row],[CAT]]="",0,1)</f>
        <v>1</v>
      </c>
      <c r="W414" s="20">
        <v>46141</v>
      </c>
      <c r="X414" s="21" t="str">
        <f>UPPER(IF(AUDITORIA[[#This Row],[DATA VERIFICAÇÃO]]="","",TEXT(AUDITORIA[[#This Row],[DATA VERIFICAÇÃO]],"mmm")))</f>
        <v>ABR</v>
      </c>
      <c r="Y414" t="s">
        <v>598</v>
      </c>
      <c r="Z414" t="s">
        <v>691</v>
      </c>
      <c r="AA414" t="s">
        <v>692</v>
      </c>
    </row>
    <row r="415" spans="1:27" ht="14.4" hidden="1" customHeight="1" x14ac:dyDescent="0.3">
      <c r="A415" s="4" t="s">
        <v>0</v>
      </c>
      <c r="B415" s="4" t="s">
        <v>17</v>
      </c>
      <c r="C415" s="16" t="s">
        <v>18</v>
      </c>
      <c r="D415" s="4">
        <v>10</v>
      </c>
      <c r="E415" s="4" t="s">
        <v>745</v>
      </c>
      <c r="F415" t="s">
        <v>238</v>
      </c>
      <c r="G415" t="s">
        <v>233</v>
      </c>
      <c r="J415" s="4" t="s">
        <v>88</v>
      </c>
      <c r="K415" s="4" t="s">
        <v>21</v>
      </c>
      <c r="L415" s="4" t="s">
        <v>742</v>
      </c>
      <c r="M415" s="17">
        <v>27</v>
      </c>
      <c r="N415" s="17">
        <v>931</v>
      </c>
      <c r="O415" s="18" t="s">
        <v>88</v>
      </c>
      <c r="P415" s="18">
        <v>931</v>
      </c>
      <c r="Q415" s="18">
        <v>27</v>
      </c>
      <c r="R415" s="18"/>
      <c r="S415" s="18"/>
      <c r="T415" s="18"/>
      <c r="U4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15" s="19">
        <f>IF(AUDITORIA[[#This Row],[CAT]]="",0,1)</f>
        <v>1</v>
      </c>
      <c r="W415" s="20">
        <v>46141</v>
      </c>
      <c r="X415" s="21" t="str">
        <f>UPPER(IF(AUDITORIA[[#This Row],[DATA VERIFICAÇÃO]]="","",TEXT(AUDITORIA[[#This Row],[DATA VERIFICAÇÃO]],"mmm")))</f>
        <v>ABR</v>
      </c>
      <c r="Y415" t="s">
        <v>598</v>
      </c>
      <c r="Z415" t="s">
        <v>691</v>
      </c>
      <c r="AA415" t="s">
        <v>692</v>
      </c>
    </row>
    <row r="416" spans="1:27" ht="14.4" hidden="1" customHeight="1" x14ac:dyDescent="0.3">
      <c r="A416" s="4" t="s">
        <v>0</v>
      </c>
      <c r="B416" s="4" t="s">
        <v>17</v>
      </c>
      <c r="C416" s="16" t="s">
        <v>18</v>
      </c>
      <c r="D416" s="4">
        <v>10</v>
      </c>
      <c r="E416" s="4" t="s">
        <v>745</v>
      </c>
      <c r="F416" t="s">
        <v>237</v>
      </c>
      <c r="G416" t="s">
        <v>233</v>
      </c>
      <c r="J416" s="4" t="s">
        <v>88</v>
      </c>
      <c r="K416" s="4" t="s">
        <v>21</v>
      </c>
      <c r="L416" s="4" t="s">
        <v>742</v>
      </c>
      <c r="M416" s="17">
        <v>27</v>
      </c>
      <c r="N416" s="17">
        <v>948</v>
      </c>
      <c r="O416" s="18" t="s">
        <v>88</v>
      </c>
      <c r="P416" s="18">
        <v>948</v>
      </c>
      <c r="Q416" s="18">
        <v>27</v>
      </c>
      <c r="R416" s="18"/>
      <c r="S416" s="18"/>
      <c r="T416" s="18"/>
      <c r="U4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16" s="19">
        <f>IF(AUDITORIA[[#This Row],[CAT]]="",0,1)</f>
        <v>1</v>
      </c>
      <c r="W416" s="20">
        <v>46141</v>
      </c>
      <c r="X416" s="21" t="str">
        <f>UPPER(IF(AUDITORIA[[#This Row],[DATA VERIFICAÇÃO]]="","",TEXT(AUDITORIA[[#This Row],[DATA VERIFICAÇÃO]],"mmm")))</f>
        <v>ABR</v>
      </c>
      <c r="Y416" t="s">
        <v>598</v>
      </c>
      <c r="Z416" t="s">
        <v>691</v>
      </c>
      <c r="AA416" t="s">
        <v>692</v>
      </c>
    </row>
    <row r="417" spans="1:27" ht="14.4" hidden="1" customHeight="1" x14ac:dyDescent="0.3">
      <c r="A417" s="4" t="s">
        <v>0</v>
      </c>
      <c r="B417" s="4" t="s">
        <v>17</v>
      </c>
      <c r="C417" s="16" t="s">
        <v>18</v>
      </c>
      <c r="D417" s="4">
        <v>10</v>
      </c>
      <c r="E417" s="4" t="s">
        <v>745</v>
      </c>
      <c r="F417" t="s">
        <v>236</v>
      </c>
      <c r="G417" t="s">
        <v>233</v>
      </c>
      <c r="J417" s="4" t="s">
        <v>88</v>
      </c>
      <c r="K417" s="4" t="s">
        <v>21</v>
      </c>
      <c r="L417" s="4" t="s">
        <v>742</v>
      </c>
      <c r="M417" s="17">
        <v>27</v>
      </c>
      <c r="N417" s="17">
        <v>950</v>
      </c>
      <c r="O417" s="18" t="s">
        <v>88</v>
      </c>
      <c r="P417" s="18">
        <v>950</v>
      </c>
      <c r="Q417" s="18">
        <v>27</v>
      </c>
      <c r="R417" s="18"/>
      <c r="S417" s="18"/>
      <c r="T417" s="18"/>
      <c r="U4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17" s="19">
        <f>IF(AUDITORIA[[#This Row],[CAT]]="",0,1)</f>
        <v>1</v>
      </c>
      <c r="W417" s="20">
        <v>46141</v>
      </c>
      <c r="X417" s="21" t="str">
        <f>UPPER(IF(AUDITORIA[[#This Row],[DATA VERIFICAÇÃO]]="","",TEXT(AUDITORIA[[#This Row],[DATA VERIFICAÇÃO]],"mmm")))</f>
        <v>ABR</v>
      </c>
      <c r="Y417" t="s">
        <v>598</v>
      </c>
      <c r="Z417" t="s">
        <v>691</v>
      </c>
      <c r="AA417" t="s">
        <v>692</v>
      </c>
    </row>
    <row r="418" spans="1:27" ht="14.4" hidden="1" customHeight="1" x14ac:dyDescent="0.3">
      <c r="A418" s="4" t="s">
        <v>0</v>
      </c>
      <c r="B418" s="4" t="s">
        <v>17</v>
      </c>
      <c r="C418" s="16" t="s">
        <v>18</v>
      </c>
      <c r="D418" s="4">
        <v>10</v>
      </c>
      <c r="E418" s="4" t="s">
        <v>745</v>
      </c>
      <c r="F418" t="s">
        <v>235</v>
      </c>
      <c r="G418" t="s">
        <v>233</v>
      </c>
      <c r="J418" s="4" t="s">
        <v>88</v>
      </c>
      <c r="K418" s="4" t="s">
        <v>21</v>
      </c>
      <c r="L418" s="4" t="s">
        <v>742</v>
      </c>
      <c r="M418" s="17">
        <v>27</v>
      </c>
      <c r="N418" s="17">
        <v>981</v>
      </c>
      <c r="O418" s="18" t="s">
        <v>88</v>
      </c>
      <c r="P418" s="18">
        <v>981</v>
      </c>
      <c r="Q418" s="18">
        <v>27</v>
      </c>
      <c r="R418" s="18"/>
      <c r="S418" s="18"/>
      <c r="T418" s="18"/>
      <c r="U4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18" s="19">
        <f>IF(AUDITORIA[[#This Row],[CAT]]="",0,1)</f>
        <v>1</v>
      </c>
      <c r="W418" s="20">
        <v>46141</v>
      </c>
      <c r="X418" s="21" t="str">
        <f>UPPER(IF(AUDITORIA[[#This Row],[DATA VERIFICAÇÃO]]="","",TEXT(AUDITORIA[[#This Row],[DATA VERIFICAÇÃO]],"mmm")))</f>
        <v>ABR</v>
      </c>
      <c r="Y418" t="s">
        <v>598</v>
      </c>
      <c r="Z418" t="s">
        <v>691</v>
      </c>
      <c r="AA418" t="s">
        <v>692</v>
      </c>
    </row>
    <row r="419" spans="1:27" ht="14.4" hidden="1" customHeight="1" x14ac:dyDescent="0.3">
      <c r="A419" s="4" t="s">
        <v>0</v>
      </c>
      <c r="B419" s="4" t="s">
        <v>17</v>
      </c>
      <c r="C419" s="16" t="s">
        <v>18</v>
      </c>
      <c r="D419" s="4">
        <v>10</v>
      </c>
      <c r="E419" s="4" t="s">
        <v>745</v>
      </c>
      <c r="F419" t="s">
        <v>234</v>
      </c>
      <c r="G419" t="s">
        <v>233</v>
      </c>
      <c r="J419" s="4" t="s">
        <v>88</v>
      </c>
      <c r="K419" s="4" t="s">
        <v>21</v>
      </c>
      <c r="L419" s="4" t="s">
        <v>742</v>
      </c>
      <c r="M419" s="17">
        <v>17</v>
      </c>
      <c r="N419" s="17">
        <v>977</v>
      </c>
      <c r="O419" s="18" t="s">
        <v>88</v>
      </c>
      <c r="P419" s="18">
        <v>977</v>
      </c>
      <c r="Q419" s="18">
        <v>17</v>
      </c>
      <c r="R419" s="18"/>
      <c r="S419" s="18"/>
      <c r="T419" s="18"/>
      <c r="U4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19" s="19">
        <f>IF(AUDITORIA[[#This Row],[CAT]]="",0,1)</f>
        <v>1</v>
      </c>
      <c r="W419" s="20">
        <v>46141</v>
      </c>
      <c r="X419" s="21" t="str">
        <f>UPPER(IF(AUDITORIA[[#This Row],[DATA VERIFICAÇÃO]]="","",TEXT(AUDITORIA[[#This Row],[DATA VERIFICAÇÃO]],"mmm")))</f>
        <v>ABR</v>
      </c>
      <c r="Y419" t="s">
        <v>598</v>
      </c>
      <c r="Z419" t="s">
        <v>691</v>
      </c>
      <c r="AA419" t="s">
        <v>692</v>
      </c>
    </row>
    <row r="420" spans="1:27" ht="14.4" hidden="1" customHeight="1" x14ac:dyDescent="0.3">
      <c r="A420" s="4" t="s">
        <v>0</v>
      </c>
      <c r="B420" s="4" t="s">
        <v>17</v>
      </c>
      <c r="C420" s="16" t="s">
        <v>18</v>
      </c>
      <c r="D420" s="4">
        <v>10</v>
      </c>
      <c r="E420" s="4" t="s">
        <v>745</v>
      </c>
      <c r="F420" t="s">
        <v>230</v>
      </c>
      <c r="G420" t="s">
        <v>85</v>
      </c>
      <c r="J420" s="4" t="s">
        <v>88</v>
      </c>
      <c r="K420" s="4" t="s">
        <v>20</v>
      </c>
      <c r="L420" s="4" t="s">
        <v>742</v>
      </c>
      <c r="M420" s="17">
        <v>30</v>
      </c>
      <c r="N420" s="17">
        <v>684</v>
      </c>
      <c r="O420" s="18" t="s">
        <v>88</v>
      </c>
      <c r="P420" s="18">
        <v>684</v>
      </c>
      <c r="Q420" s="18">
        <v>30</v>
      </c>
      <c r="R420" s="18"/>
      <c r="S420" s="18"/>
      <c r="T420" s="18"/>
      <c r="U4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20" s="19">
        <f>IF(AUDITORIA[[#This Row],[CAT]]="",0,1)</f>
        <v>1</v>
      </c>
      <c r="W420" s="20">
        <v>46141</v>
      </c>
      <c r="X420" s="21" t="str">
        <f>UPPER(IF(AUDITORIA[[#This Row],[DATA VERIFICAÇÃO]]="","",TEXT(AUDITORIA[[#This Row],[DATA VERIFICAÇÃO]],"mmm")))</f>
        <v>ABR</v>
      </c>
      <c r="Y420" t="s">
        <v>598</v>
      </c>
      <c r="Z420" t="s">
        <v>691</v>
      </c>
      <c r="AA420" t="s">
        <v>692</v>
      </c>
    </row>
    <row r="421" spans="1:27" ht="14.4" hidden="1" customHeight="1" x14ac:dyDescent="0.3">
      <c r="A421" s="4" t="s">
        <v>0</v>
      </c>
      <c r="B421" s="4" t="s">
        <v>17</v>
      </c>
      <c r="C421" s="16" t="s">
        <v>18</v>
      </c>
      <c r="D421" s="4">
        <v>10</v>
      </c>
      <c r="E421" s="4" t="s">
        <v>745</v>
      </c>
      <c r="F421" t="s">
        <v>228</v>
      </c>
      <c r="G421" t="s">
        <v>85</v>
      </c>
      <c r="J421" s="4" t="s">
        <v>88</v>
      </c>
      <c r="K421" s="4" t="s">
        <v>20</v>
      </c>
      <c r="L421" s="4" t="s">
        <v>742</v>
      </c>
      <c r="M421" s="17">
        <v>30</v>
      </c>
      <c r="N421" s="17">
        <v>693</v>
      </c>
      <c r="O421" s="18" t="s">
        <v>88</v>
      </c>
      <c r="P421" s="18">
        <v>693</v>
      </c>
      <c r="Q421" s="18">
        <v>30</v>
      </c>
      <c r="R421" s="18"/>
      <c r="S421" s="18"/>
      <c r="T421" s="18"/>
      <c r="U4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21" s="19">
        <f>IF(AUDITORIA[[#This Row],[CAT]]="",0,1)</f>
        <v>1</v>
      </c>
      <c r="W421" s="20">
        <v>46141</v>
      </c>
      <c r="X421" s="21" t="str">
        <f>UPPER(IF(AUDITORIA[[#This Row],[DATA VERIFICAÇÃO]]="","",TEXT(AUDITORIA[[#This Row],[DATA VERIFICAÇÃO]],"mmm")))</f>
        <v>ABR</v>
      </c>
      <c r="Y421" t="s">
        <v>598</v>
      </c>
      <c r="Z421" t="s">
        <v>691</v>
      </c>
      <c r="AA421" t="s">
        <v>692</v>
      </c>
    </row>
    <row r="422" spans="1:27" ht="14.4" hidden="1" customHeight="1" x14ac:dyDescent="0.3">
      <c r="A422" s="4" t="s">
        <v>0</v>
      </c>
      <c r="B422" s="4" t="s">
        <v>17</v>
      </c>
      <c r="C422" s="16" t="s">
        <v>18</v>
      </c>
      <c r="D422" s="4">
        <v>10</v>
      </c>
      <c r="E422" s="4" t="s">
        <v>745</v>
      </c>
      <c r="F422" t="s">
        <v>227</v>
      </c>
      <c r="G422" t="s">
        <v>85</v>
      </c>
      <c r="J422" s="4" t="s">
        <v>88</v>
      </c>
      <c r="K422" s="4" t="s">
        <v>20</v>
      </c>
      <c r="L422" s="4" t="s">
        <v>742</v>
      </c>
      <c r="M422" s="17">
        <v>30</v>
      </c>
      <c r="N422" s="17">
        <v>697</v>
      </c>
      <c r="O422" s="18" t="s">
        <v>88</v>
      </c>
      <c r="P422" s="18">
        <v>697</v>
      </c>
      <c r="Q422" s="18">
        <v>30</v>
      </c>
      <c r="R422" s="18"/>
      <c r="S422" s="18"/>
      <c r="T422" s="18"/>
      <c r="U4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22" s="19">
        <f>IF(AUDITORIA[[#This Row],[CAT]]="",0,1)</f>
        <v>1</v>
      </c>
      <c r="W422" s="20">
        <v>46141</v>
      </c>
      <c r="X422" s="21" t="str">
        <f>UPPER(IF(AUDITORIA[[#This Row],[DATA VERIFICAÇÃO]]="","",TEXT(AUDITORIA[[#This Row],[DATA VERIFICAÇÃO]],"mmm")))</f>
        <v>ABR</v>
      </c>
      <c r="Y422" t="s">
        <v>598</v>
      </c>
      <c r="Z422" t="s">
        <v>691</v>
      </c>
      <c r="AA422" t="s">
        <v>692</v>
      </c>
    </row>
    <row r="423" spans="1:27" ht="14.4" hidden="1" customHeight="1" x14ac:dyDescent="0.3">
      <c r="A423" s="4" t="s">
        <v>0</v>
      </c>
      <c r="B423" s="4" t="s">
        <v>17</v>
      </c>
      <c r="C423" s="16" t="s">
        <v>18</v>
      </c>
      <c r="D423" s="4">
        <v>10</v>
      </c>
      <c r="E423" s="4" t="s">
        <v>745</v>
      </c>
      <c r="F423" t="s">
        <v>224</v>
      </c>
      <c r="G423" t="s">
        <v>85</v>
      </c>
      <c r="J423" s="4" t="s">
        <v>88</v>
      </c>
      <c r="K423" s="4" t="s">
        <v>20</v>
      </c>
      <c r="L423" s="4" t="s">
        <v>742</v>
      </c>
      <c r="M423" s="17">
        <v>30</v>
      </c>
      <c r="N423" s="17">
        <v>696</v>
      </c>
      <c r="O423" s="18" t="s">
        <v>88</v>
      </c>
      <c r="P423" s="18">
        <v>696</v>
      </c>
      <c r="Q423" s="18">
        <v>30</v>
      </c>
      <c r="R423" s="18"/>
      <c r="S423" s="18"/>
      <c r="T423" s="18"/>
      <c r="U4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23" s="19">
        <f>IF(AUDITORIA[[#This Row],[CAT]]="",0,1)</f>
        <v>1</v>
      </c>
      <c r="W423" s="20">
        <v>46141</v>
      </c>
      <c r="X423" s="21" t="str">
        <f>UPPER(IF(AUDITORIA[[#This Row],[DATA VERIFICAÇÃO]]="","",TEXT(AUDITORIA[[#This Row],[DATA VERIFICAÇÃO]],"mmm")))</f>
        <v>ABR</v>
      </c>
      <c r="Y423" t="s">
        <v>598</v>
      </c>
      <c r="Z423" t="s">
        <v>691</v>
      </c>
      <c r="AA423" t="s">
        <v>692</v>
      </c>
    </row>
    <row r="424" spans="1:27" ht="14.4" hidden="1" customHeight="1" x14ac:dyDescent="0.3">
      <c r="A424" s="4" t="s">
        <v>0</v>
      </c>
      <c r="B424" s="4" t="s">
        <v>17</v>
      </c>
      <c r="C424" s="16" t="s">
        <v>18</v>
      </c>
      <c r="D424" s="4">
        <v>10</v>
      </c>
      <c r="E424" s="4" t="s">
        <v>745</v>
      </c>
      <c r="F424" t="s">
        <v>222</v>
      </c>
      <c r="G424" t="s">
        <v>85</v>
      </c>
      <c r="J424" s="4" t="s">
        <v>88</v>
      </c>
      <c r="K424" s="4" t="s">
        <v>20</v>
      </c>
      <c r="L424" s="4" t="s">
        <v>742</v>
      </c>
      <c r="M424" s="17">
        <v>30</v>
      </c>
      <c r="N424" s="17">
        <v>698</v>
      </c>
      <c r="O424" s="18" t="s">
        <v>88</v>
      </c>
      <c r="P424" s="18">
        <v>698</v>
      </c>
      <c r="Q424" s="18">
        <v>30</v>
      </c>
      <c r="R424" s="18"/>
      <c r="S424" s="18"/>
      <c r="T424" s="18"/>
      <c r="U4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24" s="19">
        <f>IF(AUDITORIA[[#This Row],[CAT]]="",0,1)</f>
        <v>1</v>
      </c>
      <c r="W424" s="20">
        <v>46141</v>
      </c>
      <c r="X424" s="21" t="str">
        <f>UPPER(IF(AUDITORIA[[#This Row],[DATA VERIFICAÇÃO]]="","",TEXT(AUDITORIA[[#This Row],[DATA VERIFICAÇÃO]],"mmm")))</f>
        <v>ABR</v>
      </c>
      <c r="Y424" t="s">
        <v>598</v>
      </c>
      <c r="Z424" t="s">
        <v>691</v>
      </c>
      <c r="AA424" t="s">
        <v>692</v>
      </c>
    </row>
    <row r="425" spans="1:27" ht="14.4" hidden="1" customHeight="1" x14ac:dyDescent="0.3">
      <c r="A425" s="4" t="s">
        <v>0</v>
      </c>
      <c r="B425" s="4" t="s">
        <v>17</v>
      </c>
      <c r="C425" s="16" t="s">
        <v>18</v>
      </c>
      <c r="D425" s="4">
        <v>10</v>
      </c>
      <c r="E425" s="4" t="s">
        <v>745</v>
      </c>
      <c r="F425" t="s">
        <v>220</v>
      </c>
      <c r="G425" t="s">
        <v>85</v>
      </c>
      <c r="J425" s="4" t="s">
        <v>88</v>
      </c>
      <c r="K425" s="4" t="s">
        <v>20</v>
      </c>
      <c r="L425" s="4" t="s">
        <v>742</v>
      </c>
      <c r="M425" s="17">
        <v>30</v>
      </c>
      <c r="N425" s="17">
        <v>699</v>
      </c>
      <c r="O425" s="18" t="s">
        <v>88</v>
      </c>
      <c r="P425" s="18">
        <v>699</v>
      </c>
      <c r="Q425" s="18">
        <v>30</v>
      </c>
      <c r="R425" s="18"/>
      <c r="S425" s="18"/>
      <c r="T425" s="18"/>
      <c r="U4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25" s="19">
        <f>IF(AUDITORIA[[#This Row],[CAT]]="",0,1)</f>
        <v>1</v>
      </c>
      <c r="W425" s="20">
        <v>46141</v>
      </c>
      <c r="X425" s="21" t="str">
        <f>UPPER(IF(AUDITORIA[[#This Row],[DATA VERIFICAÇÃO]]="","",TEXT(AUDITORIA[[#This Row],[DATA VERIFICAÇÃO]],"mmm")))</f>
        <v>ABR</v>
      </c>
      <c r="Y425" t="s">
        <v>598</v>
      </c>
      <c r="Z425" t="s">
        <v>691</v>
      </c>
      <c r="AA425" t="s">
        <v>692</v>
      </c>
    </row>
    <row r="426" spans="1:27" ht="14.4" hidden="1" customHeight="1" x14ac:dyDescent="0.3">
      <c r="A426" s="4" t="s">
        <v>0</v>
      </c>
      <c r="B426" s="4" t="s">
        <v>17</v>
      </c>
      <c r="C426" s="16" t="s">
        <v>18</v>
      </c>
      <c r="D426" s="4">
        <v>10</v>
      </c>
      <c r="E426" s="4" t="s">
        <v>745</v>
      </c>
      <c r="F426" t="s">
        <v>186</v>
      </c>
      <c r="G426" t="s">
        <v>85</v>
      </c>
      <c r="J426" s="4" t="s">
        <v>88</v>
      </c>
      <c r="K426" s="4" t="s">
        <v>20</v>
      </c>
      <c r="L426" s="4" t="s">
        <v>742</v>
      </c>
      <c r="M426" s="17">
        <v>30</v>
      </c>
      <c r="N426" s="17">
        <v>696</v>
      </c>
      <c r="O426" s="18" t="s">
        <v>88</v>
      </c>
      <c r="P426" s="18">
        <v>696</v>
      </c>
      <c r="Q426" s="18">
        <v>30</v>
      </c>
      <c r="R426" s="18"/>
      <c r="S426" s="18"/>
      <c r="T426" s="18"/>
      <c r="U4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26" s="19">
        <f>IF(AUDITORIA[[#This Row],[CAT]]="",0,1)</f>
        <v>1</v>
      </c>
      <c r="W426" s="20">
        <v>46141</v>
      </c>
      <c r="X426" s="21" t="str">
        <f>UPPER(IF(AUDITORIA[[#This Row],[DATA VERIFICAÇÃO]]="","",TEXT(AUDITORIA[[#This Row],[DATA VERIFICAÇÃO]],"mmm")))</f>
        <v>ABR</v>
      </c>
      <c r="Y426" t="s">
        <v>598</v>
      </c>
      <c r="Z426" t="s">
        <v>691</v>
      </c>
      <c r="AA426" t="s">
        <v>692</v>
      </c>
    </row>
    <row r="427" spans="1:27" ht="14.4" hidden="1" customHeight="1" x14ac:dyDescent="0.3">
      <c r="A427" s="4" t="s">
        <v>0</v>
      </c>
      <c r="B427" s="4" t="s">
        <v>17</v>
      </c>
      <c r="C427" s="16" t="s">
        <v>18</v>
      </c>
      <c r="D427" s="4">
        <v>10</v>
      </c>
      <c r="E427" s="4" t="s">
        <v>745</v>
      </c>
      <c r="F427" t="s">
        <v>184</v>
      </c>
      <c r="G427" t="s">
        <v>85</v>
      </c>
      <c r="J427" s="4" t="s">
        <v>88</v>
      </c>
      <c r="K427" s="4" t="s">
        <v>20</v>
      </c>
      <c r="L427" s="4" t="s">
        <v>742</v>
      </c>
      <c r="M427" s="17">
        <v>30</v>
      </c>
      <c r="N427" s="17">
        <v>708</v>
      </c>
      <c r="O427" s="18" t="s">
        <v>88</v>
      </c>
      <c r="P427" s="18">
        <v>708</v>
      </c>
      <c r="Q427" s="18">
        <v>30</v>
      </c>
      <c r="R427" s="18"/>
      <c r="S427" s="18"/>
      <c r="T427" s="18"/>
      <c r="U4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27" s="19">
        <f>IF(AUDITORIA[[#This Row],[CAT]]="",0,1)</f>
        <v>1</v>
      </c>
      <c r="W427" s="20">
        <v>46141</v>
      </c>
      <c r="X427" s="21" t="str">
        <f>UPPER(IF(AUDITORIA[[#This Row],[DATA VERIFICAÇÃO]]="","",TEXT(AUDITORIA[[#This Row],[DATA VERIFICAÇÃO]],"mmm")))</f>
        <v>ABR</v>
      </c>
      <c r="Y427" t="s">
        <v>598</v>
      </c>
      <c r="Z427" t="s">
        <v>691</v>
      </c>
      <c r="AA427" t="s">
        <v>692</v>
      </c>
    </row>
    <row r="428" spans="1:27" ht="14.4" hidden="1" customHeight="1" x14ac:dyDescent="0.3">
      <c r="A428" s="4" t="s">
        <v>0</v>
      </c>
      <c r="B428" s="4" t="s">
        <v>17</v>
      </c>
      <c r="C428" s="16" t="s">
        <v>18</v>
      </c>
      <c r="D428" s="4">
        <v>10</v>
      </c>
      <c r="E428" s="4" t="s">
        <v>745</v>
      </c>
      <c r="F428" t="s">
        <v>182</v>
      </c>
      <c r="G428" t="s">
        <v>85</v>
      </c>
      <c r="J428" s="4" t="s">
        <v>88</v>
      </c>
      <c r="K428" s="4" t="s">
        <v>20</v>
      </c>
      <c r="L428" s="4" t="s">
        <v>742</v>
      </c>
      <c r="M428" s="17">
        <v>30</v>
      </c>
      <c r="N428" s="17">
        <v>715</v>
      </c>
      <c r="O428" s="18" t="s">
        <v>88</v>
      </c>
      <c r="P428" s="18">
        <v>715</v>
      </c>
      <c r="Q428" s="18">
        <v>30</v>
      </c>
      <c r="R428" s="18"/>
      <c r="S428" s="18"/>
      <c r="T428" s="18"/>
      <c r="U4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28" s="19">
        <f>IF(AUDITORIA[[#This Row],[CAT]]="",0,1)</f>
        <v>1</v>
      </c>
      <c r="W428" s="20">
        <v>46141</v>
      </c>
      <c r="X428" s="21" t="str">
        <f>UPPER(IF(AUDITORIA[[#This Row],[DATA VERIFICAÇÃO]]="","",TEXT(AUDITORIA[[#This Row],[DATA VERIFICAÇÃO]],"mmm")))</f>
        <v>ABR</v>
      </c>
      <c r="Y428" t="s">
        <v>598</v>
      </c>
      <c r="Z428" t="s">
        <v>691</v>
      </c>
      <c r="AA428" t="s">
        <v>692</v>
      </c>
    </row>
    <row r="429" spans="1:27" ht="14.4" hidden="1" customHeight="1" x14ac:dyDescent="0.3">
      <c r="A429" s="4" t="s">
        <v>0</v>
      </c>
      <c r="B429" s="4" t="s">
        <v>17</v>
      </c>
      <c r="C429" s="16" t="s">
        <v>18</v>
      </c>
      <c r="D429" s="4">
        <v>10</v>
      </c>
      <c r="E429" s="4" t="s">
        <v>745</v>
      </c>
      <c r="F429" t="s">
        <v>180</v>
      </c>
      <c r="G429" t="s">
        <v>85</v>
      </c>
      <c r="J429" s="4" t="s">
        <v>88</v>
      </c>
      <c r="K429" s="4" t="s">
        <v>20</v>
      </c>
      <c r="L429" s="4" t="s">
        <v>742</v>
      </c>
      <c r="M429" s="17">
        <v>30</v>
      </c>
      <c r="N429" s="17">
        <v>699</v>
      </c>
      <c r="O429" s="18" t="s">
        <v>88</v>
      </c>
      <c r="P429" s="18">
        <v>699</v>
      </c>
      <c r="Q429" s="18">
        <v>30</v>
      </c>
      <c r="R429" s="18"/>
      <c r="S429" s="18"/>
      <c r="T429" s="18"/>
      <c r="U4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29" s="19">
        <f>IF(AUDITORIA[[#This Row],[CAT]]="",0,1)</f>
        <v>1</v>
      </c>
      <c r="W429" s="20">
        <v>46141</v>
      </c>
      <c r="X429" s="21" t="str">
        <f>UPPER(IF(AUDITORIA[[#This Row],[DATA VERIFICAÇÃO]]="","",TEXT(AUDITORIA[[#This Row],[DATA VERIFICAÇÃO]],"mmm")))</f>
        <v>ABR</v>
      </c>
      <c r="Y429" t="s">
        <v>598</v>
      </c>
      <c r="Z429" t="s">
        <v>691</v>
      </c>
      <c r="AA429" t="s">
        <v>692</v>
      </c>
    </row>
    <row r="430" spans="1:27" ht="14.4" hidden="1" customHeight="1" x14ac:dyDescent="0.3">
      <c r="A430" s="4" t="s">
        <v>0</v>
      </c>
      <c r="B430" s="4" t="s">
        <v>17</v>
      </c>
      <c r="C430" s="16" t="s">
        <v>18</v>
      </c>
      <c r="D430" s="4">
        <v>10</v>
      </c>
      <c r="E430" s="4" t="s">
        <v>745</v>
      </c>
      <c r="F430" t="s">
        <v>178</v>
      </c>
      <c r="G430" t="s">
        <v>85</v>
      </c>
      <c r="J430" s="4" t="s">
        <v>88</v>
      </c>
      <c r="K430" s="4" t="s">
        <v>20</v>
      </c>
      <c r="L430" s="4" t="s">
        <v>742</v>
      </c>
      <c r="M430" s="17">
        <v>30</v>
      </c>
      <c r="N430" s="17">
        <v>712</v>
      </c>
      <c r="O430" s="18" t="s">
        <v>88</v>
      </c>
      <c r="P430" s="18">
        <v>712</v>
      </c>
      <c r="Q430" s="18">
        <v>30</v>
      </c>
      <c r="R430" s="18"/>
      <c r="S430" s="18"/>
      <c r="T430" s="18"/>
      <c r="U4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30" s="19">
        <f>IF(AUDITORIA[[#This Row],[CAT]]="",0,1)</f>
        <v>1</v>
      </c>
      <c r="W430" s="20">
        <v>46141</v>
      </c>
      <c r="X430" s="21" t="str">
        <f>UPPER(IF(AUDITORIA[[#This Row],[DATA VERIFICAÇÃO]]="","",TEXT(AUDITORIA[[#This Row],[DATA VERIFICAÇÃO]],"mmm")))</f>
        <v>ABR</v>
      </c>
      <c r="Y430" t="s">
        <v>598</v>
      </c>
      <c r="Z430" t="s">
        <v>691</v>
      </c>
      <c r="AA430" t="s">
        <v>692</v>
      </c>
    </row>
    <row r="431" spans="1:27" ht="14.4" hidden="1" customHeight="1" x14ac:dyDescent="0.3">
      <c r="A431" s="4" t="s">
        <v>0</v>
      </c>
      <c r="B431" s="4" t="s">
        <v>17</v>
      </c>
      <c r="C431" s="16" t="s">
        <v>18</v>
      </c>
      <c r="D431" s="4">
        <v>10</v>
      </c>
      <c r="E431" s="4" t="s">
        <v>745</v>
      </c>
      <c r="F431" t="s">
        <v>177</v>
      </c>
      <c r="G431" t="s">
        <v>85</v>
      </c>
      <c r="J431" s="4" t="s">
        <v>88</v>
      </c>
      <c r="K431" s="4" t="s">
        <v>20</v>
      </c>
      <c r="L431" s="4" t="s">
        <v>742</v>
      </c>
      <c r="M431" s="17">
        <v>30</v>
      </c>
      <c r="N431" s="17">
        <v>712</v>
      </c>
      <c r="O431" s="18" t="s">
        <v>88</v>
      </c>
      <c r="P431" s="18">
        <v>712</v>
      </c>
      <c r="Q431" s="18">
        <v>30</v>
      </c>
      <c r="R431" s="18"/>
      <c r="S431" s="18"/>
      <c r="T431" s="18"/>
      <c r="U4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31" s="19">
        <f>IF(AUDITORIA[[#This Row],[CAT]]="",0,1)</f>
        <v>1</v>
      </c>
      <c r="W431" s="20">
        <v>46141</v>
      </c>
      <c r="X431" s="21" t="str">
        <f>UPPER(IF(AUDITORIA[[#This Row],[DATA VERIFICAÇÃO]]="","",TEXT(AUDITORIA[[#This Row],[DATA VERIFICAÇÃO]],"mmm")))</f>
        <v>ABR</v>
      </c>
      <c r="Y431" t="s">
        <v>598</v>
      </c>
      <c r="Z431" t="s">
        <v>691</v>
      </c>
      <c r="AA431" t="s">
        <v>692</v>
      </c>
    </row>
    <row r="432" spans="1:27" ht="14.4" hidden="1" customHeight="1" x14ac:dyDescent="0.3">
      <c r="A432" s="4" t="s">
        <v>0</v>
      </c>
      <c r="B432" s="4" t="s">
        <v>17</v>
      </c>
      <c r="C432" s="16" t="s">
        <v>18</v>
      </c>
      <c r="D432" s="4">
        <v>10</v>
      </c>
      <c r="E432" s="4" t="s">
        <v>745</v>
      </c>
      <c r="F432" t="s">
        <v>175</v>
      </c>
      <c r="G432" t="s">
        <v>85</v>
      </c>
      <c r="J432" s="4" t="s">
        <v>88</v>
      </c>
      <c r="K432" s="4" t="s">
        <v>20</v>
      </c>
      <c r="L432" s="4" t="s">
        <v>742</v>
      </c>
      <c r="M432" s="17">
        <v>30</v>
      </c>
      <c r="N432" s="17">
        <v>714</v>
      </c>
      <c r="O432" s="18" t="s">
        <v>88</v>
      </c>
      <c r="P432" s="18">
        <v>714</v>
      </c>
      <c r="Q432" s="18">
        <v>30</v>
      </c>
      <c r="R432" s="18"/>
      <c r="S432" s="18"/>
      <c r="T432" s="18"/>
      <c r="U4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32" s="19">
        <f>IF(AUDITORIA[[#This Row],[CAT]]="",0,1)</f>
        <v>1</v>
      </c>
      <c r="W432" s="20">
        <v>46141</v>
      </c>
      <c r="X432" s="21" t="str">
        <f>UPPER(IF(AUDITORIA[[#This Row],[DATA VERIFICAÇÃO]]="","",TEXT(AUDITORIA[[#This Row],[DATA VERIFICAÇÃO]],"mmm")))</f>
        <v>ABR</v>
      </c>
      <c r="Y432" t="s">
        <v>598</v>
      </c>
      <c r="Z432" t="s">
        <v>691</v>
      </c>
      <c r="AA432" t="s">
        <v>692</v>
      </c>
    </row>
    <row r="433" spans="1:27" ht="14.4" hidden="1" customHeight="1" x14ac:dyDescent="0.3">
      <c r="A433" s="4" t="s">
        <v>0</v>
      </c>
      <c r="B433" s="4" t="s">
        <v>17</v>
      </c>
      <c r="C433" s="16" t="s">
        <v>18</v>
      </c>
      <c r="D433" s="4">
        <v>10</v>
      </c>
      <c r="E433" s="4" t="s">
        <v>745</v>
      </c>
      <c r="F433" t="s">
        <v>173</v>
      </c>
      <c r="G433" t="s">
        <v>85</v>
      </c>
      <c r="J433" s="4" t="s">
        <v>88</v>
      </c>
      <c r="K433" s="4" t="s">
        <v>20</v>
      </c>
      <c r="L433" s="4" t="s">
        <v>742</v>
      </c>
      <c r="M433" s="17">
        <v>30</v>
      </c>
      <c r="N433" s="17">
        <v>718</v>
      </c>
      <c r="O433" s="18" t="s">
        <v>88</v>
      </c>
      <c r="P433" s="18">
        <v>718</v>
      </c>
      <c r="Q433" s="18">
        <v>30</v>
      </c>
      <c r="R433" s="18"/>
      <c r="S433" s="18"/>
      <c r="T433" s="18"/>
      <c r="U4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33" s="19">
        <f>IF(AUDITORIA[[#This Row],[CAT]]="",0,1)</f>
        <v>1</v>
      </c>
      <c r="W433" s="20">
        <v>46141</v>
      </c>
      <c r="X433" s="21" t="str">
        <f>UPPER(IF(AUDITORIA[[#This Row],[DATA VERIFICAÇÃO]]="","",TEXT(AUDITORIA[[#This Row],[DATA VERIFICAÇÃO]],"mmm")))</f>
        <v>ABR</v>
      </c>
      <c r="Y433" t="s">
        <v>598</v>
      </c>
      <c r="Z433" t="s">
        <v>691</v>
      </c>
      <c r="AA433" t="s">
        <v>692</v>
      </c>
    </row>
    <row r="434" spans="1:27" ht="14.4" hidden="1" customHeight="1" x14ac:dyDescent="0.3">
      <c r="A434" s="4" t="s">
        <v>0</v>
      </c>
      <c r="B434" s="4" t="s">
        <v>17</v>
      </c>
      <c r="C434" s="16" t="s">
        <v>18</v>
      </c>
      <c r="D434" s="4">
        <v>10</v>
      </c>
      <c r="E434" s="4" t="s">
        <v>745</v>
      </c>
      <c r="F434" t="s">
        <v>170</v>
      </c>
      <c r="G434" t="s">
        <v>85</v>
      </c>
      <c r="J434" s="4" t="s">
        <v>88</v>
      </c>
      <c r="K434" s="4" t="s">
        <v>20</v>
      </c>
      <c r="L434" s="4" t="s">
        <v>742</v>
      </c>
      <c r="M434" s="17">
        <v>30</v>
      </c>
      <c r="N434" s="17">
        <v>721</v>
      </c>
      <c r="O434" s="18" t="s">
        <v>88</v>
      </c>
      <c r="P434" s="18">
        <v>721</v>
      </c>
      <c r="Q434" s="18">
        <v>30</v>
      </c>
      <c r="R434" s="18"/>
      <c r="S434" s="18"/>
      <c r="T434" s="18"/>
      <c r="U4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34" s="19">
        <f>IF(AUDITORIA[[#This Row],[CAT]]="",0,1)</f>
        <v>1</v>
      </c>
      <c r="W434" s="20">
        <v>46141</v>
      </c>
      <c r="X434" s="21" t="str">
        <f>UPPER(IF(AUDITORIA[[#This Row],[DATA VERIFICAÇÃO]]="","",TEXT(AUDITORIA[[#This Row],[DATA VERIFICAÇÃO]],"mmm")))</f>
        <v>ABR</v>
      </c>
      <c r="Y434" t="s">
        <v>598</v>
      </c>
      <c r="Z434" t="s">
        <v>691</v>
      </c>
      <c r="AA434" t="s">
        <v>692</v>
      </c>
    </row>
    <row r="435" spans="1:27" ht="14.4" hidden="1" customHeight="1" x14ac:dyDescent="0.3">
      <c r="A435" s="4" t="s">
        <v>0</v>
      </c>
      <c r="B435" s="4" t="s">
        <v>17</v>
      </c>
      <c r="C435" s="16" t="s">
        <v>18</v>
      </c>
      <c r="D435" s="4">
        <v>10</v>
      </c>
      <c r="E435" s="4" t="s">
        <v>745</v>
      </c>
      <c r="F435" t="s">
        <v>169</v>
      </c>
      <c r="G435" t="s">
        <v>85</v>
      </c>
      <c r="J435" s="4" t="s">
        <v>88</v>
      </c>
      <c r="K435" s="4" t="s">
        <v>20</v>
      </c>
      <c r="L435" s="4" t="s">
        <v>742</v>
      </c>
      <c r="M435" s="17">
        <v>30</v>
      </c>
      <c r="N435" s="17">
        <v>718</v>
      </c>
      <c r="O435" s="18" t="s">
        <v>88</v>
      </c>
      <c r="P435" s="18">
        <v>718</v>
      </c>
      <c r="Q435" s="18">
        <v>30</v>
      </c>
      <c r="R435" s="18"/>
      <c r="S435" s="18"/>
      <c r="T435" s="18"/>
      <c r="U4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35" s="19">
        <f>IF(AUDITORIA[[#This Row],[CAT]]="",0,1)</f>
        <v>1</v>
      </c>
      <c r="W435" s="20">
        <v>46141</v>
      </c>
      <c r="X435" s="21" t="str">
        <f>UPPER(IF(AUDITORIA[[#This Row],[DATA VERIFICAÇÃO]]="","",TEXT(AUDITORIA[[#This Row],[DATA VERIFICAÇÃO]],"mmm")))</f>
        <v>ABR</v>
      </c>
      <c r="Y435" t="s">
        <v>598</v>
      </c>
      <c r="Z435" t="s">
        <v>691</v>
      </c>
      <c r="AA435" t="s">
        <v>692</v>
      </c>
    </row>
    <row r="436" spans="1:27" ht="14.4" hidden="1" customHeight="1" x14ac:dyDescent="0.3">
      <c r="A436" s="4" t="s">
        <v>0</v>
      </c>
      <c r="B436" s="4" t="s">
        <v>17</v>
      </c>
      <c r="C436" s="16" t="s">
        <v>18</v>
      </c>
      <c r="D436" s="4">
        <v>10</v>
      </c>
      <c r="E436" s="4" t="s">
        <v>745</v>
      </c>
      <c r="F436" t="s">
        <v>167</v>
      </c>
      <c r="G436" t="s">
        <v>85</v>
      </c>
      <c r="J436" s="4" t="s">
        <v>88</v>
      </c>
      <c r="K436" s="4" t="s">
        <v>20</v>
      </c>
      <c r="L436" s="4" t="s">
        <v>742</v>
      </c>
      <c r="M436" s="17">
        <v>30</v>
      </c>
      <c r="N436" s="17">
        <v>721</v>
      </c>
      <c r="O436" s="18" t="s">
        <v>88</v>
      </c>
      <c r="P436" s="18">
        <v>721</v>
      </c>
      <c r="Q436" s="18">
        <v>30</v>
      </c>
      <c r="R436" s="18"/>
      <c r="S436" s="18"/>
      <c r="T436" s="18"/>
      <c r="U4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36" s="19">
        <f>IF(AUDITORIA[[#This Row],[CAT]]="",0,1)</f>
        <v>1</v>
      </c>
      <c r="W436" s="20">
        <v>46141</v>
      </c>
      <c r="X436" s="21" t="str">
        <f>UPPER(IF(AUDITORIA[[#This Row],[DATA VERIFICAÇÃO]]="","",TEXT(AUDITORIA[[#This Row],[DATA VERIFICAÇÃO]],"mmm")))</f>
        <v>ABR</v>
      </c>
      <c r="Y436" t="s">
        <v>598</v>
      </c>
      <c r="Z436" t="s">
        <v>691</v>
      </c>
      <c r="AA436" t="s">
        <v>692</v>
      </c>
    </row>
    <row r="437" spans="1:27" ht="14.4" hidden="1" customHeight="1" x14ac:dyDescent="0.3">
      <c r="A437" s="4" t="s">
        <v>0</v>
      </c>
      <c r="B437" s="4" t="s">
        <v>17</v>
      </c>
      <c r="C437" s="16" t="s">
        <v>18</v>
      </c>
      <c r="D437" s="4">
        <v>10</v>
      </c>
      <c r="E437" s="4" t="s">
        <v>745</v>
      </c>
      <c r="F437" t="s">
        <v>165</v>
      </c>
      <c r="G437" t="s">
        <v>85</v>
      </c>
      <c r="J437" s="4" t="s">
        <v>88</v>
      </c>
      <c r="K437" s="4" t="s">
        <v>20</v>
      </c>
      <c r="L437" s="4" t="s">
        <v>742</v>
      </c>
      <c r="M437" s="17">
        <v>30</v>
      </c>
      <c r="N437" s="17">
        <v>728</v>
      </c>
      <c r="O437" s="18" t="s">
        <v>88</v>
      </c>
      <c r="P437" s="18">
        <v>728</v>
      </c>
      <c r="Q437" s="18">
        <v>30</v>
      </c>
      <c r="R437" s="18"/>
      <c r="S437" s="18"/>
      <c r="T437" s="18"/>
      <c r="U4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37" s="19">
        <f>IF(AUDITORIA[[#This Row],[CAT]]="",0,1)</f>
        <v>1</v>
      </c>
      <c r="W437" s="20">
        <v>46141</v>
      </c>
      <c r="X437" s="21" t="str">
        <f>UPPER(IF(AUDITORIA[[#This Row],[DATA VERIFICAÇÃO]]="","",TEXT(AUDITORIA[[#This Row],[DATA VERIFICAÇÃO]],"mmm")))</f>
        <v>ABR</v>
      </c>
      <c r="Y437" t="s">
        <v>598</v>
      </c>
      <c r="Z437" t="s">
        <v>691</v>
      </c>
      <c r="AA437" t="s">
        <v>692</v>
      </c>
    </row>
    <row r="438" spans="1:27" ht="14.4" hidden="1" customHeight="1" x14ac:dyDescent="0.3">
      <c r="A438" s="4" t="s">
        <v>0</v>
      </c>
      <c r="B438" s="4" t="s">
        <v>17</v>
      </c>
      <c r="C438" s="16" t="s">
        <v>18</v>
      </c>
      <c r="D438" s="4">
        <v>10</v>
      </c>
      <c r="E438" s="4" t="s">
        <v>745</v>
      </c>
      <c r="F438" t="s">
        <v>164</v>
      </c>
      <c r="G438" t="s">
        <v>85</v>
      </c>
      <c r="J438" s="4" t="s">
        <v>88</v>
      </c>
      <c r="K438" s="4" t="s">
        <v>20</v>
      </c>
      <c r="L438" s="4" t="s">
        <v>742</v>
      </c>
      <c r="M438" s="17">
        <v>30</v>
      </c>
      <c r="N438" s="17">
        <v>710</v>
      </c>
      <c r="O438" s="18" t="s">
        <v>88</v>
      </c>
      <c r="P438" s="18">
        <v>710</v>
      </c>
      <c r="Q438" s="18">
        <v>30</v>
      </c>
      <c r="R438" s="18"/>
      <c r="S438" s="18"/>
      <c r="T438" s="18"/>
      <c r="U4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38" s="19">
        <f>IF(AUDITORIA[[#This Row],[CAT]]="",0,1)</f>
        <v>1</v>
      </c>
      <c r="W438" s="20">
        <v>46141</v>
      </c>
      <c r="X438" s="21" t="str">
        <f>UPPER(IF(AUDITORIA[[#This Row],[DATA VERIFICAÇÃO]]="","",TEXT(AUDITORIA[[#This Row],[DATA VERIFICAÇÃO]],"mmm")))</f>
        <v>ABR</v>
      </c>
      <c r="Y438" t="s">
        <v>598</v>
      </c>
      <c r="Z438" t="s">
        <v>691</v>
      </c>
      <c r="AA438" t="s">
        <v>692</v>
      </c>
    </row>
    <row r="439" spans="1:27" ht="14.4" hidden="1" customHeight="1" x14ac:dyDescent="0.3">
      <c r="A439" s="4" t="s">
        <v>0</v>
      </c>
      <c r="B439" s="4" t="s">
        <v>17</v>
      </c>
      <c r="C439" s="16" t="s">
        <v>18</v>
      </c>
      <c r="D439" s="4">
        <v>10</v>
      </c>
      <c r="E439" s="4" t="s">
        <v>745</v>
      </c>
      <c r="F439" t="s">
        <v>162</v>
      </c>
      <c r="G439" t="s">
        <v>85</v>
      </c>
      <c r="J439" s="4" t="s">
        <v>88</v>
      </c>
      <c r="K439" s="4" t="s">
        <v>20</v>
      </c>
      <c r="L439" s="4" t="s">
        <v>742</v>
      </c>
      <c r="M439" s="17">
        <v>30</v>
      </c>
      <c r="N439" s="17">
        <v>715</v>
      </c>
      <c r="O439" s="18" t="s">
        <v>88</v>
      </c>
      <c r="P439" s="18">
        <v>715</v>
      </c>
      <c r="Q439" s="18">
        <v>30</v>
      </c>
      <c r="R439" s="18"/>
      <c r="S439" s="18"/>
      <c r="T439" s="18"/>
      <c r="U4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39" s="19">
        <f>IF(AUDITORIA[[#This Row],[CAT]]="",0,1)</f>
        <v>1</v>
      </c>
      <c r="W439" s="20">
        <v>46141</v>
      </c>
      <c r="X439" s="21" t="str">
        <f>UPPER(IF(AUDITORIA[[#This Row],[DATA VERIFICAÇÃO]]="","",TEXT(AUDITORIA[[#This Row],[DATA VERIFICAÇÃO]],"mmm")))</f>
        <v>ABR</v>
      </c>
      <c r="Y439" t="s">
        <v>598</v>
      </c>
      <c r="Z439" t="s">
        <v>691</v>
      </c>
      <c r="AA439" t="s">
        <v>692</v>
      </c>
    </row>
    <row r="440" spans="1:27" ht="14.4" hidden="1" customHeight="1" x14ac:dyDescent="0.3">
      <c r="A440" s="4" t="s">
        <v>0</v>
      </c>
      <c r="B440" s="4" t="s">
        <v>17</v>
      </c>
      <c r="C440" s="16" t="s">
        <v>18</v>
      </c>
      <c r="D440" s="4">
        <v>10</v>
      </c>
      <c r="E440" s="4" t="s">
        <v>745</v>
      </c>
      <c r="F440" t="s">
        <v>160</v>
      </c>
      <c r="G440" t="s">
        <v>85</v>
      </c>
      <c r="J440" s="4" t="s">
        <v>88</v>
      </c>
      <c r="K440" s="4" t="s">
        <v>20</v>
      </c>
      <c r="L440" s="4" t="s">
        <v>742</v>
      </c>
      <c r="M440" s="17">
        <v>30</v>
      </c>
      <c r="N440" s="17">
        <v>709</v>
      </c>
      <c r="O440" s="18" t="s">
        <v>88</v>
      </c>
      <c r="P440" s="18">
        <v>709</v>
      </c>
      <c r="Q440" s="18">
        <v>30</v>
      </c>
      <c r="R440" s="18"/>
      <c r="S440" s="18"/>
      <c r="T440" s="18"/>
      <c r="U4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40" s="19">
        <f>IF(AUDITORIA[[#This Row],[CAT]]="",0,1)</f>
        <v>1</v>
      </c>
      <c r="W440" s="20">
        <v>46141</v>
      </c>
      <c r="X440" s="21" t="str">
        <f>UPPER(IF(AUDITORIA[[#This Row],[DATA VERIFICAÇÃO]]="","",TEXT(AUDITORIA[[#This Row],[DATA VERIFICAÇÃO]],"mmm")))</f>
        <v>ABR</v>
      </c>
      <c r="Y440" t="s">
        <v>598</v>
      </c>
      <c r="Z440" t="s">
        <v>691</v>
      </c>
      <c r="AA440" t="s">
        <v>692</v>
      </c>
    </row>
    <row r="441" spans="1:27" ht="14.4" hidden="1" customHeight="1" x14ac:dyDescent="0.3">
      <c r="A441" s="4" t="s">
        <v>0</v>
      </c>
      <c r="B441" s="4" t="s">
        <v>17</v>
      </c>
      <c r="C441" s="16" t="s">
        <v>18</v>
      </c>
      <c r="D441" s="4">
        <v>10</v>
      </c>
      <c r="E441" s="4" t="s">
        <v>745</v>
      </c>
      <c r="F441" t="s">
        <v>159</v>
      </c>
      <c r="G441" t="s">
        <v>85</v>
      </c>
      <c r="J441" s="4" t="s">
        <v>88</v>
      </c>
      <c r="K441" s="4" t="s">
        <v>20</v>
      </c>
      <c r="L441" s="4" t="s">
        <v>742</v>
      </c>
      <c r="M441" s="17">
        <v>30</v>
      </c>
      <c r="N441" s="17">
        <v>705</v>
      </c>
      <c r="O441" s="18" t="s">
        <v>88</v>
      </c>
      <c r="P441" s="18">
        <v>705</v>
      </c>
      <c r="Q441" s="18">
        <v>30</v>
      </c>
      <c r="R441" s="18"/>
      <c r="S441" s="18"/>
      <c r="T441" s="18"/>
      <c r="U4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41" s="19">
        <f>IF(AUDITORIA[[#This Row],[CAT]]="",0,1)</f>
        <v>1</v>
      </c>
      <c r="W441" s="20">
        <v>46141</v>
      </c>
      <c r="X441" s="21" t="str">
        <f>UPPER(IF(AUDITORIA[[#This Row],[DATA VERIFICAÇÃO]]="","",TEXT(AUDITORIA[[#This Row],[DATA VERIFICAÇÃO]],"mmm")))</f>
        <v>ABR</v>
      </c>
      <c r="Y441" t="s">
        <v>598</v>
      </c>
      <c r="Z441" t="s">
        <v>691</v>
      </c>
      <c r="AA441" t="s">
        <v>692</v>
      </c>
    </row>
    <row r="442" spans="1:27" ht="14.4" hidden="1" customHeight="1" x14ac:dyDescent="0.3">
      <c r="A442" s="4" t="s">
        <v>0</v>
      </c>
      <c r="B442" s="4" t="s">
        <v>17</v>
      </c>
      <c r="C442" s="16" t="s">
        <v>18</v>
      </c>
      <c r="D442" s="4">
        <v>10</v>
      </c>
      <c r="E442" s="4" t="s">
        <v>745</v>
      </c>
      <c r="F442" t="s">
        <v>157</v>
      </c>
      <c r="G442" t="s">
        <v>85</v>
      </c>
      <c r="J442" s="4" t="s">
        <v>88</v>
      </c>
      <c r="K442" s="4" t="s">
        <v>20</v>
      </c>
      <c r="L442" s="4" t="s">
        <v>742</v>
      </c>
      <c r="M442" s="17">
        <v>30</v>
      </c>
      <c r="N442" s="17">
        <v>702</v>
      </c>
      <c r="O442" s="18" t="s">
        <v>88</v>
      </c>
      <c r="P442" s="18">
        <v>702</v>
      </c>
      <c r="Q442" s="18">
        <v>30</v>
      </c>
      <c r="R442" s="18"/>
      <c r="S442" s="18"/>
      <c r="T442" s="18"/>
      <c r="U4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42" s="19">
        <f>IF(AUDITORIA[[#This Row],[CAT]]="",0,1)</f>
        <v>1</v>
      </c>
      <c r="W442" s="20">
        <v>46141</v>
      </c>
      <c r="X442" s="21" t="str">
        <f>UPPER(IF(AUDITORIA[[#This Row],[DATA VERIFICAÇÃO]]="","",TEXT(AUDITORIA[[#This Row],[DATA VERIFICAÇÃO]],"mmm")))</f>
        <v>ABR</v>
      </c>
      <c r="Y442" t="s">
        <v>598</v>
      </c>
      <c r="Z442" t="s">
        <v>691</v>
      </c>
      <c r="AA442" t="s">
        <v>692</v>
      </c>
    </row>
    <row r="443" spans="1:27" ht="14.4" hidden="1" customHeight="1" x14ac:dyDescent="0.3">
      <c r="A443" s="4" t="s">
        <v>0</v>
      </c>
      <c r="B443" s="4" t="s">
        <v>17</v>
      </c>
      <c r="C443" s="16" t="s">
        <v>18</v>
      </c>
      <c r="D443" s="4">
        <v>10</v>
      </c>
      <c r="E443" s="4" t="s">
        <v>745</v>
      </c>
      <c r="F443" t="s">
        <v>155</v>
      </c>
      <c r="G443" t="s">
        <v>85</v>
      </c>
      <c r="J443" s="4" t="s">
        <v>88</v>
      </c>
      <c r="K443" s="4" t="s">
        <v>20</v>
      </c>
      <c r="L443" s="4" t="s">
        <v>742</v>
      </c>
      <c r="M443" s="17">
        <v>30</v>
      </c>
      <c r="N443" s="17">
        <v>694</v>
      </c>
      <c r="O443" s="18" t="s">
        <v>88</v>
      </c>
      <c r="P443" s="18">
        <v>694</v>
      </c>
      <c r="Q443" s="18">
        <v>30</v>
      </c>
      <c r="R443" s="18"/>
      <c r="S443" s="18"/>
      <c r="T443" s="18"/>
      <c r="U4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43" s="19">
        <f>IF(AUDITORIA[[#This Row],[CAT]]="",0,1)</f>
        <v>1</v>
      </c>
      <c r="W443" s="20">
        <v>46141</v>
      </c>
      <c r="X443" s="21" t="str">
        <f>UPPER(IF(AUDITORIA[[#This Row],[DATA VERIFICAÇÃO]]="","",TEXT(AUDITORIA[[#This Row],[DATA VERIFICAÇÃO]],"mmm")))</f>
        <v>ABR</v>
      </c>
      <c r="Y443" t="s">
        <v>598</v>
      </c>
      <c r="Z443" t="s">
        <v>691</v>
      </c>
      <c r="AA443" t="s">
        <v>692</v>
      </c>
    </row>
    <row r="444" spans="1:27" ht="14.4" hidden="1" customHeight="1" x14ac:dyDescent="0.3">
      <c r="A444" s="4" t="s">
        <v>0</v>
      </c>
      <c r="B444" s="4" t="s">
        <v>17</v>
      </c>
      <c r="C444" s="16" t="s">
        <v>18</v>
      </c>
      <c r="D444" s="4">
        <v>10</v>
      </c>
      <c r="E444" s="4" t="s">
        <v>745</v>
      </c>
      <c r="F444" t="s">
        <v>154</v>
      </c>
      <c r="G444" t="s">
        <v>85</v>
      </c>
      <c r="J444" s="4" t="s">
        <v>88</v>
      </c>
      <c r="K444" s="4" t="s">
        <v>20</v>
      </c>
      <c r="L444" s="4" t="s">
        <v>742</v>
      </c>
      <c r="M444" s="17">
        <v>30</v>
      </c>
      <c r="N444" s="17">
        <v>705</v>
      </c>
      <c r="O444" s="18" t="s">
        <v>88</v>
      </c>
      <c r="P444" s="18">
        <v>705</v>
      </c>
      <c r="Q444" s="18">
        <v>30</v>
      </c>
      <c r="R444" s="18"/>
      <c r="S444" s="18"/>
      <c r="T444" s="18"/>
      <c r="U4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44" s="19">
        <f>IF(AUDITORIA[[#This Row],[CAT]]="",0,1)</f>
        <v>1</v>
      </c>
      <c r="W444" s="20">
        <v>46141</v>
      </c>
      <c r="X444" s="21" t="str">
        <f>UPPER(IF(AUDITORIA[[#This Row],[DATA VERIFICAÇÃO]]="","",TEXT(AUDITORIA[[#This Row],[DATA VERIFICAÇÃO]],"mmm")))</f>
        <v>ABR</v>
      </c>
      <c r="Y444" t="s">
        <v>598</v>
      </c>
      <c r="Z444" t="s">
        <v>691</v>
      </c>
      <c r="AA444" t="s">
        <v>692</v>
      </c>
    </row>
    <row r="445" spans="1:27" ht="14.4" hidden="1" customHeight="1" x14ac:dyDescent="0.3">
      <c r="A445" s="4" t="s">
        <v>0</v>
      </c>
      <c r="B445" s="4" t="s">
        <v>17</v>
      </c>
      <c r="C445" s="16" t="s">
        <v>18</v>
      </c>
      <c r="D445" s="4">
        <v>10</v>
      </c>
      <c r="E445" s="4" t="s">
        <v>745</v>
      </c>
      <c r="F445" t="s">
        <v>152</v>
      </c>
      <c r="G445" t="s">
        <v>85</v>
      </c>
      <c r="J445" s="4" t="s">
        <v>88</v>
      </c>
      <c r="K445" s="4" t="s">
        <v>20</v>
      </c>
      <c r="L445" s="4" t="s">
        <v>742</v>
      </c>
      <c r="M445" s="17">
        <v>30</v>
      </c>
      <c r="N445" s="17">
        <v>708</v>
      </c>
      <c r="O445" s="18" t="s">
        <v>88</v>
      </c>
      <c r="P445" s="18">
        <v>708</v>
      </c>
      <c r="Q445" s="18">
        <v>30</v>
      </c>
      <c r="R445" s="18"/>
      <c r="S445" s="18"/>
      <c r="T445" s="18"/>
      <c r="U4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45" s="19">
        <f>IF(AUDITORIA[[#This Row],[CAT]]="",0,1)</f>
        <v>1</v>
      </c>
      <c r="W445" s="20">
        <v>46141</v>
      </c>
      <c r="X445" s="21" t="str">
        <f>UPPER(IF(AUDITORIA[[#This Row],[DATA VERIFICAÇÃO]]="","",TEXT(AUDITORIA[[#This Row],[DATA VERIFICAÇÃO]],"mmm")))</f>
        <v>ABR</v>
      </c>
      <c r="Y445" t="s">
        <v>598</v>
      </c>
      <c r="Z445" t="s">
        <v>691</v>
      </c>
      <c r="AA445" t="s">
        <v>692</v>
      </c>
    </row>
    <row r="446" spans="1:27" ht="14.4" hidden="1" customHeight="1" x14ac:dyDescent="0.3">
      <c r="A446" s="4" t="s">
        <v>0</v>
      </c>
      <c r="B446" s="4" t="s">
        <v>17</v>
      </c>
      <c r="C446" s="16" t="s">
        <v>18</v>
      </c>
      <c r="D446" s="4">
        <v>10</v>
      </c>
      <c r="E446" s="4" t="s">
        <v>745</v>
      </c>
      <c r="F446" t="s">
        <v>150</v>
      </c>
      <c r="G446" t="s">
        <v>85</v>
      </c>
      <c r="J446" s="4" t="s">
        <v>88</v>
      </c>
      <c r="K446" s="4" t="s">
        <v>20</v>
      </c>
      <c r="L446" s="4" t="s">
        <v>742</v>
      </c>
      <c r="M446" s="17">
        <v>30</v>
      </c>
      <c r="N446" s="17">
        <v>713</v>
      </c>
      <c r="O446" s="18" t="s">
        <v>88</v>
      </c>
      <c r="P446" s="18">
        <v>713</v>
      </c>
      <c r="Q446" s="18">
        <v>30</v>
      </c>
      <c r="R446" s="18"/>
      <c r="S446" s="18"/>
      <c r="T446" s="18"/>
      <c r="U4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46" s="19">
        <f>IF(AUDITORIA[[#This Row],[CAT]]="",0,1)</f>
        <v>1</v>
      </c>
      <c r="W446" s="20">
        <v>46141</v>
      </c>
      <c r="X446" s="21" t="str">
        <f>UPPER(IF(AUDITORIA[[#This Row],[DATA VERIFICAÇÃO]]="","",TEXT(AUDITORIA[[#This Row],[DATA VERIFICAÇÃO]],"mmm")))</f>
        <v>ABR</v>
      </c>
      <c r="Y446" t="s">
        <v>598</v>
      </c>
      <c r="Z446" t="s">
        <v>691</v>
      </c>
      <c r="AA446" t="s">
        <v>692</v>
      </c>
    </row>
    <row r="447" spans="1:27" ht="14.4" hidden="1" customHeight="1" x14ac:dyDescent="0.3">
      <c r="A447" s="4" t="s">
        <v>0</v>
      </c>
      <c r="B447" s="4" t="s">
        <v>17</v>
      </c>
      <c r="C447" s="16" t="s">
        <v>18</v>
      </c>
      <c r="D447" s="4">
        <v>10</v>
      </c>
      <c r="E447" s="4" t="s">
        <v>745</v>
      </c>
      <c r="F447" t="s">
        <v>148</v>
      </c>
      <c r="G447" t="s">
        <v>85</v>
      </c>
      <c r="J447" s="4" t="s">
        <v>88</v>
      </c>
      <c r="K447" s="4" t="s">
        <v>20</v>
      </c>
      <c r="L447" s="4" t="s">
        <v>742</v>
      </c>
      <c r="M447" s="17">
        <v>30</v>
      </c>
      <c r="N447" s="17">
        <v>718</v>
      </c>
      <c r="O447" s="18" t="s">
        <v>88</v>
      </c>
      <c r="P447" s="18">
        <v>718</v>
      </c>
      <c r="Q447" s="18">
        <v>30</v>
      </c>
      <c r="R447" s="18"/>
      <c r="S447" s="18"/>
      <c r="T447" s="18"/>
      <c r="U4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47" s="19">
        <f>IF(AUDITORIA[[#This Row],[CAT]]="",0,1)</f>
        <v>1</v>
      </c>
      <c r="W447" s="20">
        <v>46141</v>
      </c>
      <c r="X447" s="21" t="str">
        <f>UPPER(IF(AUDITORIA[[#This Row],[DATA VERIFICAÇÃO]]="","",TEXT(AUDITORIA[[#This Row],[DATA VERIFICAÇÃO]],"mmm")))</f>
        <v>ABR</v>
      </c>
      <c r="Y447" t="s">
        <v>598</v>
      </c>
      <c r="Z447" t="s">
        <v>691</v>
      </c>
      <c r="AA447" t="s">
        <v>692</v>
      </c>
    </row>
    <row r="448" spans="1:27" ht="14.4" hidden="1" customHeight="1" x14ac:dyDescent="0.3">
      <c r="A448" s="4" t="s">
        <v>0</v>
      </c>
      <c r="B448" s="4" t="s">
        <v>17</v>
      </c>
      <c r="C448" s="16" t="s">
        <v>18</v>
      </c>
      <c r="D448" s="4">
        <v>10</v>
      </c>
      <c r="E448" s="4" t="s">
        <v>745</v>
      </c>
      <c r="F448" t="s">
        <v>147</v>
      </c>
      <c r="G448" t="s">
        <v>85</v>
      </c>
      <c r="J448" s="4" t="s">
        <v>88</v>
      </c>
      <c r="K448" s="4" t="s">
        <v>20</v>
      </c>
      <c r="L448" s="4" t="s">
        <v>742</v>
      </c>
      <c r="M448" s="17">
        <v>30</v>
      </c>
      <c r="N448" s="17">
        <v>710</v>
      </c>
      <c r="O448" s="18" t="s">
        <v>88</v>
      </c>
      <c r="P448" s="18">
        <v>710</v>
      </c>
      <c r="Q448" s="18">
        <v>30</v>
      </c>
      <c r="R448" s="18"/>
      <c r="S448" s="18"/>
      <c r="T448" s="18"/>
      <c r="U4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48" s="19">
        <f>IF(AUDITORIA[[#This Row],[CAT]]="",0,1)</f>
        <v>1</v>
      </c>
      <c r="W448" s="20">
        <v>46141</v>
      </c>
      <c r="X448" s="21" t="str">
        <f>UPPER(IF(AUDITORIA[[#This Row],[DATA VERIFICAÇÃO]]="","",TEXT(AUDITORIA[[#This Row],[DATA VERIFICAÇÃO]],"mmm")))</f>
        <v>ABR</v>
      </c>
      <c r="Y448" t="s">
        <v>598</v>
      </c>
      <c r="Z448" t="s">
        <v>691</v>
      </c>
      <c r="AA448" t="s">
        <v>692</v>
      </c>
    </row>
    <row r="449" spans="1:27" ht="14.4" hidden="1" customHeight="1" x14ac:dyDescent="0.3">
      <c r="A449" s="4" t="s">
        <v>0</v>
      </c>
      <c r="B449" s="4" t="s">
        <v>17</v>
      </c>
      <c r="C449" s="16" t="s">
        <v>18</v>
      </c>
      <c r="D449" s="4">
        <v>10</v>
      </c>
      <c r="E449" s="4" t="s">
        <v>745</v>
      </c>
      <c r="F449" t="s">
        <v>145</v>
      </c>
      <c r="G449" t="s">
        <v>85</v>
      </c>
      <c r="J449" s="4" t="s">
        <v>88</v>
      </c>
      <c r="K449" s="4" t="s">
        <v>20</v>
      </c>
      <c r="L449" s="4" t="s">
        <v>742</v>
      </c>
      <c r="M449" s="17">
        <v>30</v>
      </c>
      <c r="N449" s="17">
        <v>712</v>
      </c>
      <c r="O449" s="18" t="s">
        <v>88</v>
      </c>
      <c r="P449" s="18">
        <v>712</v>
      </c>
      <c r="Q449" s="18">
        <v>30</v>
      </c>
      <c r="R449" s="18"/>
      <c r="S449" s="18"/>
      <c r="T449" s="18"/>
      <c r="U4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49" s="19">
        <f>IF(AUDITORIA[[#This Row],[CAT]]="",0,1)</f>
        <v>1</v>
      </c>
      <c r="W449" s="20">
        <v>46141</v>
      </c>
      <c r="X449" s="21" t="str">
        <f>UPPER(IF(AUDITORIA[[#This Row],[DATA VERIFICAÇÃO]]="","",TEXT(AUDITORIA[[#This Row],[DATA VERIFICAÇÃO]],"mmm")))</f>
        <v>ABR</v>
      </c>
      <c r="Y449" t="s">
        <v>598</v>
      </c>
      <c r="Z449" t="s">
        <v>691</v>
      </c>
      <c r="AA449" t="s">
        <v>692</v>
      </c>
    </row>
    <row r="450" spans="1:27" ht="14.4" hidden="1" customHeight="1" x14ac:dyDescent="0.3">
      <c r="A450" s="4" t="s">
        <v>0</v>
      </c>
      <c r="B450" s="4" t="s">
        <v>17</v>
      </c>
      <c r="C450" s="16" t="s">
        <v>18</v>
      </c>
      <c r="D450" s="4">
        <v>10</v>
      </c>
      <c r="E450" s="4" t="s">
        <v>745</v>
      </c>
      <c r="F450" t="s">
        <v>143</v>
      </c>
      <c r="G450" t="s">
        <v>85</v>
      </c>
      <c r="J450" s="4" t="s">
        <v>88</v>
      </c>
      <c r="K450" s="4" t="s">
        <v>20</v>
      </c>
      <c r="L450" s="4" t="s">
        <v>742</v>
      </c>
      <c r="M450" s="17">
        <v>30</v>
      </c>
      <c r="N450" s="17">
        <v>713</v>
      </c>
      <c r="O450" s="18" t="s">
        <v>88</v>
      </c>
      <c r="P450" s="18">
        <v>713</v>
      </c>
      <c r="Q450" s="18">
        <v>30</v>
      </c>
      <c r="R450" s="18"/>
      <c r="S450" s="18"/>
      <c r="T450" s="18"/>
      <c r="U4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50" s="19">
        <f>IF(AUDITORIA[[#This Row],[CAT]]="",0,1)</f>
        <v>1</v>
      </c>
      <c r="W450" s="20">
        <v>46141</v>
      </c>
      <c r="X450" s="21" t="str">
        <f>UPPER(IF(AUDITORIA[[#This Row],[DATA VERIFICAÇÃO]]="","",TEXT(AUDITORIA[[#This Row],[DATA VERIFICAÇÃO]],"mmm")))</f>
        <v>ABR</v>
      </c>
      <c r="Y450" t="s">
        <v>598</v>
      </c>
      <c r="Z450" t="s">
        <v>691</v>
      </c>
      <c r="AA450" t="s">
        <v>692</v>
      </c>
    </row>
    <row r="451" spans="1:27" ht="14.4" hidden="1" customHeight="1" x14ac:dyDescent="0.3">
      <c r="A451" s="4" t="s">
        <v>0</v>
      </c>
      <c r="B451" s="4" t="s">
        <v>17</v>
      </c>
      <c r="C451" s="16" t="s">
        <v>18</v>
      </c>
      <c r="D451" s="4">
        <v>10</v>
      </c>
      <c r="E451" s="4" t="s">
        <v>745</v>
      </c>
      <c r="F451" t="s">
        <v>141</v>
      </c>
      <c r="G451" t="s">
        <v>85</v>
      </c>
      <c r="J451" s="4" t="s">
        <v>88</v>
      </c>
      <c r="K451" s="4" t="s">
        <v>20</v>
      </c>
      <c r="L451" s="4" t="s">
        <v>742</v>
      </c>
      <c r="M451" s="17">
        <v>30</v>
      </c>
      <c r="N451" s="17">
        <v>712</v>
      </c>
      <c r="O451" s="18" t="s">
        <v>88</v>
      </c>
      <c r="P451" s="18">
        <v>712</v>
      </c>
      <c r="Q451" s="18">
        <v>30</v>
      </c>
      <c r="R451" s="18"/>
      <c r="S451" s="18"/>
      <c r="T451" s="18"/>
      <c r="U4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51" s="19">
        <f>IF(AUDITORIA[[#This Row],[CAT]]="",0,1)</f>
        <v>1</v>
      </c>
      <c r="W451" s="20">
        <v>46141</v>
      </c>
      <c r="X451" s="21" t="str">
        <f>UPPER(IF(AUDITORIA[[#This Row],[DATA VERIFICAÇÃO]]="","",TEXT(AUDITORIA[[#This Row],[DATA VERIFICAÇÃO]],"mmm")))</f>
        <v>ABR</v>
      </c>
      <c r="Y451" t="s">
        <v>598</v>
      </c>
      <c r="Z451" t="s">
        <v>691</v>
      </c>
      <c r="AA451" t="s">
        <v>692</v>
      </c>
    </row>
    <row r="452" spans="1:27" ht="14.4" hidden="1" customHeight="1" x14ac:dyDescent="0.3">
      <c r="A452" s="4" t="s">
        <v>0</v>
      </c>
      <c r="B452" s="4" t="s">
        <v>17</v>
      </c>
      <c r="C452" s="16" t="s">
        <v>18</v>
      </c>
      <c r="D452" s="4">
        <v>10</v>
      </c>
      <c r="E452" s="4" t="s">
        <v>745</v>
      </c>
      <c r="F452" t="s">
        <v>140</v>
      </c>
      <c r="G452" t="s">
        <v>85</v>
      </c>
      <c r="J452" s="4" t="s">
        <v>88</v>
      </c>
      <c r="K452" s="4" t="s">
        <v>20</v>
      </c>
      <c r="L452" s="4" t="s">
        <v>742</v>
      </c>
      <c r="M452" s="17">
        <v>30</v>
      </c>
      <c r="N452" s="17">
        <v>710</v>
      </c>
      <c r="O452" s="18" t="s">
        <v>88</v>
      </c>
      <c r="P452" s="18">
        <v>710</v>
      </c>
      <c r="Q452" s="18">
        <v>30</v>
      </c>
      <c r="R452" s="18"/>
      <c r="S452" s="18"/>
      <c r="T452" s="18"/>
      <c r="U4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52" s="19">
        <f>IF(AUDITORIA[[#This Row],[CAT]]="",0,1)</f>
        <v>1</v>
      </c>
      <c r="W452" s="20">
        <v>46141</v>
      </c>
      <c r="X452" s="21" t="str">
        <f>UPPER(IF(AUDITORIA[[#This Row],[DATA VERIFICAÇÃO]]="","",TEXT(AUDITORIA[[#This Row],[DATA VERIFICAÇÃO]],"mmm")))</f>
        <v>ABR</v>
      </c>
      <c r="Y452" t="s">
        <v>598</v>
      </c>
      <c r="Z452" t="s">
        <v>691</v>
      </c>
      <c r="AA452" t="s">
        <v>692</v>
      </c>
    </row>
    <row r="453" spans="1:27" ht="14.4" hidden="1" customHeight="1" x14ac:dyDescent="0.3">
      <c r="A453" s="4" t="s">
        <v>0</v>
      </c>
      <c r="B453" s="4" t="s">
        <v>17</v>
      </c>
      <c r="C453" s="16" t="s">
        <v>18</v>
      </c>
      <c r="D453" s="4">
        <v>10</v>
      </c>
      <c r="E453" s="4" t="s">
        <v>745</v>
      </c>
      <c r="F453" t="s">
        <v>138</v>
      </c>
      <c r="G453" t="s">
        <v>85</v>
      </c>
      <c r="J453" s="4" t="s">
        <v>88</v>
      </c>
      <c r="K453" s="4" t="s">
        <v>20</v>
      </c>
      <c r="L453" s="4" t="s">
        <v>742</v>
      </c>
      <c r="M453" s="17">
        <v>30</v>
      </c>
      <c r="N453" s="17">
        <v>713</v>
      </c>
      <c r="O453" s="18" t="s">
        <v>88</v>
      </c>
      <c r="P453" s="18">
        <v>713</v>
      </c>
      <c r="Q453" s="18">
        <v>30</v>
      </c>
      <c r="R453" s="18"/>
      <c r="S453" s="18"/>
      <c r="T453" s="18"/>
      <c r="U4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53" s="19">
        <f>IF(AUDITORIA[[#This Row],[CAT]]="",0,1)</f>
        <v>1</v>
      </c>
      <c r="W453" s="20">
        <v>46141</v>
      </c>
      <c r="X453" s="21" t="str">
        <f>UPPER(IF(AUDITORIA[[#This Row],[DATA VERIFICAÇÃO]]="","",TEXT(AUDITORIA[[#This Row],[DATA VERIFICAÇÃO]],"mmm")))</f>
        <v>ABR</v>
      </c>
      <c r="Y453" t="s">
        <v>598</v>
      </c>
      <c r="Z453" t="s">
        <v>691</v>
      </c>
      <c r="AA453" t="s">
        <v>692</v>
      </c>
    </row>
    <row r="454" spans="1:27" ht="14.4" hidden="1" customHeight="1" x14ac:dyDescent="0.3">
      <c r="A454" s="4" t="s">
        <v>0</v>
      </c>
      <c r="B454" s="4" t="s">
        <v>17</v>
      </c>
      <c r="C454" s="16" t="s">
        <v>18</v>
      </c>
      <c r="D454" s="4">
        <v>10</v>
      </c>
      <c r="E454" s="4" t="s">
        <v>745</v>
      </c>
      <c r="F454" t="s">
        <v>136</v>
      </c>
      <c r="G454" t="s">
        <v>85</v>
      </c>
      <c r="J454" s="4" t="s">
        <v>88</v>
      </c>
      <c r="K454" s="4" t="s">
        <v>20</v>
      </c>
      <c r="L454" s="4" t="s">
        <v>742</v>
      </c>
      <c r="M454" s="17">
        <v>30</v>
      </c>
      <c r="N454" s="17">
        <v>723</v>
      </c>
      <c r="O454" s="18" t="s">
        <v>88</v>
      </c>
      <c r="P454" s="18">
        <v>723</v>
      </c>
      <c r="Q454" s="18">
        <v>30</v>
      </c>
      <c r="R454" s="18"/>
      <c r="S454" s="18"/>
      <c r="T454" s="18"/>
      <c r="U4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54" s="19">
        <f>IF(AUDITORIA[[#This Row],[CAT]]="",0,1)</f>
        <v>1</v>
      </c>
      <c r="W454" s="20">
        <v>46141</v>
      </c>
      <c r="X454" s="21" t="str">
        <f>UPPER(IF(AUDITORIA[[#This Row],[DATA VERIFICAÇÃO]]="","",TEXT(AUDITORIA[[#This Row],[DATA VERIFICAÇÃO]],"mmm")))</f>
        <v>ABR</v>
      </c>
      <c r="Y454" t="s">
        <v>598</v>
      </c>
      <c r="Z454" t="s">
        <v>691</v>
      </c>
      <c r="AA454" t="s">
        <v>692</v>
      </c>
    </row>
    <row r="455" spans="1:27" ht="14.4" hidden="1" customHeight="1" x14ac:dyDescent="0.3">
      <c r="A455" s="4" t="s">
        <v>0</v>
      </c>
      <c r="B455" s="4" t="s">
        <v>17</v>
      </c>
      <c r="C455" s="16" t="s">
        <v>18</v>
      </c>
      <c r="D455" s="4">
        <v>10</v>
      </c>
      <c r="E455" s="4" t="s">
        <v>745</v>
      </c>
      <c r="F455" t="s">
        <v>134</v>
      </c>
      <c r="G455" t="s">
        <v>85</v>
      </c>
      <c r="J455" s="4" t="s">
        <v>88</v>
      </c>
      <c r="K455" s="4" t="s">
        <v>20</v>
      </c>
      <c r="L455" s="4" t="s">
        <v>742</v>
      </c>
      <c r="M455" s="17">
        <v>30</v>
      </c>
      <c r="N455" s="17">
        <v>705</v>
      </c>
      <c r="O455" s="18" t="s">
        <v>88</v>
      </c>
      <c r="P455" s="18">
        <v>705</v>
      </c>
      <c r="Q455" s="18">
        <v>30</v>
      </c>
      <c r="R455" s="18"/>
      <c r="S455" s="18"/>
      <c r="T455" s="18"/>
      <c r="U4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55" s="19">
        <f>IF(AUDITORIA[[#This Row],[CAT]]="",0,1)</f>
        <v>1</v>
      </c>
      <c r="W455" s="20">
        <v>46141</v>
      </c>
      <c r="X455" s="21" t="str">
        <f>UPPER(IF(AUDITORIA[[#This Row],[DATA VERIFICAÇÃO]]="","",TEXT(AUDITORIA[[#This Row],[DATA VERIFICAÇÃO]],"mmm")))</f>
        <v>ABR</v>
      </c>
      <c r="Y455" t="s">
        <v>598</v>
      </c>
      <c r="Z455" t="s">
        <v>691</v>
      </c>
      <c r="AA455" t="s">
        <v>692</v>
      </c>
    </row>
    <row r="456" spans="1:27" ht="14.4" hidden="1" customHeight="1" x14ac:dyDescent="0.3">
      <c r="A456" s="4" t="s">
        <v>0</v>
      </c>
      <c r="B456" s="4" t="s">
        <v>17</v>
      </c>
      <c r="C456" s="16" t="s">
        <v>18</v>
      </c>
      <c r="D456" s="4">
        <v>10</v>
      </c>
      <c r="E456" s="4" t="s">
        <v>745</v>
      </c>
      <c r="F456" t="s">
        <v>133</v>
      </c>
      <c r="G456" t="s">
        <v>85</v>
      </c>
      <c r="J456" s="4" t="s">
        <v>88</v>
      </c>
      <c r="K456" s="4" t="s">
        <v>20</v>
      </c>
      <c r="L456" s="4" t="s">
        <v>742</v>
      </c>
      <c r="M456" s="17">
        <v>30</v>
      </c>
      <c r="N456" s="17">
        <v>697</v>
      </c>
      <c r="O456" s="18" t="s">
        <v>88</v>
      </c>
      <c r="P456" s="18">
        <v>697</v>
      </c>
      <c r="Q456" s="18">
        <v>30</v>
      </c>
      <c r="R456" s="18"/>
      <c r="S456" s="18"/>
      <c r="T456" s="18"/>
      <c r="U4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56" s="19">
        <f>IF(AUDITORIA[[#This Row],[CAT]]="",0,1)</f>
        <v>1</v>
      </c>
      <c r="W456" s="20">
        <v>46141</v>
      </c>
      <c r="X456" s="21" t="str">
        <f>UPPER(IF(AUDITORIA[[#This Row],[DATA VERIFICAÇÃO]]="","",TEXT(AUDITORIA[[#This Row],[DATA VERIFICAÇÃO]],"mmm")))</f>
        <v>ABR</v>
      </c>
      <c r="Y456" t="s">
        <v>598</v>
      </c>
      <c r="Z456" t="s">
        <v>691</v>
      </c>
      <c r="AA456" t="s">
        <v>692</v>
      </c>
    </row>
    <row r="457" spans="1:27" ht="14.4" hidden="1" customHeight="1" x14ac:dyDescent="0.3">
      <c r="A457" s="4" t="s">
        <v>0</v>
      </c>
      <c r="B457" s="4" t="s">
        <v>17</v>
      </c>
      <c r="C457" s="16" t="s">
        <v>18</v>
      </c>
      <c r="D457" s="4">
        <v>10</v>
      </c>
      <c r="E457" s="4" t="s">
        <v>745</v>
      </c>
      <c r="F457" t="s">
        <v>132</v>
      </c>
      <c r="G457" t="s">
        <v>85</v>
      </c>
      <c r="J457" s="4" t="s">
        <v>88</v>
      </c>
      <c r="K457" s="4" t="s">
        <v>20</v>
      </c>
      <c r="L457" s="4" t="s">
        <v>742</v>
      </c>
      <c r="M457" s="17">
        <v>30</v>
      </c>
      <c r="N457" s="17">
        <v>708</v>
      </c>
      <c r="O457" s="18" t="s">
        <v>88</v>
      </c>
      <c r="P457" s="18">
        <v>708</v>
      </c>
      <c r="Q457" s="18">
        <v>30</v>
      </c>
      <c r="R457" s="18"/>
      <c r="S457" s="18"/>
      <c r="T457" s="18"/>
      <c r="U4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57" s="19">
        <f>IF(AUDITORIA[[#This Row],[CAT]]="",0,1)</f>
        <v>1</v>
      </c>
      <c r="W457" s="20">
        <v>46141</v>
      </c>
      <c r="X457" s="21" t="str">
        <f>UPPER(IF(AUDITORIA[[#This Row],[DATA VERIFICAÇÃO]]="","",TEXT(AUDITORIA[[#This Row],[DATA VERIFICAÇÃO]],"mmm")))</f>
        <v>ABR</v>
      </c>
      <c r="Y457" t="s">
        <v>598</v>
      </c>
      <c r="Z457" t="s">
        <v>691</v>
      </c>
      <c r="AA457" t="s">
        <v>692</v>
      </c>
    </row>
    <row r="458" spans="1:27" ht="14.4" hidden="1" customHeight="1" x14ac:dyDescent="0.3">
      <c r="A458" s="4" t="s">
        <v>0</v>
      </c>
      <c r="B458" s="4" t="s">
        <v>17</v>
      </c>
      <c r="C458" s="16" t="s">
        <v>18</v>
      </c>
      <c r="D458" s="4">
        <v>10</v>
      </c>
      <c r="E458" s="4" t="s">
        <v>745</v>
      </c>
      <c r="F458" t="s">
        <v>131</v>
      </c>
      <c r="G458" t="s">
        <v>85</v>
      </c>
      <c r="J458" s="4" t="s">
        <v>88</v>
      </c>
      <c r="K458" s="4" t="s">
        <v>20</v>
      </c>
      <c r="L458" s="4" t="s">
        <v>742</v>
      </c>
      <c r="M458" s="17">
        <v>30</v>
      </c>
      <c r="N458" s="17">
        <v>683</v>
      </c>
      <c r="O458" s="18" t="s">
        <v>88</v>
      </c>
      <c r="P458" s="18">
        <v>683</v>
      </c>
      <c r="Q458" s="18">
        <v>30</v>
      </c>
      <c r="R458" s="18"/>
      <c r="S458" s="18"/>
      <c r="T458" s="18"/>
      <c r="U4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58" s="19">
        <f>IF(AUDITORIA[[#This Row],[CAT]]="",0,1)</f>
        <v>1</v>
      </c>
      <c r="W458" s="20">
        <v>46141</v>
      </c>
      <c r="X458" s="21" t="str">
        <f>UPPER(IF(AUDITORIA[[#This Row],[DATA VERIFICAÇÃO]]="","",TEXT(AUDITORIA[[#This Row],[DATA VERIFICAÇÃO]],"mmm")))</f>
        <v>ABR</v>
      </c>
      <c r="Y458" t="s">
        <v>598</v>
      </c>
      <c r="Z458" t="s">
        <v>691</v>
      </c>
      <c r="AA458" t="s">
        <v>692</v>
      </c>
    </row>
    <row r="459" spans="1:27" ht="14.4" hidden="1" customHeight="1" x14ac:dyDescent="0.3">
      <c r="A459" s="4" t="s">
        <v>0</v>
      </c>
      <c r="B459" s="4" t="s">
        <v>17</v>
      </c>
      <c r="C459" s="16" t="s">
        <v>18</v>
      </c>
      <c r="D459" s="4">
        <v>10</v>
      </c>
      <c r="E459" s="4" t="s">
        <v>745</v>
      </c>
      <c r="F459" t="s">
        <v>129</v>
      </c>
      <c r="G459" t="s">
        <v>85</v>
      </c>
      <c r="J459" s="4" t="s">
        <v>88</v>
      </c>
      <c r="K459" s="4" t="s">
        <v>20</v>
      </c>
      <c r="L459" s="4" t="s">
        <v>742</v>
      </c>
      <c r="M459" s="17">
        <v>30</v>
      </c>
      <c r="N459" s="17">
        <v>690</v>
      </c>
      <c r="O459" s="18" t="s">
        <v>88</v>
      </c>
      <c r="P459" s="18">
        <v>690</v>
      </c>
      <c r="Q459" s="18">
        <v>30</v>
      </c>
      <c r="R459" s="18"/>
      <c r="S459" s="18"/>
      <c r="T459" s="18"/>
      <c r="U4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59" s="19">
        <f>IF(AUDITORIA[[#This Row],[CAT]]="",0,1)</f>
        <v>1</v>
      </c>
      <c r="W459" s="20">
        <v>46141</v>
      </c>
      <c r="X459" s="21" t="str">
        <f>UPPER(IF(AUDITORIA[[#This Row],[DATA VERIFICAÇÃO]]="","",TEXT(AUDITORIA[[#This Row],[DATA VERIFICAÇÃO]],"mmm")))</f>
        <v>ABR</v>
      </c>
      <c r="Y459" t="s">
        <v>598</v>
      </c>
      <c r="Z459" t="s">
        <v>691</v>
      </c>
      <c r="AA459" t="s">
        <v>692</v>
      </c>
    </row>
    <row r="460" spans="1:27" ht="14.4" hidden="1" customHeight="1" x14ac:dyDescent="0.3">
      <c r="A460" s="4" t="s">
        <v>0</v>
      </c>
      <c r="B460" s="4" t="s">
        <v>17</v>
      </c>
      <c r="C460" s="16" t="s">
        <v>18</v>
      </c>
      <c r="D460" s="4">
        <v>10</v>
      </c>
      <c r="E460" s="4" t="s">
        <v>745</v>
      </c>
      <c r="F460" t="s">
        <v>128</v>
      </c>
      <c r="G460" t="s">
        <v>85</v>
      </c>
      <c r="J460" s="4" t="s">
        <v>88</v>
      </c>
      <c r="K460" s="4" t="s">
        <v>20</v>
      </c>
      <c r="L460" s="4" t="s">
        <v>742</v>
      </c>
      <c r="M460" s="17">
        <v>30</v>
      </c>
      <c r="N460" s="17">
        <v>704</v>
      </c>
      <c r="O460" s="18" t="s">
        <v>88</v>
      </c>
      <c r="P460" s="18">
        <v>704</v>
      </c>
      <c r="Q460" s="18">
        <v>30</v>
      </c>
      <c r="R460" s="18"/>
      <c r="S460" s="18"/>
      <c r="T460" s="18"/>
      <c r="U4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60" s="19">
        <f>IF(AUDITORIA[[#This Row],[CAT]]="",0,1)</f>
        <v>1</v>
      </c>
      <c r="W460" s="20">
        <v>46141</v>
      </c>
      <c r="X460" s="21" t="str">
        <f>UPPER(IF(AUDITORIA[[#This Row],[DATA VERIFICAÇÃO]]="","",TEXT(AUDITORIA[[#This Row],[DATA VERIFICAÇÃO]],"mmm")))</f>
        <v>ABR</v>
      </c>
      <c r="Y460" t="s">
        <v>598</v>
      </c>
      <c r="Z460" t="s">
        <v>691</v>
      </c>
      <c r="AA460" t="s">
        <v>692</v>
      </c>
    </row>
    <row r="461" spans="1:27" ht="14.4" hidden="1" customHeight="1" x14ac:dyDescent="0.3">
      <c r="A461" s="4" t="s">
        <v>0</v>
      </c>
      <c r="B461" s="4" t="s">
        <v>17</v>
      </c>
      <c r="C461" s="16" t="s">
        <v>18</v>
      </c>
      <c r="D461" s="4">
        <v>10</v>
      </c>
      <c r="E461" s="4" t="s">
        <v>745</v>
      </c>
      <c r="F461" t="s">
        <v>127</v>
      </c>
      <c r="G461" t="s">
        <v>85</v>
      </c>
      <c r="J461" s="4" t="s">
        <v>88</v>
      </c>
      <c r="K461" s="4" t="s">
        <v>20</v>
      </c>
      <c r="L461" s="4" t="s">
        <v>742</v>
      </c>
      <c r="M461" s="17">
        <v>22</v>
      </c>
      <c r="N461" s="17">
        <v>705</v>
      </c>
      <c r="O461" s="18" t="s">
        <v>88</v>
      </c>
      <c r="P461" s="18">
        <v>705</v>
      </c>
      <c r="Q461" s="18">
        <v>22</v>
      </c>
      <c r="R461" s="18"/>
      <c r="S461" s="18"/>
      <c r="T461" s="18"/>
      <c r="U4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61" s="19">
        <f>IF(AUDITORIA[[#This Row],[CAT]]="",0,1)</f>
        <v>1</v>
      </c>
      <c r="W461" s="20">
        <v>46141</v>
      </c>
      <c r="X461" s="21" t="str">
        <f>UPPER(IF(AUDITORIA[[#This Row],[DATA VERIFICAÇÃO]]="","",TEXT(AUDITORIA[[#This Row],[DATA VERIFICAÇÃO]],"mmm")))</f>
        <v>ABR</v>
      </c>
      <c r="Y461" t="s">
        <v>598</v>
      </c>
      <c r="Z461" t="s">
        <v>691</v>
      </c>
      <c r="AA461" t="s">
        <v>692</v>
      </c>
    </row>
    <row r="462" spans="1:27" ht="14.4" hidden="1" customHeight="1" x14ac:dyDescent="0.3">
      <c r="A462" s="4" t="s">
        <v>0</v>
      </c>
      <c r="B462" s="4" t="s">
        <v>17</v>
      </c>
      <c r="C462" s="16" t="s">
        <v>18</v>
      </c>
      <c r="D462" s="4">
        <v>10</v>
      </c>
      <c r="E462" s="4" t="s">
        <v>745</v>
      </c>
      <c r="F462" t="s">
        <v>104</v>
      </c>
      <c r="G462" t="s">
        <v>85</v>
      </c>
      <c r="J462" s="4" t="s">
        <v>88</v>
      </c>
      <c r="K462" s="4" t="s">
        <v>20</v>
      </c>
      <c r="L462" s="4" t="s">
        <v>742</v>
      </c>
      <c r="M462" s="17">
        <v>30</v>
      </c>
      <c r="N462" s="17">
        <v>735</v>
      </c>
      <c r="O462" s="18" t="s">
        <v>88</v>
      </c>
      <c r="P462" s="18">
        <v>735</v>
      </c>
      <c r="Q462" s="18">
        <v>30</v>
      </c>
      <c r="R462" s="18"/>
      <c r="S462" s="18"/>
      <c r="T462" s="18"/>
      <c r="U4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62" s="19">
        <f>IF(AUDITORIA[[#This Row],[CAT]]="",0,1)</f>
        <v>1</v>
      </c>
      <c r="W462" s="20">
        <v>46141</v>
      </c>
      <c r="X462" s="21" t="str">
        <f>UPPER(IF(AUDITORIA[[#This Row],[DATA VERIFICAÇÃO]]="","",TEXT(AUDITORIA[[#This Row],[DATA VERIFICAÇÃO]],"mmm")))</f>
        <v>ABR</v>
      </c>
      <c r="Y462" t="s">
        <v>598</v>
      </c>
      <c r="Z462" t="s">
        <v>691</v>
      </c>
      <c r="AA462" t="s">
        <v>692</v>
      </c>
    </row>
    <row r="463" spans="1:27" ht="14.4" hidden="1" customHeight="1" x14ac:dyDescent="0.3">
      <c r="A463" s="4" t="s">
        <v>0</v>
      </c>
      <c r="B463" s="4" t="s">
        <v>17</v>
      </c>
      <c r="C463" s="16" t="s">
        <v>18</v>
      </c>
      <c r="D463" s="4">
        <v>10</v>
      </c>
      <c r="E463" s="4" t="s">
        <v>745</v>
      </c>
      <c r="F463" t="s">
        <v>102</v>
      </c>
      <c r="G463" t="s">
        <v>85</v>
      </c>
      <c r="J463" s="4" t="s">
        <v>88</v>
      </c>
      <c r="K463" s="4" t="s">
        <v>20</v>
      </c>
      <c r="L463" s="4" t="s">
        <v>742</v>
      </c>
      <c r="M463" s="17">
        <v>30</v>
      </c>
      <c r="N463" s="17">
        <v>732</v>
      </c>
      <c r="O463" s="18" t="s">
        <v>88</v>
      </c>
      <c r="P463" s="18">
        <v>732</v>
      </c>
      <c r="Q463" s="18">
        <v>30</v>
      </c>
      <c r="R463" s="18"/>
      <c r="S463" s="18"/>
      <c r="T463" s="18"/>
      <c r="U4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63" s="19">
        <f>IF(AUDITORIA[[#This Row],[CAT]]="",0,1)</f>
        <v>1</v>
      </c>
      <c r="W463" s="20">
        <v>46141</v>
      </c>
      <c r="X463" s="21" t="str">
        <f>UPPER(IF(AUDITORIA[[#This Row],[DATA VERIFICAÇÃO]]="","",TEXT(AUDITORIA[[#This Row],[DATA VERIFICAÇÃO]],"mmm")))</f>
        <v>ABR</v>
      </c>
      <c r="Y463" t="s">
        <v>598</v>
      </c>
      <c r="Z463" t="s">
        <v>691</v>
      </c>
      <c r="AA463" t="s">
        <v>692</v>
      </c>
    </row>
    <row r="464" spans="1:27" ht="14.4" hidden="1" customHeight="1" x14ac:dyDescent="0.3">
      <c r="A464" s="4" t="s">
        <v>0</v>
      </c>
      <c r="B464" s="4" t="s">
        <v>17</v>
      </c>
      <c r="C464" s="16" t="s">
        <v>18</v>
      </c>
      <c r="D464" s="4">
        <v>10</v>
      </c>
      <c r="E464" s="4" t="s">
        <v>745</v>
      </c>
      <c r="F464" t="s">
        <v>100</v>
      </c>
      <c r="G464" t="s">
        <v>85</v>
      </c>
      <c r="J464" s="4" t="s">
        <v>88</v>
      </c>
      <c r="K464" s="4" t="s">
        <v>20</v>
      </c>
      <c r="L464" s="4" t="s">
        <v>742</v>
      </c>
      <c r="M464" s="17">
        <v>30</v>
      </c>
      <c r="N464" s="17">
        <v>716</v>
      </c>
      <c r="O464" s="18" t="s">
        <v>88</v>
      </c>
      <c r="P464" s="18">
        <v>716</v>
      </c>
      <c r="Q464" s="18">
        <v>30</v>
      </c>
      <c r="R464" s="18"/>
      <c r="S464" s="18"/>
      <c r="T464" s="18"/>
      <c r="U4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64" s="19">
        <f>IF(AUDITORIA[[#This Row],[CAT]]="",0,1)</f>
        <v>1</v>
      </c>
      <c r="W464" s="20">
        <v>46141</v>
      </c>
      <c r="X464" s="21" t="str">
        <f>UPPER(IF(AUDITORIA[[#This Row],[DATA VERIFICAÇÃO]]="","",TEXT(AUDITORIA[[#This Row],[DATA VERIFICAÇÃO]],"mmm")))</f>
        <v>ABR</v>
      </c>
      <c r="Y464" t="s">
        <v>598</v>
      </c>
      <c r="Z464" t="s">
        <v>691</v>
      </c>
      <c r="AA464" t="s">
        <v>692</v>
      </c>
    </row>
    <row r="465" spans="1:27" ht="14.4" hidden="1" customHeight="1" x14ac:dyDescent="0.3">
      <c r="A465" s="4" t="s">
        <v>0</v>
      </c>
      <c r="B465" s="4" t="s">
        <v>17</v>
      </c>
      <c r="C465" s="16" t="s">
        <v>18</v>
      </c>
      <c r="D465" s="4">
        <v>10</v>
      </c>
      <c r="E465" s="4" t="s">
        <v>745</v>
      </c>
      <c r="F465" t="s">
        <v>99</v>
      </c>
      <c r="G465" t="s">
        <v>85</v>
      </c>
      <c r="J465" s="4" t="s">
        <v>88</v>
      </c>
      <c r="K465" s="4" t="s">
        <v>20</v>
      </c>
      <c r="L465" s="4" t="s">
        <v>742</v>
      </c>
      <c r="M465" s="17">
        <v>30</v>
      </c>
      <c r="N465" s="17">
        <v>741</v>
      </c>
      <c r="O465" s="18" t="s">
        <v>88</v>
      </c>
      <c r="P465" s="18">
        <v>741</v>
      </c>
      <c r="Q465" s="18">
        <v>30</v>
      </c>
      <c r="R465" s="18"/>
      <c r="S465" s="18"/>
      <c r="T465" s="18"/>
      <c r="U4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65" s="19">
        <f>IF(AUDITORIA[[#This Row],[CAT]]="",0,1)</f>
        <v>1</v>
      </c>
      <c r="W465" s="20">
        <v>46141</v>
      </c>
      <c r="X465" s="21" t="str">
        <f>UPPER(IF(AUDITORIA[[#This Row],[DATA VERIFICAÇÃO]]="","",TEXT(AUDITORIA[[#This Row],[DATA VERIFICAÇÃO]],"mmm")))</f>
        <v>ABR</v>
      </c>
      <c r="Y465" t="s">
        <v>598</v>
      </c>
      <c r="Z465" t="s">
        <v>691</v>
      </c>
      <c r="AA465" t="s">
        <v>692</v>
      </c>
    </row>
    <row r="466" spans="1:27" ht="14.4" hidden="1" customHeight="1" x14ac:dyDescent="0.3">
      <c r="A466" s="4" t="s">
        <v>0</v>
      </c>
      <c r="B466" s="4" t="s">
        <v>17</v>
      </c>
      <c r="C466" s="16" t="s">
        <v>18</v>
      </c>
      <c r="D466" s="4">
        <v>10</v>
      </c>
      <c r="E466" s="4" t="s">
        <v>745</v>
      </c>
      <c r="F466" t="s">
        <v>97</v>
      </c>
      <c r="G466" t="s">
        <v>85</v>
      </c>
      <c r="J466" s="4" t="s">
        <v>88</v>
      </c>
      <c r="K466" s="4" t="s">
        <v>20</v>
      </c>
      <c r="L466" s="4" t="s">
        <v>742</v>
      </c>
      <c r="M466" s="17">
        <v>30</v>
      </c>
      <c r="N466" s="17">
        <v>732</v>
      </c>
      <c r="O466" s="18" t="s">
        <v>88</v>
      </c>
      <c r="P466" s="18">
        <v>732</v>
      </c>
      <c r="Q466" s="18">
        <v>30</v>
      </c>
      <c r="R466" s="18"/>
      <c r="S466" s="18"/>
      <c r="T466" s="18"/>
      <c r="U4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66" s="19">
        <f>IF(AUDITORIA[[#This Row],[CAT]]="",0,1)</f>
        <v>1</v>
      </c>
      <c r="W466" s="20">
        <v>46141</v>
      </c>
      <c r="X466" s="21" t="str">
        <f>UPPER(IF(AUDITORIA[[#This Row],[DATA VERIFICAÇÃO]]="","",TEXT(AUDITORIA[[#This Row],[DATA VERIFICAÇÃO]],"mmm")))</f>
        <v>ABR</v>
      </c>
      <c r="Y466" t="s">
        <v>598</v>
      </c>
      <c r="Z466" t="s">
        <v>691</v>
      </c>
      <c r="AA466" t="s">
        <v>692</v>
      </c>
    </row>
    <row r="467" spans="1:27" ht="14.4" hidden="1" customHeight="1" x14ac:dyDescent="0.3">
      <c r="A467" s="4" t="s">
        <v>0</v>
      </c>
      <c r="B467" s="4" t="s">
        <v>17</v>
      </c>
      <c r="C467" s="16" t="s">
        <v>18</v>
      </c>
      <c r="D467" s="4">
        <v>10</v>
      </c>
      <c r="E467" s="4" t="s">
        <v>745</v>
      </c>
      <c r="F467" t="s">
        <v>94</v>
      </c>
      <c r="G467" t="s">
        <v>85</v>
      </c>
      <c r="J467" s="4" t="s">
        <v>88</v>
      </c>
      <c r="K467" s="4" t="s">
        <v>20</v>
      </c>
      <c r="L467" s="4" t="s">
        <v>742</v>
      </c>
      <c r="M467" s="17">
        <v>30</v>
      </c>
      <c r="N467" s="17">
        <v>742</v>
      </c>
      <c r="O467" s="18" t="s">
        <v>88</v>
      </c>
      <c r="P467" s="18">
        <v>742</v>
      </c>
      <c r="Q467" s="18">
        <v>30</v>
      </c>
      <c r="R467" s="18"/>
      <c r="S467" s="18"/>
      <c r="T467" s="18"/>
      <c r="U4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67" s="19">
        <f>IF(AUDITORIA[[#This Row],[CAT]]="",0,1)</f>
        <v>1</v>
      </c>
      <c r="W467" s="20">
        <v>46141</v>
      </c>
      <c r="X467" s="21" t="str">
        <f>UPPER(IF(AUDITORIA[[#This Row],[DATA VERIFICAÇÃO]]="","",TEXT(AUDITORIA[[#This Row],[DATA VERIFICAÇÃO]],"mmm")))</f>
        <v>ABR</v>
      </c>
      <c r="Y467" t="s">
        <v>598</v>
      </c>
      <c r="Z467" t="s">
        <v>691</v>
      </c>
      <c r="AA467" t="s">
        <v>692</v>
      </c>
    </row>
    <row r="468" spans="1:27" ht="14.4" hidden="1" customHeight="1" x14ac:dyDescent="0.3">
      <c r="A468" s="4" t="s">
        <v>0</v>
      </c>
      <c r="B468" s="4" t="s">
        <v>17</v>
      </c>
      <c r="C468" s="16" t="s">
        <v>18</v>
      </c>
      <c r="D468" s="4">
        <v>10</v>
      </c>
      <c r="E468" s="4" t="s">
        <v>745</v>
      </c>
      <c r="F468" t="s">
        <v>92</v>
      </c>
      <c r="G468" t="s">
        <v>85</v>
      </c>
      <c r="J468" s="4" t="s">
        <v>88</v>
      </c>
      <c r="K468" s="4" t="s">
        <v>20</v>
      </c>
      <c r="L468" s="4" t="s">
        <v>742</v>
      </c>
      <c r="M468" s="17">
        <v>30</v>
      </c>
      <c r="N468" s="17">
        <v>734</v>
      </c>
      <c r="O468" s="18" t="s">
        <v>88</v>
      </c>
      <c r="P468" s="18">
        <v>734</v>
      </c>
      <c r="Q468" s="18">
        <v>30</v>
      </c>
      <c r="R468" s="18"/>
      <c r="S468" s="18"/>
      <c r="T468" s="18"/>
      <c r="U4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68" s="19">
        <f>IF(AUDITORIA[[#This Row],[CAT]]="",0,1)</f>
        <v>1</v>
      </c>
      <c r="W468" s="20">
        <v>46141</v>
      </c>
      <c r="X468" s="21" t="str">
        <f>UPPER(IF(AUDITORIA[[#This Row],[DATA VERIFICAÇÃO]]="","",TEXT(AUDITORIA[[#This Row],[DATA VERIFICAÇÃO]],"mmm")))</f>
        <v>ABR</v>
      </c>
      <c r="Y468" t="s">
        <v>598</v>
      </c>
      <c r="Z468" t="s">
        <v>691</v>
      </c>
      <c r="AA468" t="s">
        <v>692</v>
      </c>
    </row>
    <row r="469" spans="1:27" ht="14.4" hidden="1" customHeight="1" x14ac:dyDescent="0.3">
      <c r="A469" s="4" t="s">
        <v>0</v>
      </c>
      <c r="B469" s="4" t="s">
        <v>17</v>
      </c>
      <c r="C469" s="16" t="s">
        <v>18</v>
      </c>
      <c r="D469" s="4">
        <v>10</v>
      </c>
      <c r="E469" s="4" t="s">
        <v>745</v>
      </c>
      <c r="F469" t="s">
        <v>91</v>
      </c>
      <c r="G469" t="s">
        <v>85</v>
      </c>
      <c r="J469" s="4" t="s">
        <v>88</v>
      </c>
      <c r="K469" s="4" t="s">
        <v>20</v>
      </c>
      <c r="L469" s="4" t="s">
        <v>742</v>
      </c>
      <c r="M469" s="17">
        <v>30</v>
      </c>
      <c r="N469" s="17">
        <v>738</v>
      </c>
      <c r="O469" s="18" t="s">
        <v>88</v>
      </c>
      <c r="P469" s="18">
        <v>738</v>
      </c>
      <c r="Q469" s="18">
        <v>30</v>
      </c>
      <c r="R469" s="18"/>
      <c r="S469" s="18"/>
      <c r="T469" s="18"/>
      <c r="U4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69" s="19">
        <f>IF(AUDITORIA[[#This Row],[CAT]]="",0,1)</f>
        <v>1</v>
      </c>
      <c r="W469" s="20">
        <v>46141</v>
      </c>
      <c r="X469" s="21" t="str">
        <f>UPPER(IF(AUDITORIA[[#This Row],[DATA VERIFICAÇÃO]]="","",TEXT(AUDITORIA[[#This Row],[DATA VERIFICAÇÃO]],"mmm")))</f>
        <v>ABR</v>
      </c>
      <c r="Y469" t="s">
        <v>598</v>
      </c>
      <c r="Z469" t="s">
        <v>691</v>
      </c>
      <c r="AA469" t="s">
        <v>692</v>
      </c>
    </row>
    <row r="470" spans="1:27" ht="14.4" hidden="1" customHeight="1" x14ac:dyDescent="0.3">
      <c r="A470" s="4" t="s">
        <v>0</v>
      </c>
      <c r="B470" s="4" t="s">
        <v>17</v>
      </c>
      <c r="C470" s="16" t="s">
        <v>18</v>
      </c>
      <c r="D470" s="4">
        <v>10</v>
      </c>
      <c r="E470" s="4" t="s">
        <v>745</v>
      </c>
      <c r="F470" t="s">
        <v>84</v>
      </c>
      <c r="G470" t="s">
        <v>85</v>
      </c>
      <c r="J470" s="4" t="s">
        <v>88</v>
      </c>
      <c r="K470" s="4" t="s">
        <v>20</v>
      </c>
      <c r="L470" s="4" t="s">
        <v>742</v>
      </c>
      <c r="M470" s="17">
        <v>24</v>
      </c>
      <c r="N470" s="17">
        <v>743</v>
      </c>
      <c r="O470" s="18" t="s">
        <v>88</v>
      </c>
      <c r="P470" s="18">
        <v>743</v>
      </c>
      <c r="Q470" s="18">
        <v>24</v>
      </c>
      <c r="R470" s="18"/>
      <c r="S470" s="18"/>
      <c r="T470" s="18"/>
      <c r="U4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70" s="19">
        <f>IF(AUDITORIA[[#This Row],[CAT]]="",0,1)</f>
        <v>1</v>
      </c>
      <c r="W470" s="20">
        <v>46141</v>
      </c>
      <c r="X470" s="21" t="str">
        <f>UPPER(IF(AUDITORIA[[#This Row],[DATA VERIFICAÇÃO]]="","",TEXT(AUDITORIA[[#This Row],[DATA VERIFICAÇÃO]],"mmm")))</f>
        <v>ABR</v>
      </c>
      <c r="Y470" t="s">
        <v>598</v>
      </c>
      <c r="Z470" t="s">
        <v>691</v>
      </c>
      <c r="AA470" t="s">
        <v>692</v>
      </c>
    </row>
    <row r="471" spans="1:27" ht="14.4" hidden="1" customHeight="1" x14ac:dyDescent="0.3">
      <c r="A471" s="4" t="s">
        <v>0</v>
      </c>
      <c r="B471" s="4" t="s">
        <v>17</v>
      </c>
      <c r="C471" s="16" t="s">
        <v>18</v>
      </c>
      <c r="D471" s="4">
        <v>10</v>
      </c>
      <c r="E471" s="4" t="s">
        <v>745</v>
      </c>
      <c r="F471" t="s">
        <v>231</v>
      </c>
      <c r="G471" t="s">
        <v>85</v>
      </c>
      <c r="J471" s="4" t="s">
        <v>88</v>
      </c>
      <c r="K471" s="4" t="s">
        <v>21</v>
      </c>
      <c r="L471" s="4" t="s">
        <v>742</v>
      </c>
      <c r="M471" s="17">
        <v>30</v>
      </c>
      <c r="N471" s="17">
        <v>834</v>
      </c>
      <c r="O471" s="18" t="s">
        <v>88</v>
      </c>
      <c r="P471" s="18">
        <v>834</v>
      </c>
      <c r="Q471" s="18">
        <v>30</v>
      </c>
      <c r="R471" s="18"/>
      <c r="S471" s="18"/>
      <c r="T471" s="18"/>
      <c r="U4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71" s="19">
        <f>IF(AUDITORIA[[#This Row],[CAT]]="",0,1)</f>
        <v>1</v>
      </c>
      <c r="W471" s="20">
        <v>46141</v>
      </c>
      <c r="X471" s="21" t="str">
        <f>UPPER(IF(AUDITORIA[[#This Row],[DATA VERIFICAÇÃO]]="","",TEXT(AUDITORIA[[#This Row],[DATA VERIFICAÇÃO]],"mmm")))</f>
        <v>ABR</v>
      </c>
      <c r="Y471" t="s">
        <v>598</v>
      </c>
      <c r="Z471" t="s">
        <v>691</v>
      </c>
      <c r="AA471" t="s">
        <v>692</v>
      </c>
    </row>
    <row r="472" spans="1:27" ht="14.4" hidden="1" customHeight="1" x14ac:dyDescent="0.3">
      <c r="A472" s="4" t="s">
        <v>0</v>
      </c>
      <c r="B472" s="4" t="s">
        <v>17</v>
      </c>
      <c r="C472" s="16" t="s">
        <v>18</v>
      </c>
      <c r="D472" s="4">
        <v>10</v>
      </c>
      <c r="E472" s="4" t="s">
        <v>745</v>
      </c>
      <c r="F472" t="s">
        <v>229</v>
      </c>
      <c r="G472" t="s">
        <v>85</v>
      </c>
      <c r="J472" s="4" t="s">
        <v>88</v>
      </c>
      <c r="K472" s="4" t="s">
        <v>21</v>
      </c>
      <c r="L472" s="4" t="s">
        <v>742</v>
      </c>
      <c r="M472" s="17">
        <v>30</v>
      </c>
      <c r="N472" s="17">
        <v>856</v>
      </c>
      <c r="O472" s="18" t="s">
        <v>88</v>
      </c>
      <c r="P472" s="18">
        <v>856</v>
      </c>
      <c r="Q472" s="18">
        <v>30</v>
      </c>
      <c r="R472" s="18"/>
      <c r="S472" s="18"/>
      <c r="T472" s="18"/>
      <c r="U4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72" s="19">
        <f>IF(AUDITORIA[[#This Row],[CAT]]="",0,1)</f>
        <v>1</v>
      </c>
      <c r="W472" s="20">
        <v>46141</v>
      </c>
      <c r="X472" s="21" t="str">
        <f>UPPER(IF(AUDITORIA[[#This Row],[DATA VERIFICAÇÃO]]="","",TEXT(AUDITORIA[[#This Row],[DATA VERIFICAÇÃO]],"mmm")))</f>
        <v>ABR</v>
      </c>
      <c r="Y472" t="s">
        <v>598</v>
      </c>
      <c r="Z472" t="s">
        <v>691</v>
      </c>
      <c r="AA472" t="s">
        <v>692</v>
      </c>
    </row>
    <row r="473" spans="1:27" ht="14.4" hidden="1" customHeight="1" x14ac:dyDescent="0.3">
      <c r="A473" s="4" t="s">
        <v>0</v>
      </c>
      <c r="B473" s="4" t="s">
        <v>17</v>
      </c>
      <c r="C473" s="16" t="s">
        <v>18</v>
      </c>
      <c r="D473" s="4">
        <v>10</v>
      </c>
      <c r="E473" s="4" t="s">
        <v>745</v>
      </c>
      <c r="F473" t="s">
        <v>226</v>
      </c>
      <c r="G473" t="s">
        <v>85</v>
      </c>
      <c r="J473" s="4" t="s">
        <v>88</v>
      </c>
      <c r="K473" s="4" t="s">
        <v>21</v>
      </c>
      <c r="L473" s="4" t="s">
        <v>742</v>
      </c>
      <c r="M473" s="17">
        <v>30</v>
      </c>
      <c r="N473" s="17">
        <v>872</v>
      </c>
      <c r="O473" s="18" t="s">
        <v>88</v>
      </c>
      <c r="P473" s="18">
        <v>872</v>
      </c>
      <c r="Q473" s="18">
        <v>30</v>
      </c>
      <c r="R473" s="18"/>
      <c r="S473" s="18"/>
      <c r="T473" s="18"/>
      <c r="U4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73" s="19">
        <f>IF(AUDITORIA[[#This Row],[CAT]]="",0,1)</f>
        <v>1</v>
      </c>
      <c r="W473" s="20">
        <v>46141</v>
      </c>
      <c r="X473" s="21" t="str">
        <f>UPPER(IF(AUDITORIA[[#This Row],[DATA VERIFICAÇÃO]]="","",TEXT(AUDITORIA[[#This Row],[DATA VERIFICAÇÃO]],"mmm")))</f>
        <v>ABR</v>
      </c>
      <c r="Y473" t="s">
        <v>598</v>
      </c>
      <c r="Z473" t="s">
        <v>691</v>
      </c>
      <c r="AA473" t="s">
        <v>692</v>
      </c>
    </row>
    <row r="474" spans="1:27" ht="14.4" hidden="1" customHeight="1" x14ac:dyDescent="0.3">
      <c r="A474" s="4" t="s">
        <v>0</v>
      </c>
      <c r="B474" s="4" t="s">
        <v>17</v>
      </c>
      <c r="C474" s="16" t="s">
        <v>18</v>
      </c>
      <c r="D474" s="4">
        <v>10</v>
      </c>
      <c r="E474" s="4" t="s">
        <v>745</v>
      </c>
      <c r="F474" t="s">
        <v>225</v>
      </c>
      <c r="G474" t="s">
        <v>85</v>
      </c>
      <c r="J474" s="4" t="s">
        <v>88</v>
      </c>
      <c r="K474" s="4" t="s">
        <v>21</v>
      </c>
      <c r="L474" s="4" t="s">
        <v>742</v>
      </c>
      <c r="M474" s="17">
        <v>30</v>
      </c>
      <c r="N474" s="17">
        <v>876</v>
      </c>
      <c r="O474" s="18" t="s">
        <v>88</v>
      </c>
      <c r="P474" s="18">
        <v>876</v>
      </c>
      <c r="Q474" s="18">
        <v>30</v>
      </c>
      <c r="R474" s="18"/>
      <c r="S474" s="18"/>
      <c r="T474" s="18"/>
      <c r="U4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74" s="19">
        <f>IF(AUDITORIA[[#This Row],[CAT]]="",0,1)</f>
        <v>1</v>
      </c>
      <c r="W474" s="20">
        <v>46141</v>
      </c>
      <c r="X474" s="21" t="str">
        <f>UPPER(IF(AUDITORIA[[#This Row],[DATA VERIFICAÇÃO]]="","",TEXT(AUDITORIA[[#This Row],[DATA VERIFICAÇÃO]],"mmm")))</f>
        <v>ABR</v>
      </c>
      <c r="Y474" t="s">
        <v>598</v>
      </c>
      <c r="Z474" t="s">
        <v>691</v>
      </c>
      <c r="AA474" t="s">
        <v>692</v>
      </c>
    </row>
    <row r="475" spans="1:27" ht="14.4" hidden="1" customHeight="1" x14ac:dyDescent="0.3">
      <c r="A475" s="4" t="s">
        <v>0</v>
      </c>
      <c r="B475" s="4" t="s">
        <v>17</v>
      </c>
      <c r="C475" s="16" t="s">
        <v>18</v>
      </c>
      <c r="D475" s="4">
        <v>10</v>
      </c>
      <c r="E475" s="4" t="s">
        <v>745</v>
      </c>
      <c r="F475" t="s">
        <v>223</v>
      </c>
      <c r="G475" t="s">
        <v>85</v>
      </c>
      <c r="J475" s="4" t="s">
        <v>88</v>
      </c>
      <c r="K475" s="4" t="s">
        <v>21</v>
      </c>
      <c r="L475" s="4" t="s">
        <v>742</v>
      </c>
      <c r="M475" s="17">
        <v>30</v>
      </c>
      <c r="N475" s="17">
        <v>852</v>
      </c>
      <c r="O475" s="18" t="s">
        <v>88</v>
      </c>
      <c r="P475" s="18">
        <v>852</v>
      </c>
      <c r="Q475" s="18">
        <v>30</v>
      </c>
      <c r="R475" s="18"/>
      <c r="S475" s="18"/>
      <c r="T475" s="18"/>
      <c r="U4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75" s="19">
        <f>IF(AUDITORIA[[#This Row],[CAT]]="",0,1)</f>
        <v>1</v>
      </c>
      <c r="W475" s="20">
        <v>46141</v>
      </c>
      <c r="X475" s="21" t="str">
        <f>UPPER(IF(AUDITORIA[[#This Row],[DATA VERIFICAÇÃO]]="","",TEXT(AUDITORIA[[#This Row],[DATA VERIFICAÇÃO]],"mmm")))</f>
        <v>ABR</v>
      </c>
      <c r="Y475" t="s">
        <v>598</v>
      </c>
      <c r="Z475" t="s">
        <v>691</v>
      </c>
      <c r="AA475" t="s">
        <v>692</v>
      </c>
    </row>
    <row r="476" spans="1:27" ht="14.4" hidden="1" customHeight="1" x14ac:dyDescent="0.3">
      <c r="A476" s="4" t="s">
        <v>0</v>
      </c>
      <c r="B476" s="4" t="s">
        <v>17</v>
      </c>
      <c r="C476" s="16" t="s">
        <v>18</v>
      </c>
      <c r="D476" s="4">
        <v>10</v>
      </c>
      <c r="E476" s="4" t="s">
        <v>745</v>
      </c>
      <c r="F476" t="s">
        <v>221</v>
      </c>
      <c r="G476" t="s">
        <v>85</v>
      </c>
      <c r="J476" s="4" t="s">
        <v>88</v>
      </c>
      <c r="K476" s="4" t="s">
        <v>21</v>
      </c>
      <c r="L476" s="4" t="s">
        <v>742</v>
      </c>
      <c r="M476" s="17">
        <v>30</v>
      </c>
      <c r="N476" s="17">
        <v>854</v>
      </c>
      <c r="O476" s="18" t="s">
        <v>88</v>
      </c>
      <c r="P476" s="18">
        <v>854</v>
      </c>
      <c r="Q476" s="18">
        <v>30</v>
      </c>
      <c r="R476" s="18"/>
      <c r="S476" s="18"/>
      <c r="T476" s="18"/>
      <c r="U4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76" s="19">
        <f>IF(AUDITORIA[[#This Row],[CAT]]="",0,1)</f>
        <v>1</v>
      </c>
      <c r="W476" s="20">
        <v>46141</v>
      </c>
      <c r="X476" s="21" t="str">
        <f>UPPER(IF(AUDITORIA[[#This Row],[DATA VERIFICAÇÃO]]="","",TEXT(AUDITORIA[[#This Row],[DATA VERIFICAÇÃO]],"mmm")))</f>
        <v>ABR</v>
      </c>
      <c r="Y476" t="s">
        <v>598</v>
      </c>
      <c r="Z476" t="s">
        <v>691</v>
      </c>
      <c r="AA476" t="s">
        <v>692</v>
      </c>
    </row>
    <row r="477" spans="1:27" ht="14.4" hidden="1" customHeight="1" x14ac:dyDescent="0.3">
      <c r="A477" s="4" t="s">
        <v>0</v>
      </c>
      <c r="B477" s="4" t="s">
        <v>17</v>
      </c>
      <c r="C477" s="16" t="s">
        <v>18</v>
      </c>
      <c r="D477" s="4">
        <v>10</v>
      </c>
      <c r="E477" s="4" t="s">
        <v>745</v>
      </c>
      <c r="F477" t="s">
        <v>219</v>
      </c>
      <c r="G477" t="s">
        <v>85</v>
      </c>
      <c r="J477" s="4" t="s">
        <v>88</v>
      </c>
      <c r="K477" s="4" t="s">
        <v>21</v>
      </c>
      <c r="L477" s="4" t="s">
        <v>742</v>
      </c>
      <c r="M477" s="17">
        <v>30</v>
      </c>
      <c r="N477" s="17">
        <v>883</v>
      </c>
      <c r="O477" s="18" t="s">
        <v>88</v>
      </c>
      <c r="P477" s="18">
        <v>883</v>
      </c>
      <c r="Q477" s="18">
        <v>30</v>
      </c>
      <c r="R477" s="18"/>
      <c r="S477" s="18"/>
      <c r="T477" s="18"/>
      <c r="U4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77" s="19">
        <f>IF(AUDITORIA[[#This Row],[CAT]]="",0,1)</f>
        <v>1</v>
      </c>
      <c r="W477" s="20">
        <v>46141</v>
      </c>
      <c r="X477" s="21" t="str">
        <f>UPPER(IF(AUDITORIA[[#This Row],[DATA VERIFICAÇÃO]]="","",TEXT(AUDITORIA[[#This Row],[DATA VERIFICAÇÃO]],"mmm")))</f>
        <v>ABR</v>
      </c>
      <c r="Y477" t="s">
        <v>598</v>
      </c>
      <c r="Z477" t="s">
        <v>691</v>
      </c>
      <c r="AA477" t="s">
        <v>692</v>
      </c>
    </row>
    <row r="478" spans="1:27" ht="14.4" hidden="1" customHeight="1" x14ac:dyDescent="0.3">
      <c r="A478" s="4" t="s">
        <v>0</v>
      </c>
      <c r="B478" s="4" t="s">
        <v>17</v>
      </c>
      <c r="C478" s="16" t="s">
        <v>18</v>
      </c>
      <c r="D478" s="4">
        <v>10</v>
      </c>
      <c r="E478" s="4" t="s">
        <v>745</v>
      </c>
      <c r="F478" t="s">
        <v>183</v>
      </c>
      <c r="G478" t="s">
        <v>85</v>
      </c>
      <c r="J478" s="4" t="s">
        <v>88</v>
      </c>
      <c r="K478" s="4" t="s">
        <v>21</v>
      </c>
      <c r="L478" s="4" t="s">
        <v>742</v>
      </c>
      <c r="M478" s="17">
        <v>30</v>
      </c>
      <c r="N478" s="17">
        <v>868</v>
      </c>
      <c r="O478" s="18" t="s">
        <v>88</v>
      </c>
      <c r="P478" s="18">
        <v>868</v>
      </c>
      <c r="Q478" s="18">
        <v>30</v>
      </c>
      <c r="R478" s="18"/>
      <c r="S478" s="18"/>
      <c r="T478" s="18"/>
      <c r="U4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78" s="19">
        <f>IF(AUDITORIA[[#This Row],[CAT]]="",0,1)</f>
        <v>1</v>
      </c>
      <c r="W478" s="20">
        <v>46141</v>
      </c>
      <c r="X478" s="21" t="str">
        <f>UPPER(IF(AUDITORIA[[#This Row],[DATA VERIFICAÇÃO]]="","",TEXT(AUDITORIA[[#This Row],[DATA VERIFICAÇÃO]],"mmm")))</f>
        <v>ABR</v>
      </c>
      <c r="Y478" t="s">
        <v>598</v>
      </c>
      <c r="Z478" t="s">
        <v>691</v>
      </c>
      <c r="AA478" t="s">
        <v>692</v>
      </c>
    </row>
    <row r="479" spans="1:27" ht="14.4" hidden="1" customHeight="1" x14ac:dyDescent="0.3">
      <c r="A479" s="4" t="s">
        <v>0</v>
      </c>
      <c r="B479" s="4" t="s">
        <v>17</v>
      </c>
      <c r="C479" s="16" t="s">
        <v>18</v>
      </c>
      <c r="D479" s="4">
        <v>10</v>
      </c>
      <c r="E479" s="4" t="s">
        <v>745</v>
      </c>
      <c r="F479" t="s">
        <v>185</v>
      </c>
      <c r="G479" t="s">
        <v>85</v>
      </c>
      <c r="J479" s="4" t="s">
        <v>88</v>
      </c>
      <c r="K479" s="4" t="s">
        <v>21</v>
      </c>
      <c r="L479" s="4" t="s">
        <v>742</v>
      </c>
      <c r="M479" s="17">
        <v>30</v>
      </c>
      <c r="N479" s="17">
        <v>881</v>
      </c>
      <c r="O479" s="18" t="s">
        <v>88</v>
      </c>
      <c r="P479" s="18">
        <v>881</v>
      </c>
      <c r="Q479" s="18">
        <v>30</v>
      </c>
      <c r="R479" s="18"/>
      <c r="S479" s="18"/>
      <c r="T479" s="18"/>
      <c r="U4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79" s="19">
        <f>IF(AUDITORIA[[#This Row],[CAT]]="",0,1)</f>
        <v>1</v>
      </c>
      <c r="W479" s="20">
        <v>46141</v>
      </c>
      <c r="X479" s="21" t="str">
        <f>UPPER(IF(AUDITORIA[[#This Row],[DATA VERIFICAÇÃO]]="","",TEXT(AUDITORIA[[#This Row],[DATA VERIFICAÇÃO]],"mmm")))</f>
        <v>ABR</v>
      </c>
      <c r="Y479" t="s">
        <v>598</v>
      </c>
      <c r="Z479" t="s">
        <v>691</v>
      </c>
      <c r="AA479" t="s">
        <v>692</v>
      </c>
    </row>
    <row r="480" spans="1:27" ht="14.4" hidden="1" customHeight="1" x14ac:dyDescent="0.3">
      <c r="A480" s="4" t="s">
        <v>0</v>
      </c>
      <c r="B480" s="4" t="s">
        <v>17</v>
      </c>
      <c r="C480" s="16" t="s">
        <v>18</v>
      </c>
      <c r="D480" s="4">
        <v>10</v>
      </c>
      <c r="E480" s="4" t="s">
        <v>745</v>
      </c>
      <c r="F480" t="s">
        <v>181</v>
      </c>
      <c r="G480" t="s">
        <v>85</v>
      </c>
      <c r="J480" s="4" t="s">
        <v>88</v>
      </c>
      <c r="K480" s="4" t="s">
        <v>21</v>
      </c>
      <c r="L480" s="4" t="s">
        <v>742</v>
      </c>
      <c r="M480" s="17">
        <v>30</v>
      </c>
      <c r="N480" s="17">
        <v>862</v>
      </c>
      <c r="O480" s="18" t="s">
        <v>88</v>
      </c>
      <c r="P480" s="18">
        <v>862</v>
      </c>
      <c r="Q480" s="18">
        <v>30</v>
      </c>
      <c r="R480" s="18"/>
      <c r="S480" s="18"/>
      <c r="T480" s="18"/>
      <c r="U4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80" s="19">
        <f>IF(AUDITORIA[[#This Row],[CAT]]="",0,1)</f>
        <v>1</v>
      </c>
      <c r="W480" s="20">
        <v>46141</v>
      </c>
      <c r="X480" s="21" t="str">
        <f>UPPER(IF(AUDITORIA[[#This Row],[DATA VERIFICAÇÃO]]="","",TEXT(AUDITORIA[[#This Row],[DATA VERIFICAÇÃO]],"mmm")))</f>
        <v>ABR</v>
      </c>
      <c r="Y480" t="s">
        <v>598</v>
      </c>
      <c r="Z480" t="s">
        <v>691</v>
      </c>
      <c r="AA480" t="s">
        <v>692</v>
      </c>
    </row>
    <row r="481" spans="1:27" ht="14.4" hidden="1" customHeight="1" x14ac:dyDescent="0.3">
      <c r="A481" s="4" t="s">
        <v>0</v>
      </c>
      <c r="B481" s="4" t="s">
        <v>17</v>
      </c>
      <c r="C481" s="16" t="s">
        <v>18</v>
      </c>
      <c r="D481" s="4">
        <v>10</v>
      </c>
      <c r="E481" s="4" t="s">
        <v>745</v>
      </c>
      <c r="F481" t="s">
        <v>179</v>
      </c>
      <c r="G481" t="s">
        <v>85</v>
      </c>
      <c r="J481" s="4" t="s">
        <v>88</v>
      </c>
      <c r="K481" s="4" t="s">
        <v>21</v>
      </c>
      <c r="L481" s="4" t="s">
        <v>742</v>
      </c>
      <c r="M481" s="17">
        <v>30</v>
      </c>
      <c r="N481" s="17">
        <v>896</v>
      </c>
      <c r="O481" s="18" t="s">
        <v>88</v>
      </c>
      <c r="P481" s="18">
        <v>896</v>
      </c>
      <c r="Q481" s="18">
        <v>30</v>
      </c>
      <c r="R481" s="18"/>
      <c r="S481" s="18"/>
      <c r="T481" s="18"/>
      <c r="U4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81" s="19">
        <f>IF(AUDITORIA[[#This Row],[CAT]]="",0,1)</f>
        <v>1</v>
      </c>
      <c r="W481" s="20">
        <v>46141</v>
      </c>
      <c r="X481" s="21" t="str">
        <f>UPPER(IF(AUDITORIA[[#This Row],[DATA VERIFICAÇÃO]]="","",TEXT(AUDITORIA[[#This Row],[DATA VERIFICAÇÃO]],"mmm")))</f>
        <v>ABR</v>
      </c>
      <c r="Y481" t="s">
        <v>598</v>
      </c>
      <c r="Z481" t="s">
        <v>691</v>
      </c>
      <c r="AA481" t="s">
        <v>692</v>
      </c>
    </row>
    <row r="482" spans="1:27" ht="14.4" hidden="1" customHeight="1" x14ac:dyDescent="0.3">
      <c r="A482" s="4" t="s">
        <v>0</v>
      </c>
      <c r="B482" s="4" t="s">
        <v>17</v>
      </c>
      <c r="C482" s="16" t="s">
        <v>18</v>
      </c>
      <c r="D482" s="4">
        <v>10</v>
      </c>
      <c r="E482" s="4" t="s">
        <v>745</v>
      </c>
      <c r="F482" t="s">
        <v>176</v>
      </c>
      <c r="G482" t="s">
        <v>85</v>
      </c>
      <c r="J482" s="4" t="s">
        <v>88</v>
      </c>
      <c r="K482" s="4" t="s">
        <v>21</v>
      </c>
      <c r="L482" s="4" t="s">
        <v>742</v>
      </c>
      <c r="M482" s="17">
        <v>30</v>
      </c>
      <c r="N482" s="17">
        <v>904</v>
      </c>
      <c r="O482" s="18" t="s">
        <v>88</v>
      </c>
      <c r="P482" s="18">
        <v>904</v>
      </c>
      <c r="Q482" s="18">
        <v>30</v>
      </c>
      <c r="R482" s="18"/>
      <c r="S482" s="18"/>
      <c r="T482" s="18"/>
      <c r="U4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82" s="19">
        <f>IF(AUDITORIA[[#This Row],[CAT]]="",0,1)</f>
        <v>1</v>
      </c>
      <c r="W482" s="20">
        <v>46141</v>
      </c>
      <c r="X482" s="21" t="str">
        <f>UPPER(IF(AUDITORIA[[#This Row],[DATA VERIFICAÇÃO]]="","",TEXT(AUDITORIA[[#This Row],[DATA VERIFICAÇÃO]],"mmm")))</f>
        <v>ABR</v>
      </c>
      <c r="Y482" t="s">
        <v>598</v>
      </c>
      <c r="Z482" t="s">
        <v>691</v>
      </c>
      <c r="AA482" t="s">
        <v>692</v>
      </c>
    </row>
    <row r="483" spans="1:27" ht="14.4" hidden="1" customHeight="1" x14ac:dyDescent="0.3">
      <c r="A483" s="4" t="s">
        <v>0</v>
      </c>
      <c r="B483" s="4" t="s">
        <v>17</v>
      </c>
      <c r="C483" s="16" t="s">
        <v>18</v>
      </c>
      <c r="D483" s="4">
        <v>10</v>
      </c>
      <c r="E483" s="4" t="s">
        <v>745</v>
      </c>
      <c r="F483" t="s">
        <v>174</v>
      </c>
      <c r="G483" t="s">
        <v>85</v>
      </c>
      <c r="J483" s="4" t="s">
        <v>88</v>
      </c>
      <c r="K483" s="4" t="s">
        <v>21</v>
      </c>
      <c r="L483" s="4" t="s">
        <v>742</v>
      </c>
      <c r="M483" s="17">
        <v>30</v>
      </c>
      <c r="N483" s="17">
        <v>882</v>
      </c>
      <c r="O483" s="18" t="s">
        <v>88</v>
      </c>
      <c r="P483" s="18">
        <v>882</v>
      </c>
      <c r="Q483" s="18">
        <v>30</v>
      </c>
      <c r="R483" s="18"/>
      <c r="S483" s="18"/>
      <c r="T483" s="18"/>
      <c r="U4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83" s="19">
        <f>IF(AUDITORIA[[#This Row],[CAT]]="",0,1)</f>
        <v>1</v>
      </c>
      <c r="W483" s="20">
        <v>46141</v>
      </c>
      <c r="X483" s="21" t="str">
        <f>UPPER(IF(AUDITORIA[[#This Row],[DATA VERIFICAÇÃO]]="","",TEXT(AUDITORIA[[#This Row],[DATA VERIFICAÇÃO]],"mmm")))</f>
        <v>ABR</v>
      </c>
      <c r="Y483" t="s">
        <v>598</v>
      </c>
      <c r="Z483" t="s">
        <v>691</v>
      </c>
      <c r="AA483" t="s">
        <v>692</v>
      </c>
    </row>
    <row r="484" spans="1:27" ht="14.4" hidden="1" customHeight="1" x14ac:dyDescent="0.3">
      <c r="A484" s="4" t="s">
        <v>0</v>
      </c>
      <c r="B484" s="4" t="s">
        <v>17</v>
      </c>
      <c r="C484" s="16" t="s">
        <v>18</v>
      </c>
      <c r="D484" s="4">
        <v>10</v>
      </c>
      <c r="E484" s="4" t="s">
        <v>745</v>
      </c>
      <c r="F484" t="s">
        <v>172</v>
      </c>
      <c r="G484" t="s">
        <v>85</v>
      </c>
      <c r="J484" s="4" t="s">
        <v>88</v>
      </c>
      <c r="K484" s="4" t="s">
        <v>21</v>
      </c>
      <c r="L484" s="4" t="s">
        <v>742</v>
      </c>
      <c r="M484" s="17">
        <v>30</v>
      </c>
      <c r="N484" s="17">
        <v>882</v>
      </c>
      <c r="O484" s="18" t="s">
        <v>88</v>
      </c>
      <c r="P484" s="18">
        <v>882</v>
      </c>
      <c r="Q484" s="18">
        <v>30</v>
      </c>
      <c r="R484" s="18"/>
      <c r="S484" s="18"/>
      <c r="T484" s="18"/>
      <c r="U4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84" s="19">
        <f>IF(AUDITORIA[[#This Row],[CAT]]="",0,1)</f>
        <v>1</v>
      </c>
      <c r="W484" s="20">
        <v>46141</v>
      </c>
      <c r="X484" s="21" t="str">
        <f>UPPER(IF(AUDITORIA[[#This Row],[DATA VERIFICAÇÃO]]="","",TEXT(AUDITORIA[[#This Row],[DATA VERIFICAÇÃO]],"mmm")))</f>
        <v>ABR</v>
      </c>
      <c r="Y484" t="s">
        <v>598</v>
      </c>
      <c r="Z484" t="s">
        <v>691</v>
      </c>
      <c r="AA484" t="s">
        <v>692</v>
      </c>
    </row>
    <row r="485" spans="1:27" ht="14.4" hidden="1" customHeight="1" x14ac:dyDescent="0.3">
      <c r="A485" s="4" t="s">
        <v>0</v>
      </c>
      <c r="B485" s="4" t="s">
        <v>17</v>
      </c>
      <c r="C485" s="16" t="s">
        <v>18</v>
      </c>
      <c r="D485" s="4">
        <v>10</v>
      </c>
      <c r="E485" s="4" t="s">
        <v>745</v>
      </c>
      <c r="F485" t="s">
        <v>171</v>
      </c>
      <c r="G485" t="s">
        <v>85</v>
      </c>
      <c r="J485" s="4" t="s">
        <v>88</v>
      </c>
      <c r="K485" s="4" t="s">
        <v>21</v>
      </c>
      <c r="L485" s="4" t="s">
        <v>742</v>
      </c>
      <c r="M485" s="17">
        <v>30</v>
      </c>
      <c r="N485" s="17">
        <v>904</v>
      </c>
      <c r="O485" s="18" t="s">
        <v>88</v>
      </c>
      <c r="P485" s="18">
        <v>904</v>
      </c>
      <c r="Q485" s="18">
        <v>30</v>
      </c>
      <c r="R485" s="18"/>
      <c r="S485" s="18"/>
      <c r="T485" s="18"/>
      <c r="U4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85" s="19">
        <f>IF(AUDITORIA[[#This Row],[CAT]]="",0,1)</f>
        <v>1</v>
      </c>
      <c r="W485" s="20">
        <v>46141</v>
      </c>
      <c r="X485" s="21" t="str">
        <f>UPPER(IF(AUDITORIA[[#This Row],[DATA VERIFICAÇÃO]]="","",TEXT(AUDITORIA[[#This Row],[DATA VERIFICAÇÃO]],"mmm")))</f>
        <v>ABR</v>
      </c>
      <c r="Y485" t="s">
        <v>598</v>
      </c>
      <c r="Z485" t="s">
        <v>691</v>
      </c>
      <c r="AA485" t="s">
        <v>692</v>
      </c>
    </row>
    <row r="486" spans="1:27" ht="14.4" hidden="1" customHeight="1" x14ac:dyDescent="0.3">
      <c r="A486" s="4" t="s">
        <v>0</v>
      </c>
      <c r="B486" s="4" t="s">
        <v>17</v>
      </c>
      <c r="C486" s="16" t="s">
        <v>18</v>
      </c>
      <c r="D486" s="4">
        <v>10</v>
      </c>
      <c r="E486" s="4" t="s">
        <v>745</v>
      </c>
      <c r="F486" t="s">
        <v>168</v>
      </c>
      <c r="G486" t="s">
        <v>85</v>
      </c>
      <c r="J486" s="4" t="s">
        <v>88</v>
      </c>
      <c r="K486" s="4" t="s">
        <v>21</v>
      </c>
      <c r="L486" s="4" t="s">
        <v>742</v>
      </c>
      <c r="M486" s="17">
        <v>30</v>
      </c>
      <c r="N486" s="17">
        <v>897</v>
      </c>
      <c r="O486" s="18" t="s">
        <v>88</v>
      </c>
      <c r="P486" s="18">
        <v>897</v>
      </c>
      <c r="Q486" s="18">
        <v>30</v>
      </c>
      <c r="R486" s="18"/>
      <c r="S486" s="18"/>
      <c r="T486" s="18"/>
      <c r="U4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86" s="19">
        <f>IF(AUDITORIA[[#This Row],[CAT]]="",0,1)</f>
        <v>1</v>
      </c>
      <c r="W486" s="20">
        <v>46141</v>
      </c>
      <c r="X486" s="21" t="str">
        <f>UPPER(IF(AUDITORIA[[#This Row],[DATA VERIFICAÇÃO]]="","",TEXT(AUDITORIA[[#This Row],[DATA VERIFICAÇÃO]],"mmm")))</f>
        <v>ABR</v>
      </c>
      <c r="Y486" t="s">
        <v>598</v>
      </c>
      <c r="Z486" t="s">
        <v>691</v>
      </c>
      <c r="AA486" t="s">
        <v>692</v>
      </c>
    </row>
    <row r="487" spans="1:27" ht="14.4" hidden="1" customHeight="1" x14ac:dyDescent="0.3">
      <c r="A487" s="4" t="s">
        <v>0</v>
      </c>
      <c r="B487" s="4" t="s">
        <v>17</v>
      </c>
      <c r="C487" s="16" t="s">
        <v>18</v>
      </c>
      <c r="D487" s="4">
        <v>10</v>
      </c>
      <c r="E487" s="4" t="s">
        <v>745</v>
      </c>
      <c r="F487" t="s">
        <v>166</v>
      </c>
      <c r="G487" t="s">
        <v>85</v>
      </c>
      <c r="J487" s="4" t="s">
        <v>88</v>
      </c>
      <c r="K487" s="4" t="s">
        <v>21</v>
      </c>
      <c r="L487" s="4" t="s">
        <v>742</v>
      </c>
      <c r="M487" s="17">
        <v>30</v>
      </c>
      <c r="N487" s="17">
        <v>876</v>
      </c>
      <c r="O487" s="18" t="s">
        <v>88</v>
      </c>
      <c r="P487" s="18">
        <v>876</v>
      </c>
      <c r="Q487" s="18">
        <v>30</v>
      </c>
      <c r="R487" s="18"/>
      <c r="S487" s="18"/>
      <c r="T487" s="18"/>
      <c r="U4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87" s="19">
        <f>IF(AUDITORIA[[#This Row],[CAT]]="",0,1)</f>
        <v>1</v>
      </c>
      <c r="W487" s="20">
        <v>46141</v>
      </c>
      <c r="X487" s="21" t="str">
        <f>UPPER(IF(AUDITORIA[[#This Row],[DATA VERIFICAÇÃO]]="","",TEXT(AUDITORIA[[#This Row],[DATA VERIFICAÇÃO]],"mmm")))</f>
        <v>ABR</v>
      </c>
      <c r="Y487" t="s">
        <v>598</v>
      </c>
      <c r="Z487" t="s">
        <v>691</v>
      </c>
      <c r="AA487" t="s">
        <v>692</v>
      </c>
    </row>
    <row r="488" spans="1:27" ht="14.4" hidden="1" customHeight="1" x14ac:dyDescent="0.3">
      <c r="A488" s="4" t="s">
        <v>0</v>
      </c>
      <c r="B488" s="4" t="s">
        <v>17</v>
      </c>
      <c r="C488" s="16" t="s">
        <v>18</v>
      </c>
      <c r="D488" s="4">
        <v>10</v>
      </c>
      <c r="E488" s="4" t="s">
        <v>745</v>
      </c>
      <c r="F488" t="s">
        <v>163</v>
      </c>
      <c r="G488" t="s">
        <v>85</v>
      </c>
      <c r="J488" s="4" t="s">
        <v>88</v>
      </c>
      <c r="K488" s="4" t="s">
        <v>21</v>
      </c>
      <c r="L488" s="4" t="s">
        <v>742</v>
      </c>
      <c r="M488" s="17">
        <v>30</v>
      </c>
      <c r="N488" s="17">
        <v>866</v>
      </c>
      <c r="O488" s="18" t="s">
        <v>88</v>
      </c>
      <c r="P488" s="18">
        <v>866</v>
      </c>
      <c r="Q488" s="18">
        <v>30</v>
      </c>
      <c r="R488" s="18"/>
      <c r="S488" s="18"/>
      <c r="T488" s="18"/>
      <c r="U4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88" s="19">
        <f>IF(AUDITORIA[[#This Row],[CAT]]="",0,1)</f>
        <v>1</v>
      </c>
      <c r="W488" s="20">
        <v>46141</v>
      </c>
      <c r="X488" s="21" t="str">
        <f>UPPER(IF(AUDITORIA[[#This Row],[DATA VERIFICAÇÃO]]="","",TEXT(AUDITORIA[[#This Row],[DATA VERIFICAÇÃO]],"mmm")))</f>
        <v>ABR</v>
      </c>
      <c r="Y488" t="s">
        <v>598</v>
      </c>
      <c r="Z488" t="s">
        <v>691</v>
      </c>
      <c r="AA488" t="s">
        <v>692</v>
      </c>
    </row>
    <row r="489" spans="1:27" ht="14.4" hidden="1" customHeight="1" x14ac:dyDescent="0.3">
      <c r="A489" s="4" t="s">
        <v>0</v>
      </c>
      <c r="B489" s="4" t="s">
        <v>17</v>
      </c>
      <c r="C489" s="16" t="s">
        <v>18</v>
      </c>
      <c r="D489" s="4">
        <v>10</v>
      </c>
      <c r="E489" s="4" t="s">
        <v>745</v>
      </c>
      <c r="F489" t="s">
        <v>161</v>
      </c>
      <c r="G489" t="s">
        <v>85</v>
      </c>
      <c r="J489" s="4" t="s">
        <v>88</v>
      </c>
      <c r="K489" s="4" t="s">
        <v>21</v>
      </c>
      <c r="L489" s="4" t="s">
        <v>742</v>
      </c>
      <c r="M489" s="17">
        <v>30</v>
      </c>
      <c r="N489" s="17">
        <v>876</v>
      </c>
      <c r="O489" s="18" t="s">
        <v>88</v>
      </c>
      <c r="P489" s="18">
        <v>876</v>
      </c>
      <c r="Q489" s="18">
        <v>30</v>
      </c>
      <c r="R489" s="18"/>
      <c r="S489" s="18"/>
      <c r="T489" s="18"/>
      <c r="U4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89" s="19">
        <f>IF(AUDITORIA[[#This Row],[CAT]]="",0,1)</f>
        <v>1</v>
      </c>
      <c r="W489" s="20">
        <v>46141</v>
      </c>
      <c r="X489" s="21" t="str">
        <f>UPPER(IF(AUDITORIA[[#This Row],[DATA VERIFICAÇÃO]]="","",TEXT(AUDITORIA[[#This Row],[DATA VERIFICAÇÃO]],"mmm")))</f>
        <v>ABR</v>
      </c>
      <c r="Y489" t="s">
        <v>598</v>
      </c>
      <c r="Z489" t="s">
        <v>691</v>
      </c>
      <c r="AA489" t="s">
        <v>692</v>
      </c>
    </row>
    <row r="490" spans="1:27" ht="14.4" hidden="1" customHeight="1" x14ac:dyDescent="0.3">
      <c r="A490" s="4" t="s">
        <v>0</v>
      </c>
      <c r="B490" s="4" t="s">
        <v>17</v>
      </c>
      <c r="C490" s="16" t="s">
        <v>18</v>
      </c>
      <c r="D490" s="4">
        <v>10</v>
      </c>
      <c r="E490" s="4" t="s">
        <v>745</v>
      </c>
      <c r="F490" t="s">
        <v>158</v>
      </c>
      <c r="G490" t="s">
        <v>85</v>
      </c>
      <c r="J490" s="4" t="s">
        <v>88</v>
      </c>
      <c r="K490" s="4" t="s">
        <v>21</v>
      </c>
      <c r="L490" s="4" t="s">
        <v>742</v>
      </c>
      <c r="M490" s="17">
        <v>30</v>
      </c>
      <c r="N490" s="17">
        <v>884</v>
      </c>
      <c r="O490" s="18" t="s">
        <v>88</v>
      </c>
      <c r="P490" s="18">
        <v>884</v>
      </c>
      <c r="Q490" s="18">
        <v>30</v>
      </c>
      <c r="R490" s="18"/>
      <c r="S490" s="18"/>
      <c r="T490" s="18"/>
      <c r="U4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90" s="19">
        <f>IF(AUDITORIA[[#This Row],[CAT]]="",0,1)</f>
        <v>1</v>
      </c>
      <c r="W490" s="20">
        <v>46141</v>
      </c>
      <c r="X490" s="21" t="str">
        <f>UPPER(IF(AUDITORIA[[#This Row],[DATA VERIFICAÇÃO]]="","",TEXT(AUDITORIA[[#This Row],[DATA VERIFICAÇÃO]],"mmm")))</f>
        <v>ABR</v>
      </c>
      <c r="Y490" t="s">
        <v>598</v>
      </c>
      <c r="Z490" t="s">
        <v>691</v>
      </c>
      <c r="AA490" t="s">
        <v>692</v>
      </c>
    </row>
    <row r="491" spans="1:27" ht="14.4" hidden="1" customHeight="1" x14ac:dyDescent="0.3">
      <c r="A491" s="4" t="s">
        <v>0</v>
      </c>
      <c r="B491" s="4" t="s">
        <v>17</v>
      </c>
      <c r="C491" s="16" t="s">
        <v>18</v>
      </c>
      <c r="D491" s="4">
        <v>10</v>
      </c>
      <c r="E491" s="4" t="s">
        <v>745</v>
      </c>
      <c r="F491" t="s">
        <v>156</v>
      </c>
      <c r="G491" t="s">
        <v>85</v>
      </c>
      <c r="J491" s="4" t="s">
        <v>88</v>
      </c>
      <c r="K491" s="4" t="s">
        <v>21</v>
      </c>
      <c r="L491" s="4" t="s">
        <v>742</v>
      </c>
      <c r="M491" s="17">
        <v>30</v>
      </c>
      <c r="N491" s="17">
        <v>832</v>
      </c>
      <c r="O491" s="18" t="s">
        <v>88</v>
      </c>
      <c r="P491" s="18">
        <v>832</v>
      </c>
      <c r="Q491" s="18">
        <v>30</v>
      </c>
      <c r="R491" s="18"/>
      <c r="S491" s="18"/>
      <c r="T491" s="18"/>
      <c r="U4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91" s="19">
        <f>IF(AUDITORIA[[#This Row],[CAT]]="",0,1)</f>
        <v>1</v>
      </c>
      <c r="W491" s="20">
        <v>46141</v>
      </c>
      <c r="X491" s="21" t="str">
        <f>UPPER(IF(AUDITORIA[[#This Row],[DATA VERIFICAÇÃO]]="","",TEXT(AUDITORIA[[#This Row],[DATA VERIFICAÇÃO]],"mmm")))</f>
        <v>ABR</v>
      </c>
      <c r="Y491" t="s">
        <v>598</v>
      </c>
      <c r="Z491" t="s">
        <v>691</v>
      </c>
      <c r="AA491" t="s">
        <v>692</v>
      </c>
    </row>
    <row r="492" spans="1:27" ht="14.4" hidden="1" customHeight="1" x14ac:dyDescent="0.3">
      <c r="A492" s="4" t="s">
        <v>0</v>
      </c>
      <c r="B492" s="4" t="s">
        <v>17</v>
      </c>
      <c r="C492" s="16" t="s">
        <v>18</v>
      </c>
      <c r="D492" s="4">
        <v>10</v>
      </c>
      <c r="E492" s="4" t="s">
        <v>745</v>
      </c>
      <c r="F492" t="s">
        <v>153</v>
      </c>
      <c r="G492" t="s">
        <v>85</v>
      </c>
      <c r="J492" s="4" t="s">
        <v>88</v>
      </c>
      <c r="K492" s="4" t="s">
        <v>21</v>
      </c>
      <c r="L492" s="4" t="s">
        <v>742</v>
      </c>
      <c r="M492" s="17">
        <v>30</v>
      </c>
      <c r="N492" s="17">
        <v>848</v>
      </c>
      <c r="O492" s="18" t="s">
        <v>88</v>
      </c>
      <c r="P492" s="18">
        <v>848</v>
      </c>
      <c r="Q492" s="18">
        <v>30</v>
      </c>
      <c r="R492" s="18"/>
      <c r="S492" s="18"/>
      <c r="T492" s="18"/>
      <c r="U4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92" s="19">
        <f>IF(AUDITORIA[[#This Row],[CAT]]="",0,1)</f>
        <v>1</v>
      </c>
      <c r="W492" s="20">
        <v>46141</v>
      </c>
      <c r="X492" s="21" t="str">
        <f>UPPER(IF(AUDITORIA[[#This Row],[DATA VERIFICAÇÃO]]="","",TEXT(AUDITORIA[[#This Row],[DATA VERIFICAÇÃO]],"mmm")))</f>
        <v>ABR</v>
      </c>
      <c r="Y492" t="s">
        <v>598</v>
      </c>
      <c r="Z492" t="s">
        <v>691</v>
      </c>
      <c r="AA492" t="s">
        <v>692</v>
      </c>
    </row>
    <row r="493" spans="1:27" ht="14.4" hidden="1" customHeight="1" x14ac:dyDescent="0.3">
      <c r="A493" s="4" t="s">
        <v>0</v>
      </c>
      <c r="B493" s="4" t="s">
        <v>17</v>
      </c>
      <c r="C493" s="16" t="s">
        <v>18</v>
      </c>
      <c r="D493" s="4">
        <v>10</v>
      </c>
      <c r="E493" s="4" t="s">
        <v>745</v>
      </c>
      <c r="F493" t="s">
        <v>151</v>
      </c>
      <c r="G493" t="s">
        <v>85</v>
      </c>
      <c r="J493" s="4" t="s">
        <v>88</v>
      </c>
      <c r="K493" s="4" t="s">
        <v>21</v>
      </c>
      <c r="L493" s="4" t="s">
        <v>742</v>
      </c>
      <c r="M493" s="17">
        <v>30</v>
      </c>
      <c r="N493" s="17">
        <v>877</v>
      </c>
      <c r="O493" s="18" t="s">
        <v>88</v>
      </c>
      <c r="P493" s="18">
        <v>877</v>
      </c>
      <c r="Q493" s="18">
        <v>30</v>
      </c>
      <c r="R493" s="18"/>
      <c r="S493" s="18"/>
      <c r="T493" s="18"/>
      <c r="U4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93" s="19">
        <f>IF(AUDITORIA[[#This Row],[CAT]]="",0,1)</f>
        <v>1</v>
      </c>
      <c r="W493" s="20">
        <v>46141</v>
      </c>
      <c r="X493" s="21" t="str">
        <f>UPPER(IF(AUDITORIA[[#This Row],[DATA VERIFICAÇÃO]]="","",TEXT(AUDITORIA[[#This Row],[DATA VERIFICAÇÃO]],"mmm")))</f>
        <v>ABR</v>
      </c>
      <c r="Y493" t="s">
        <v>598</v>
      </c>
      <c r="Z493" t="s">
        <v>691</v>
      </c>
      <c r="AA493" t="s">
        <v>692</v>
      </c>
    </row>
    <row r="494" spans="1:27" ht="14.4" hidden="1" customHeight="1" x14ac:dyDescent="0.3">
      <c r="A494" s="4" t="s">
        <v>0</v>
      </c>
      <c r="B494" s="4" t="s">
        <v>17</v>
      </c>
      <c r="C494" s="16" t="s">
        <v>18</v>
      </c>
      <c r="D494" s="4">
        <v>10</v>
      </c>
      <c r="E494" s="4" t="s">
        <v>745</v>
      </c>
      <c r="F494" t="s">
        <v>149</v>
      </c>
      <c r="G494" t="s">
        <v>85</v>
      </c>
      <c r="J494" s="4" t="s">
        <v>88</v>
      </c>
      <c r="K494" s="4" t="s">
        <v>21</v>
      </c>
      <c r="L494" s="4" t="s">
        <v>742</v>
      </c>
      <c r="M494" s="17">
        <v>30</v>
      </c>
      <c r="N494" s="17">
        <v>892</v>
      </c>
      <c r="O494" s="18" t="s">
        <v>88</v>
      </c>
      <c r="P494" s="18">
        <v>892</v>
      </c>
      <c r="Q494" s="18">
        <v>30</v>
      </c>
      <c r="R494" s="18"/>
      <c r="S494" s="18"/>
      <c r="T494" s="18"/>
      <c r="U4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94" s="19">
        <f>IF(AUDITORIA[[#This Row],[CAT]]="",0,1)</f>
        <v>1</v>
      </c>
      <c r="W494" s="20">
        <v>46141</v>
      </c>
      <c r="X494" s="21" t="str">
        <f>UPPER(IF(AUDITORIA[[#This Row],[DATA VERIFICAÇÃO]]="","",TEXT(AUDITORIA[[#This Row],[DATA VERIFICAÇÃO]],"mmm")))</f>
        <v>ABR</v>
      </c>
      <c r="Y494" t="s">
        <v>598</v>
      </c>
      <c r="Z494" t="s">
        <v>691</v>
      </c>
      <c r="AA494" t="s">
        <v>692</v>
      </c>
    </row>
    <row r="495" spans="1:27" ht="14.4" hidden="1" customHeight="1" x14ac:dyDescent="0.3">
      <c r="A495" s="4" t="s">
        <v>0</v>
      </c>
      <c r="B495" s="4" t="s">
        <v>17</v>
      </c>
      <c r="C495" s="16" t="s">
        <v>18</v>
      </c>
      <c r="D495" s="4">
        <v>10</v>
      </c>
      <c r="E495" s="4" t="s">
        <v>745</v>
      </c>
      <c r="F495" t="s">
        <v>146</v>
      </c>
      <c r="G495" t="s">
        <v>85</v>
      </c>
      <c r="J495" s="4" t="s">
        <v>88</v>
      </c>
      <c r="K495" s="4" t="s">
        <v>21</v>
      </c>
      <c r="L495" s="4" t="s">
        <v>742</v>
      </c>
      <c r="M495" s="17">
        <v>30</v>
      </c>
      <c r="N495" s="17">
        <v>883</v>
      </c>
      <c r="O495" s="18" t="s">
        <v>88</v>
      </c>
      <c r="P495" s="18">
        <v>883</v>
      </c>
      <c r="Q495" s="18">
        <v>30</v>
      </c>
      <c r="R495" s="18"/>
      <c r="S495" s="18"/>
      <c r="T495" s="18"/>
      <c r="U4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95" s="19">
        <f>IF(AUDITORIA[[#This Row],[CAT]]="",0,1)</f>
        <v>1</v>
      </c>
      <c r="W495" s="20">
        <v>46141</v>
      </c>
      <c r="X495" s="21" t="str">
        <f>UPPER(IF(AUDITORIA[[#This Row],[DATA VERIFICAÇÃO]]="","",TEXT(AUDITORIA[[#This Row],[DATA VERIFICAÇÃO]],"mmm")))</f>
        <v>ABR</v>
      </c>
      <c r="Y495" t="s">
        <v>598</v>
      </c>
      <c r="Z495" t="s">
        <v>691</v>
      </c>
      <c r="AA495" t="s">
        <v>692</v>
      </c>
    </row>
    <row r="496" spans="1:27" ht="14.4" hidden="1" customHeight="1" x14ac:dyDescent="0.3">
      <c r="A496" s="4" t="s">
        <v>0</v>
      </c>
      <c r="B496" s="4" t="s">
        <v>17</v>
      </c>
      <c r="C496" s="16" t="s">
        <v>18</v>
      </c>
      <c r="D496" s="4">
        <v>10</v>
      </c>
      <c r="E496" s="4" t="s">
        <v>745</v>
      </c>
      <c r="F496" t="s">
        <v>144</v>
      </c>
      <c r="G496" t="s">
        <v>85</v>
      </c>
      <c r="J496" s="4" t="s">
        <v>88</v>
      </c>
      <c r="K496" s="4" t="s">
        <v>21</v>
      </c>
      <c r="L496" s="4" t="s">
        <v>742</v>
      </c>
      <c r="M496" s="17">
        <v>30</v>
      </c>
      <c r="N496" s="17">
        <v>883</v>
      </c>
      <c r="O496" s="18" t="s">
        <v>88</v>
      </c>
      <c r="P496" s="18">
        <v>883</v>
      </c>
      <c r="Q496" s="18">
        <v>30</v>
      </c>
      <c r="R496" s="18"/>
      <c r="S496" s="18"/>
      <c r="T496" s="18"/>
      <c r="U4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96" s="19">
        <f>IF(AUDITORIA[[#This Row],[CAT]]="",0,1)</f>
        <v>1</v>
      </c>
      <c r="W496" s="20">
        <v>46141</v>
      </c>
      <c r="X496" s="21" t="str">
        <f>UPPER(IF(AUDITORIA[[#This Row],[DATA VERIFICAÇÃO]]="","",TEXT(AUDITORIA[[#This Row],[DATA VERIFICAÇÃO]],"mmm")))</f>
        <v>ABR</v>
      </c>
      <c r="Y496" t="s">
        <v>598</v>
      </c>
      <c r="Z496" t="s">
        <v>691</v>
      </c>
      <c r="AA496" t="s">
        <v>692</v>
      </c>
    </row>
    <row r="497" spans="1:27" ht="14.4" hidden="1" customHeight="1" x14ac:dyDescent="0.3">
      <c r="A497" s="4" t="s">
        <v>0</v>
      </c>
      <c r="B497" s="4" t="s">
        <v>17</v>
      </c>
      <c r="C497" s="16" t="s">
        <v>18</v>
      </c>
      <c r="D497" s="4">
        <v>10</v>
      </c>
      <c r="E497" s="4" t="s">
        <v>745</v>
      </c>
      <c r="F497" t="s">
        <v>142</v>
      </c>
      <c r="G497" t="s">
        <v>85</v>
      </c>
      <c r="J497" s="4" t="s">
        <v>88</v>
      </c>
      <c r="K497" s="4" t="s">
        <v>21</v>
      </c>
      <c r="L497" s="4" t="s">
        <v>742</v>
      </c>
      <c r="M497" s="17">
        <v>30</v>
      </c>
      <c r="N497" s="17">
        <v>867</v>
      </c>
      <c r="O497" s="18" t="s">
        <v>88</v>
      </c>
      <c r="P497" s="18">
        <v>867</v>
      </c>
      <c r="Q497" s="18">
        <v>30</v>
      </c>
      <c r="R497" s="18"/>
      <c r="S497" s="18"/>
      <c r="T497" s="18"/>
      <c r="U4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97" s="19">
        <f>IF(AUDITORIA[[#This Row],[CAT]]="",0,1)</f>
        <v>1</v>
      </c>
      <c r="W497" s="20">
        <v>46141</v>
      </c>
      <c r="X497" s="21" t="str">
        <f>UPPER(IF(AUDITORIA[[#This Row],[DATA VERIFICAÇÃO]]="","",TEXT(AUDITORIA[[#This Row],[DATA VERIFICAÇÃO]],"mmm")))</f>
        <v>ABR</v>
      </c>
      <c r="Y497" t="s">
        <v>598</v>
      </c>
      <c r="Z497" t="s">
        <v>691</v>
      </c>
      <c r="AA497" t="s">
        <v>692</v>
      </c>
    </row>
    <row r="498" spans="1:27" ht="14.4" hidden="1" customHeight="1" x14ac:dyDescent="0.3">
      <c r="A498" s="4" t="s">
        <v>0</v>
      </c>
      <c r="B498" s="4" t="s">
        <v>17</v>
      </c>
      <c r="C498" s="16" t="s">
        <v>18</v>
      </c>
      <c r="D498" s="4">
        <v>10</v>
      </c>
      <c r="E498" s="4" t="s">
        <v>745</v>
      </c>
      <c r="F498" t="s">
        <v>139</v>
      </c>
      <c r="G498" t="s">
        <v>85</v>
      </c>
      <c r="J498" s="4" t="s">
        <v>88</v>
      </c>
      <c r="K498" s="4" t="s">
        <v>21</v>
      </c>
      <c r="L498" s="4" t="s">
        <v>742</v>
      </c>
      <c r="M498" s="17">
        <v>30</v>
      </c>
      <c r="N498" s="17">
        <v>852</v>
      </c>
      <c r="O498" s="18" t="s">
        <v>88</v>
      </c>
      <c r="P498" s="18">
        <v>852</v>
      </c>
      <c r="Q498" s="18">
        <v>30</v>
      </c>
      <c r="R498" s="18"/>
      <c r="S498" s="18"/>
      <c r="T498" s="18"/>
      <c r="U4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98" s="19">
        <f>IF(AUDITORIA[[#This Row],[CAT]]="",0,1)</f>
        <v>1</v>
      </c>
      <c r="W498" s="20">
        <v>46141</v>
      </c>
      <c r="X498" s="21" t="str">
        <f>UPPER(IF(AUDITORIA[[#This Row],[DATA VERIFICAÇÃO]]="","",TEXT(AUDITORIA[[#This Row],[DATA VERIFICAÇÃO]],"mmm")))</f>
        <v>ABR</v>
      </c>
      <c r="Y498" t="s">
        <v>598</v>
      </c>
      <c r="Z498" t="s">
        <v>691</v>
      </c>
      <c r="AA498" t="s">
        <v>692</v>
      </c>
    </row>
    <row r="499" spans="1:27" ht="14.4" hidden="1" customHeight="1" x14ac:dyDescent="0.3">
      <c r="A499" s="4" t="s">
        <v>0</v>
      </c>
      <c r="B499" s="4" t="s">
        <v>17</v>
      </c>
      <c r="C499" s="16" t="s">
        <v>18</v>
      </c>
      <c r="D499" s="4">
        <v>10</v>
      </c>
      <c r="E499" s="4" t="s">
        <v>745</v>
      </c>
      <c r="F499" t="s">
        <v>137</v>
      </c>
      <c r="G499" t="s">
        <v>85</v>
      </c>
      <c r="J499" s="4" t="s">
        <v>88</v>
      </c>
      <c r="K499" s="4" t="s">
        <v>21</v>
      </c>
      <c r="L499" s="4" t="s">
        <v>742</v>
      </c>
      <c r="M499" s="17">
        <v>30</v>
      </c>
      <c r="N499" s="17">
        <v>879</v>
      </c>
      <c r="O499" s="18" t="s">
        <v>88</v>
      </c>
      <c r="P499" s="18">
        <v>879</v>
      </c>
      <c r="Q499" s="18">
        <v>30</v>
      </c>
      <c r="R499" s="18"/>
      <c r="S499" s="18"/>
      <c r="T499" s="18"/>
      <c r="U4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499" s="19">
        <f>IF(AUDITORIA[[#This Row],[CAT]]="",0,1)</f>
        <v>1</v>
      </c>
      <c r="W499" s="20">
        <v>46141</v>
      </c>
      <c r="X499" s="21" t="str">
        <f>UPPER(IF(AUDITORIA[[#This Row],[DATA VERIFICAÇÃO]]="","",TEXT(AUDITORIA[[#This Row],[DATA VERIFICAÇÃO]],"mmm")))</f>
        <v>ABR</v>
      </c>
      <c r="Y499" t="s">
        <v>598</v>
      </c>
      <c r="Z499" t="s">
        <v>691</v>
      </c>
      <c r="AA499" t="s">
        <v>692</v>
      </c>
    </row>
    <row r="500" spans="1:27" ht="14.4" hidden="1" customHeight="1" x14ac:dyDescent="0.3">
      <c r="A500" s="4" t="s">
        <v>0</v>
      </c>
      <c r="B500" s="4" t="s">
        <v>17</v>
      </c>
      <c r="C500" s="16" t="s">
        <v>18</v>
      </c>
      <c r="D500" s="4">
        <v>10</v>
      </c>
      <c r="E500" s="4" t="s">
        <v>745</v>
      </c>
      <c r="F500" t="s">
        <v>135</v>
      </c>
      <c r="G500" t="s">
        <v>85</v>
      </c>
      <c r="J500" s="4" t="s">
        <v>88</v>
      </c>
      <c r="K500" s="4" t="s">
        <v>21</v>
      </c>
      <c r="L500" s="4" t="s">
        <v>742</v>
      </c>
      <c r="M500" s="17">
        <v>30</v>
      </c>
      <c r="N500" s="17">
        <v>861</v>
      </c>
      <c r="O500" s="18" t="s">
        <v>88</v>
      </c>
      <c r="P500" s="18">
        <v>861</v>
      </c>
      <c r="Q500" s="18">
        <v>30</v>
      </c>
      <c r="R500" s="18"/>
      <c r="S500" s="18"/>
      <c r="T500" s="18"/>
      <c r="U5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00" s="19">
        <f>IF(AUDITORIA[[#This Row],[CAT]]="",0,1)</f>
        <v>1</v>
      </c>
      <c r="W500" s="20">
        <v>46141</v>
      </c>
      <c r="X500" s="21" t="str">
        <f>UPPER(IF(AUDITORIA[[#This Row],[DATA VERIFICAÇÃO]]="","",TEXT(AUDITORIA[[#This Row],[DATA VERIFICAÇÃO]],"mmm")))</f>
        <v>ABR</v>
      </c>
      <c r="Y500" t="s">
        <v>598</v>
      </c>
      <c r="Z500" t="s">
        <v>691</v>
      </c>
      <c r="AA500" t="s">
        <v>692</v>
      </c>
    </row>
    <row r="501" spans="1:27" ht="14.4" hidden="1" customHeight="1" x14ac:dyDescent="0.3">
      <c r="A501" s="4" t="s">
        <v>0</v>
      </c>
      <c r="B501" s="4" t="s">
        <v>17</v>
      </c>
      <c r="C501" s="16" t="s">
        <v>18</v>
      </c>
      <c r="D501" s="4">
        <v>10</v>
      </c>
      <c r="E501" s="4" t="s">
        <v>745</v>
      </c>
      <c r="F501" t="s">
        <v>130</v>
      </c>
      <c r="G501" t="s">
        <v>85</v>
      </c>
      <c r="J501" s="4" t="s">
        <v>88</v>
      </c>
      <c r="K501" s="4" t="s">
        <v>21</v>
      </c>
      <c r="L501" s="4" t="s">
        <v>742</v>
      </c>
      <c r="M501" s="17">
        <v>30</v>
      </c>
      <c r="N501" s="17">
        <v>853</v>
      </c>
      <c r="O501" s="18" t="s">
        <v>88</v>
      </c>
      <c r="P501" s="18">
        <v>853</v>
      </c>
      <c r="Q501" s="18">
        <v>30</v>
      </c>
      <c r="R501" s="18"/>
      <c r="S501" s="18"/>
      <c r="T501" s="18"/>
      <c r="U5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01" s="19">
        <f>IF(AUDITORIA[[#This Row],[CAT]]="",0,1)</f>
        <v>1</v>
      </c>
      <c r="W501" s="20">
        <v>46141</v>
      </c>
      <c r="X501" s="21" t="str">
        <f>UPPER(IF(AUDITORIA[[#This Row],[DATA VERIFICAÇÃO]]="","",TEXT(AUDITORIA[[#This Row],[DATA VERIFICAÇÃO]],"mmm")))</f>
        <v>ABR</v>
      </c>
      <c r="Y501" t="s">
        <v>598</v>
      </c>
      <c r="Z501" t="s">
        <v>691</v>
      </c>
      <c r="AA501" t="s">
        <v>692</v>
      </c>
    </row>
    <row r="502" spans="1:27" ht="14.4" hidden="1" customHeight="1" x14ac:dyDescent="0.3">
      <c r="A502" s="4" t="s">
        <v>0</v>
      </c>
      <c r="B502" s="4" t="s">
        <v>17</v>
      </c>
      <c r="C502" s="16" t="s">
        <v>18</v>
      </c>
      <c r="D502" s="4">
        <v>10</v>
      </c>
      <c r="E502" s="4" t="s">
        <v>745</v>
      </c>
      <c r="F502" t="s">
        <v>126</v>
      </c>
      <c r="G502" t="s">
        <v>85</v>
      </c>
      <c r="J502" s="4" t="s">
        <v>88</v>
      </c>
      <c r="K502" s="4" t="s">
        <v>21</v>
      </c>
      <c r="L502" s="4" t="s">
        <v>742</v>
      </c>
      <c r="M502" s="17">
        <v>26</v>
      </c>
      <c r="N502" s="17">
        <v>820</v>
      </c>
      <c r="O502" s="18" t="s">
        <v>88</v>
      </c>
      <c r="P502" s="18">
        <v>820</v>
      </c>
      <c r="Q502" s="18">
        <v>26</v>
      </c>
      <c r="R502" s="18"/>
      <c r="S502" s="18"/>
      <c r="T502" s="18"/>
      <c r="U5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02" s="19">
        <f>IF(AUDITORIA[[#This Row],[CAT]]="",0,1)</f>
        <v>1</v>
      </c>
      <c r="W502" s="20">
        <v>46141</v>
      </c>
      <c r="X502" s="21" t="str">
        <f>UPPER(IF(AUDITORIA[[#This Row],[DATA VERIFICAÇÃO]]="","",TEXT(AUDITORIA[[#This Row],[DATA VERIFICAÇÃO]],"mmm")))</f>
        <v>ABR</v>
      </c>
      <c r="Y502" t="s">
        <v>598</v>
      </c>
      <c r="Z502" t="s">
        <v>691</v>
      </c>
      <c r="AA502" t="s">
        <v>692</v>
      </c>
    </row>
    <row r="503" spans="1:27" ht="14.4" hidden="1" customHeight="1" x14ac:dyDescent="0.3">
      <c r="A503" s="4" t="s">
        <v>0</v>
      </c>
      <c r="B503" s="4" t="s">
        <v>17</v>
      </c>
      <c r="C503" s="16" t="s">
        <v>18</v>
      </c>
      <c r="D503" s="4">
        <v>10</v>
      </c>
      <c r="E503" s="4" t="s">
        <v>745</v>
      </c>
      <c r="F503" t="s">
        <v>103</v>
      </c>
      <c r="G503" t="s">
        <v>85</v>
      </c>
      <c r="J503" s="4" t="s">
        <v>88</v>
      </c>
      <c r="K503" s="4" t="s">
        <v>21</v>
      </c>
      <c r="L503" s="4" t="s">
        <v>742</v>
      </c>
      <c r="M503" s="17">
        <v>30</v>
      </c>
      <c r="N503" s="17">
        <v>878</v>
      </c>
      <c r="O503" s="18" t="s">
        <v>88</v>
      </c>
      <c r="P503" s="18">
        <v>878</v>
      </c>
      <c r="Q503" s="18">
        <v>30</v>
      </c>
      <c r="R503" s="18"/>
      <c r="S503" s="18"/>
      <c r="T503" s="18"/>
      <c r="U5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03" s="19">
        <f>IF(AUDITORIA[[#This Row],[CAT]]="",0,1)</f>
        <v>1</v>
      </c>
      <c r="W503" s="20">
        <v>46141</v>
      </c>
      <c r="X503" s="21" t="str">
        <f>UPPER(IF(AUDITORIA[[#This Row],[DATA VERIFICAÇÃO]]="","",TEXT(AUDITORIA[[#This Row],[DATA VERIFICAÇÃO]],"mmm")))</f>
        <v>ABR</v>
      </c>
      <c r="Y503" t="s">
        <v>598</v>
      </c>
      <c r="Z503" t="s">
        <v>691</v>
      </c>
      <c r="AA503" t="s">
        <v>692</v>
      </c>
    </row>
    <row r="504" spans="1:27" ht="14.4" hidden="1" customHeight="1" x14ac:dyDescent="0.3">
      <c r="A504" s="4" t="s">
        <v>0</v>
      </c>
      <c r="B504" s="4" t="s">
        <v>17</v>
      </c>
      <c r="C504" s="16" t="s">
        <v>18</v>
      </c>
      <c r="D504" s="4">
        <v>10</v>
      </c>
      <c r="E504" s="4" t="s">
        <v>745</v>
      </c>
      <c r="F504" t="s">
        <v>101</v>
      </c>
      <c r="G504" t="s">
        <v>85</v>
      </c>
      <c r="J504" s="4" t="s">
        <v>88</v>
      </c>
      <c r="K504" s="4" t="s">
        <v>21</v>
      </c>
      <c r="L504" s="4" t="s">
        <v>742</v>
      </c>
      <c r="M504" s="17">
        <v>30</v>
      </c>
      <c r="N504" s="17">
        <v>859</v>
      </c>
      <c r="O504" s="18" t="s">
        <v>88</v>
      </c>
      <c r="P504" s="18">
        <v>859</v>
      </c>
      <c r="Q504" s="18">
        <v>30</v>
      </c>
      <c r="R504" s="18"/>
      <c r="S504" s="18"/>
      <c r="T504" s="18"/>
      <c r="U5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04" s="19">
        <f>IF(AUDITORIA[[#This Row],[CAT]]="",0,1)</f>
        <v>1</v>
      </c>
      <c r="W504" s="20">
        <v>46141</v>
      </c>
      <c r="X504" s="21" t="str">
        <f>UPPER(IF(AUDITORIA[[#This Row],[DATA VERIFICAÇÃO]]="","",TEXT(AUDITORIA[[#This Row],[DATA VERIFICAÇÃO]],"mmm")))</f>
        <v>ABR</v>
      </c>
      <c r="Y504" t="s">
        <v>598</v>
      </c>
      <c r="Z504" t="s">
        <v>691</v>
      </c>
      <c r="AA504" t="s">
        <v>692</v>
      </c>
    </row>
    <row r="505" spans="1:27" ht="14.4" hidden="1" customHeight="1" x14ac:dyDescent="0.3">
      <c r="A505" s="4" t="s">
        <v>0</v>
      </c>
      <c r="B505" s="4" t="s">
        <v>17</v>
      </c>
      <c r="C505" s="16" t="s">
        <v>18</v>
      </c>
      <c r="D505" s="4">
        <v>10</v>
      </c>
      <c r="E505" s="4" t="s">
        <v>745</v>
      </c>
      <c r="F505" t="s">
        <v>98</v>
      </c>
      <c r="G505" t="s">
        <v>85</v>
      </c>
      <c r="J505" s="4" t="s">
        <v>88</v>
      </c>
      <c r="K505" s="4" t="s">
        <v>21</v>
      </c>
      <c r="L505" s="4" t="s">
        <v>742</v>
      </c>
      <c r="M505" s="17">
        <v>30</v>
      </c>
      <c r="N505" s="17">
        <v>879</v>
      </c>
      <c r="O505" s="18" t="s">
        <v>88</v>
      </c>
      <c r="P505" s="18">
        <v>879</v>
      </c>
      <c r="Q505" s="18">
        <v>30</v>
      </c>
      <c r="R505" s="18"/>
      <c r="S505" s="18"/>
      <c r="T505" s="18"/>
      <c r="U5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05" s="19">
        <f>IF(AUDITORIA[[#This Row],[CAT]]="",0,1)</f>
        <v>1</v>
      </c>
      <c r="W505" s="20">
        <v>46141</v>
      </c>
      <c r="X505" s="21" t="str">
        <f>UPPER(IF(AUDITORIA[[#This Row],[DATA VERIFICAÇÃO]]="","",TEXT(AUDITORIA[[#This Row],[DATA VERIFICAÇÃO]],"mmm")))</f>
        <v>ABR</v>
      </c>
      <c r="Y505" t="s">
        <v>598</v>
      </c>
      <c r="Z505" t="s">
        <v>691</v>
      </c>
      <c r="AA505" t="s">
        <v>692</v>
      </c>
    </row>
    <row r="506" spans="1:27" ht="14.4" hidden="1" customHeight="1" x14ac:dyDescent="0.3">
      <c r="A506" s="4" t="s">
        <v>0</v>
      </c>
      <c r="B506" s="4" t="s">
        <v>17</v>
      </c>
      <c r="C506" s="16" t="s">
        <v>18</v>
      </c>
      <c r="D506" s="4">
        <v>10</v>
      </c>
      <c r="E506" s="4" t="s">
        <v>745</v>
      </c>
      <c r="F506" t="s">
        <v>96</v>
      </c>
      <c r="G506" t="s">
        <v>85</v>
      </c>
      <c r="J506" s="4" t="s">
        <v>88</v>
      </c>
      <c r="K506" s="4" t="s">
        <v>21</v>
      </c>
      <c r="L506" s="4" t="s">
        <v>742</v>
      </c>
      <c r="M506" s="17">
        <v>30</v>
      </c>
      <c r="N506" s="17">
        <v>872</v>
      </c>
      <c r="O506" s="18" t="s">
        <v>88</v>
      </c>
      <c r="P506" s="18">
        <v>872</v>
      </c>
      <c r="Q506" s="18">
        <v>30</v>
      </c>
      <c r="R506" s="18"/>
      <c r="S506" s="18"/>
      <c r="T506" s="18"/>
      <c r="U5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06" s="19">
        <f>IF(AUDITORIA[[#This Row],[CAT]]="",0,1)</f>
        <v>1</v>
      </c>
      <c r="W506" s="20">
        <v>46141</v>
      </c>
      <c r="X506" s="21" t="str">
        <f>UPPER(IF(AUDITORIA[[#This Row],[DATA VERIFICAÇÃO]]="","",TEXT(AUDITORIA[[#This Row],[DATA VERIFICAÇÃO]],"mmm")))</f>
        <v>ABR</v>
      </c>
      <c r="Y506" t="s">
        <v>598</v>
      </c>
      <c r="Z506" t="s">
        <v>691</v>
      </c>
      <c r="AA506" t="s">
        <v>692</v>
      </c>
    </row>
    <row r="507" spans="1:27" ht="14.4" hidden="1" customHeight="1" x14ac:dyDescent="0.3">
      <c r="A507" s="4" t="s">
        <v>0</v>
      </c>
      <c r="B507" s="4" t="s">
        <v>17</v>
      </c>
      <c r="C507" s="16" t="s">
        <v>18</v>
      </c>
      <c r="D507" s="4">
        <v>10</v>
      </c>
      <c r="E507" s="4" t="s">
        <v>745</v>
      </c>
      <c r="F507" t="s">
        <v>95</v>
      </c>
      <c r="G507" t="s">
        <v>85</v>
      </c>
      <c r="J507" s="4" t="s">
        <v>88</v>
      </c>
      <c r="K507" s="4" t="s">
        <v>21</v>
      </c>
      <c r="L507" s="4" t="s">
        <v>742</v>
      </c>
      <c r="M507" s="17">
        <v>30</v>
      </c>
      <c r="N507" s="17">
        <v>876</v>
      </c>
      <c r="O507" s="18" t="s">
        <v>88</v>
      </c>
      <c r="P507" s="18">
        <v>876</v>
      </c>
      <c r="Q507" s="18">
        <v>30</v>
      </c>
      <c r="R507" s="18"/>
      <c r="S507" s="18"/>
      <c r="T507" s="18"/>
      <c r="U5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07" s="19">
        <f>IF(AUDITORIA[[#This Row],[CAT]]="",0,1)</f>
        <v>1</v>
      </c>
      <c r="W507" s="20">
        <v>46141</v>
      </c>
      <c r="X507" s="21" t="str">
        <f>UPPER(IF(AUDITORIA[[#This Row],[DATA VERIFICAÇÃO]]="","",TEXT(AUDITORIA[[#This Row],[DATA VERIFICAÇÃO]],"mmm")))</f>
        <v>ABR</v>
      </c>
      <c r="Y507" t="s">
        <v>598</v>
      </c>
      <c r="Z507" t="s">
        <v>691</v>
      </c>
      <c r="AA507" t="s">
        <v>692</v>
      </c>
    </row>
    <row r="508" spans="1:27" ht="14.4" hidden="1" customHeight="1" x14ac:dyDescent="0.3">
      <c r="A508" s="4" t="s">
        <v>0</v>
      </c>
      <c r="B508" s="4" t="s">
        <v>17</v>
      </c>
      <c r="C508" s="16" t="s">
        <v>18</v>
      </c>
      <c r="D508" s="4">
        <v>10</v>
      </c>
      <c r="E508" s="4" t="s">
        <v>745</v>
      </c>
      <c r="F508" t="s">
        <v>93</v>
      </c>
      <c r="G508" t="s">
        <v>85</v>
      </c>
      <c r="J508" s="4" t="s">
        <v>88</v>
      </c>
      <c r="K508" s="4" t="s">
        <v>21</v>
      </c>
      <c r="L508" s="4" t="s">
        <v>742</v>
      </c>
      <c r="M508" s="17">
        <v>30</v>
      </c>
      <c r="N508" s="17">
        <v>872</v>
      </c>
      <c r="O508" s="18" t="s">
        <v>88</v>
      </c>
      <c r="P508" s="18">
        <v>872</v>
      </c>
      <c r="Q508" s="18">
        <v>30</v>
      </c>
      <c r="R508" s="18"/>
      <c r="S508" s="18"/>
      <c r="T508" s="18"/>
      <c r="U5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08" s="19">
        <f>IF(AUDITORIA[[#This Row],[CAT]]="",0,1)</f>
        <v>1</v>
      </c>
      <c r="W508" s="20">
        <v>46141</v>
      </c>
      <c r="X508" s="21" t="str">
        <f>UPPER(IF(AUDITORIA[[#This Row],[DATA VERIFICAÇÃO]]="","",TEXT(AUDITORIA[[#This Row],[DATA VERIFICAÇÃO]],"mmm")))</f>
        <v>ABR</v>
      </c>
      <c r="Y508" t="s">
        <v>598</v>
      </c>
      <c r="Z508" t="s">
        <v>691</v>
      </c>
      <c r="AA508" t="s">
        <v>692</v>
      </c>
    </row>
    <row r="509" spans="1:27" ht="14.4" hidden="1" customHeight="1" x14ac:dyDescent="0.3">
      <c r="A509" s="4" t="s">
        <v>0</v>
      </c>
      <c r="B509" s="4" t="s">
        <v>17</v>
      </c>
      <c r="C509" s="16" t="s">
        <v>18</v>
      </c>
      <c r="D509" s="4">
        <v>10</v>
      </c>
      <c r="E509" s="4" t="s">
        <v>745</v>
      </c>
      <c r="F509" t="s">
        <v>90</v>
      </c>
      <c r="G509" t="s">
        <v>85</v>
      </c>
      <c r="J509" s="4" t="s">
        <v>88</v>
      </c>
      <c r="K509" s="4" t="s">
        <v>21</v>
      </c>
      <c r="L509" s="4" t="s">
        <v>742</v>
      </c>
      <c r="M509" s="17">
        <v>30</v>
      </c>
      <c r="N509" s="17">
        <v>871</v>
      </c>
      <c r="O509" s="18" t="s">
        <v>88</v>
      </c>
      <c r="P509" s="18">
        <v>871</v>
      </c>
      <c r="Q509" s="18">
        <v>30</v>
      </c>
      <c r="R509" s="18"/>
      <c r="S509" s="18"/>
      <c r="T509" s="18"/>
      <c r="U5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09" s="19">
        <f>IF(AUDITORIA[[#This Row],[CAT]]="",0,1)</f>
        <v>1</v>
      </c>
      <c r="W509" s="20">
        <v>46141</v>
      </c>
      <c r="X509" s="21" t="str">
        <f>UPPER(IF(AUDITORIA[[#This Row],[DATA VERIFICAÇÃO]]="","",TEXT(AUDITORIA[[#This Row],[DATA VERIFICAÇÃO]],"mmm")))</f>
        <v>ABR</v>
      </c>
      <c r="Y509" t="s">
        <v>598</v>
      </c>
      <c r="Z509" t="s">
        <v>691</v>
      </c>
      <c r="AA509" t="s">
        <v>692</v>
      </c>
    </row>
    <row r="510" spans="1:27" ht="14.4" hidden="1" customHeight="1" x14ac:dyDescent="0.3">
      <c r="A510" s="4" t="s">
        <v>0</v>
      </c>
      <c r="B510" s="4" t="s">
        <v>17</v>
      </c>
      <c r="C510" s="16" t="s">
        <v>18</v>
      </c>
      <c r="D510" s="4">
        <v>10</v>
      </c>
      <c r="E510" s="4" t="s">
        <v>745</v>
      </c>
      <c r="F510" t="s">
        <v>89</v>
      </c>
      <c r="G510" t="s">
        <v>85</v>
      </c>
      <c r="J510" s="4" t="s">
        <v>88</v>
      </c>
      <c r="K510" s="4" t="s">
        <v>21</v>
      </c>
      <c r="L510" s="4" t="s">
        <v>742</v>
      </c>
      <c r="M510" s="17">
        <v>23</v>
      </c>
      <c r="N510" s="17">
        <v>870</v>
      </c>
      <c r="O510" s="18" t="s">
        <v>88</v>
      </c>
      <c r="P510" s="18">
        <v>870</v>
      </c>
      <c r="Q510" s="18">
        <v>23</v>
      </c>
      <c r="R510" s="18"/>
      <c r="S510" s="18"/>
      <c r="T510" s="18"/>
      <c r="U5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10" s="19">
        <f>IF(AUDITORIA[[#This Row],[CAT]]="",0,1)</f>
        <v>1</v>
      </c>
      <c r="W510" s="20">
        <v>46141</v>
      </c>
      <c r="X510" s="21" t="str">
        <f>UPPER(IF(AUDITORIA[[#This Row],[DATA VERIFICAÇÃO]]="","",TEXT(AUDITORIA[[#This Row],[DATA VERIFICAÇÃO]],"mmm")))</f>
        <v>ABR</v>
      </c>
      <c r="Y510" t="s">
        <v>598</v>
      </c>
      <c r="Z510" t="s">
        <v>691</v>
      </c>
      <c r="AA510" t="s">
        <v>692</v>
      </c>
    </row>
    <row r="511" spans="1:27" ht="14.4" hidden="1" customHeight="1" x14ac:dyDescent="0.3">
      <c r="A511" s="4" t="s">
        <v>0</v>
      </c>
      <c r="B511" s="4" t="s">
        <v>17</v>
      </c>
      <c r="C511" s="16" t="s">
        <v>18</v>
      </c>
      <c r="D511" s="4">
        <v>10</v>
      </c>
      <c r="E511" s="4" t="s">
        <v>745</v>
      </c>
      <c r="F511" t="s">
        <v>642</v>
      </c>
      <c r="G511" t="s">
        <v>281</v>
      </c>
      <c r="J511" s="4" t="s">
        <v>31</v>
      </c>
      <c r="K511" s="4" t="s">
        <v>20</v>
      </c>
      <c r="L511" s="4" t="s">
        <v>742</v>
      </c>
      <c r="M511" s="17">
        <v>30</v>
      </c>
      <c r="N511" s="17">
        <v>729</v>
      </c>
      <c r="O511" s="18" t="s">
        <v>31</v>
      </c>
      <c r="P511" s="18">
        <v>729</v>
      </c>
      <c r="Q511" s="18">
        <v>30</v>
      </c>
      <c r="R511" s="18"/>
      <c r="S511" s="18"/>
      <c r="T511" s="18"/>
      <c r="U5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11" s="19">
        <f>IF(AUDITORIA[[#This Row],[CAT]]="",0,1)</f>
        <v>1</v>
      </c>
      <c r="W511" s="20">
        <v>46141</v>
      </c>
      <c r="X511" s="21" t="str">
        <f>UPPER(IF(AUDITORIA[[#This Row],[DATA VERIFICAÇÃO]]="","",TEXT(AUDITORIA[[#This Row],[DATA VERIFICAÇÃO]],"mmm")))</f>
        <v>ABR</v>
      </c>
      <c r="Y511" t="s">
        <v>598</v>
      </c>
      <c r="Z511" t="s">
        <v>691</v>
      </c>
      <c r="AA511" t="s">
        <v>692</v>
      </c>
    </row>
    <row r="512" spans="1:27" ht="14.4" hidden="1" customHeight="1" x14ac:dyDescent="0.3">
      <c r="A512" s="4" t="s">
        <v>0</v>
      </c>
      <c r="B512" s="4" t="s">
        <v>17</v>
      </c>
      <c r="C512" s="16" t="s">
        <v>18</v>
      </c>
      <c r="D512" s="4">
        <v>10</v>
      </c>
      <c r="E512" s="4" t="s">
        <v>745</v>
      </c>
      <c r="F512" t="s">
        <v>640</v>
      </c>
      <c r="G512" t="s">
        <v>281</v>
      </c>
      <c r="J512" s="4" t="s">
        <v>31</v>
      </c>
      <c r="K512" s="4" t="s">
        <v>20</v>
      </c>
      <c r="L512" s="4" t="s">
        <v>742</v>
      </c>
      <c r="M512" s="17">
        <v>30</v>
      </c>
      <c r="N512" s="17">
        <v>760</v>
      </c>
      <c r="O512" s="18" t="s">
        <v>31</v>
      </c>
      <c r="P512" s="18">
        <v>760</v>
      </c>
      <c r="Q512" s="18">
        <v>30</v>
      </c>
      <c r="R512" s="18"/>
      <c r="S512" s="18"/>
      <c r="T512" s="18"/>
      <c r="U5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12" s="19">
        <f>IF(AUDITORIA[[#This Row],[CAT]]="",0,1)</f>
        <v>1</v>
      </c>
      <c r="W512" s="20">
        <v>46141</v>
      </c>
      <c r="X512" s="21" t="str">
        <f>UPPER(IF(AUDITORIA[[#This Row],[DATA VERIFICAÇÃO]]="","",TEXT(AUDITORIA[[#This Row],[DATA VERIFICAÇÃO]],"mmm")))</f>
        <v>ABR</v>
      </c>
      <c r="Y512" t="s">
        <v>598</v>
      </c>
      <c r="Z512" t="s">
        <v>691</v>
      </c>
      <c r="AA512" t="s">
        <v>692</v>
      </c>
    </row>
    <row r="513" spans="1:27" ht="14.4" hidden="1" customHeight="1" x14ac:dyDescent="0.3">
      <c r="A513" s="4" t="s">
        <v>0</v>
      </c>
      <c r="B513" s="4" t="s">
        <v>17</v>
      </c>
      <c r="C513" s="16" t="s">
        <v>18</v>
      </c>
      <c r="D513" s="4">
        <v>10</v>
      </c>
      <c r="E513" s="4" t="s">
        <v>745</v>
      </c>
      <c r="F513" t="s">
        <v>638</v>
      </c>
      <c r="G513" t="s">
        <v>281</v>
      </c>
      <c r="J513" s="4" t="s">
        <v>31</v>
      </c>
      <c r="K513" s="4" t="s">
        <v>20</v>
      </c>
      <c r="L513" s="4" t="s">
        <v>742</v>
      </c>
      <c r="M513" s="17">
        <v>30</v>
      </c>
      <c r="N513" s="17">
        <v>740</v>
      </c>
      <c r="O513" s="18" t="s">
        <v>31</v>
      </c>
      <c r="P513" s="18">
        <v>740</v>
      </c>
      <c r="Q513" s="18">
        <v>30</v>
      </c>
      <c r="R513" s="18"/>
      <c r="S513" s="18"/>
      <c r="T513" s="18"/>
      <c r="U5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13" s="19">
        <f>IF(AUDITORIA[[#This Row],[CAT]]="",0,1)</f>
        <v>1</v>
      </c>
      <c r="W513" s="20">
        <v>46141</v>
      </c>
      <c r="X513" s="21" t="str">
        <f>UPPER(IF(AUDITORIA[[#This Row],[DATA VERIFICAÇÃO]]="","",TEXT(AUDITORIA[[#This Row],[DATA VERIFICAÇÃO]],"mmm")))</f>
        <v>ABR</v>
      </c>
      <c r="Y513" t="s">
        <v>598</v>
      </c>
      <c r="Z513" t="s">
        <v>691</v>
      </c>
      <c r="AA513" t="s">
        <v>692</v>
      </c>
    </row>
    <row r="514" spans="1:27" ht="14.4" hidden="1" customHeight="1" x14ac:dyDescent="0.3">
      <c r="A514" s="4" t="s">
        <v>0</v>
      </c>
      <c r="B514" s="4" t="s">
        <v>17</v>
      </c>
      <c r="C514" s="16" t="s">
        <v>18</v>
      </c>
      <c r="D514" s="4">
        <v>10</v>
      </c>
      <c r="E514" s="4" t="s">
        <v>745</v>
      </c>
      <c r="F514" t="s">
        <v>637</v>
      </c>
      <c r="G514" t="s">
        <v>281</v>
      </c>
      <c r="J514" s="4" t="s">
        <v>31</v>
      </c>
      <c r="K514" s="4" t="s">
        <v>20</v>
      </c>
      <c r="L514" s="4" t="s">
        <v>742</v>
      </c>
      <c r="M514" s="17">
        <v>6</v>
      </c>
      <c r="N514" s="17">
        <v>733</v>
      </c>
      <c r="O514" s="18" t="s">
        <v>31</v>
      </c>
      <c r="P514" s="18">
        <v>733</v>
      </c>
      <c r="Q514" s="18">
        <v>6</v>
      </c>
      <c r="R514" s="18"/>
      <c r="S514" s="18"/>
      <c r="T514" s="18"/>
      <c r="U5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14" s="19">
        <f>IF(AUDITORIA[[#This Row],[CAT]]="",0,1)</f>
        <v>1</v>
      </c>
      <c r="W514" s="20">
        <v>46141</v>
      </c>
      <c r="X514" s="21" t="str">
        <f>UPPER(IF(AUDITORIA[[#This Row],[DATA VERIFICAÇÃO]]="","",TEXT(AUDITORIA[[#This Row],[DATA VERIFICAÇÃO]],"mmm")))</f>
        <v>ABR</v>
      </c>
      <c r="Y514" t="s">
        <v>598</v>
      </c>
      <c r="Z514" t="s">
        <v>691</v>
      </c>
      <c r="AA514" t="s">
        <v>692</v>
      </c>
    </row>
    <row r="515" spans="1:27" ht="14.4" hidden="1" customHeight="1" x14ac:dyDescent="0.3">
      <c r="A515" s="4" t="s">
        <v>0</v>
      </c>
      <c r="B515" s="4" t="s">
        <v>17</v>
      </c>
      <c r="C515" s="16" t="s">
        <v>18</v>
      </c>
      <c r="D515" s="4">
        <v>10</v>
      </c>
      <c r="E515" s="4" t="s">
        <v>745</v>
      </c>
      <c r="F515" t="s">
        <v>641</v>
      </c>
      <c r="G515" t="s">
        <v>281</v>
      </c>
      <c r="J515" s="4" t="s">
        <v>31</v>
      </c>
      <c r="K515" s="4" t="s">
        <v>21</v>
      </c>
      <c r="L515" s="4" t="s">
        <v>742</v>
      </c>
      <c r="M515" s="17">
        <v>30</v>
      </c>
      <c r="N515" s="17">
        <v>929</v>
      </c>
      <c r="O515" s="18" t="s">
        <v>31</v>
      </c>
      <c r="P515" s="18">
        <v>929</v>
      </c>
      <c r="Q515" s="18">
        <v>30</v>
      </c>
      <c r="R515" s="18"/>
      <c r="S515" s="18"/>
      <c r="T515" s="18"/>
      <c r="U5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15" s="19">
        <f>IF(AUDITORIA[[#This Row],[CAT]]="",0,1)</f>
        <v>1</v>
      </c>
      <c r="W515" s="20">
        <v>46141</v>
      </c>
      <c r="X515" s="21" t="str">
        <f>UPPER(IF(AUDITORIA[[#This Row],[DATA VERIFICAÇÃO]]="","",TEXT(AUDITORIA[[#This Row],[DATA VERIFICAÇÃO]],"mmm")))</f>
        <v>ABR</v>
      </c>
      <c r="Y515" t="s">
        <v>598</v>
      </c>
      <c r="Z515" t="s">
        <v>691</v>
      </c>
      <c r="AA515" t="s">
        <v>692</v>
      </c>
    </row>
    <row r="516" spans="1:27" ht="14.4" hidden="1" customHeight="1" x14ac:dyDescent="0.3">
      <c r="A516" s="4" t="s">
        <v>0</v>
      </c>
      <c r="B516" s="4" t="s">
        <v>17</v>
      </c>
      <c r="C516" s="16" t="s">
        <v>18</v>
      </c>
      <c r="D516" s="4">
        <v>10</v>
      </c>
      <c r="E516" s="4" t="s">
        <v>745</v>
      </c>
      <c r="F516" t="s">
        <v>639</v>
      </c>
      <c r="G516" t="s">
        <v>281</v>
      </c>
      <c r="J516" s="4" t="s">
        <v>31</v>
      </c>
      <c r="K516" s="4" t="s">
        <v>21</v>
      </c>
      <c r="L516" s="4" t="s">
        <v>742</v>
      </c>
      <c r="M516" s="17">
        <v>30</v>
      </c>
      <c r="N516" s="17">
        <v>913</v>
      </c>
      <c r="O516" s="18" t="s">
        <v>31</v>
      </c>
      <c r="P516" s="18">
        <v>913</v>
      </c>
      <c r="Q516" s="18">
        <v>30</v>
      </c>
      <c r="R516" s="18"/>
      <c r="S516" s="18"/>
      <c r="T516" s="18"/>
      <c r="U5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16" s="19">
        <f>IF(AUDITORIA[[#This Row],[CAT]]="",0,1)</f>
        <v>1</v>
      </c>
      <c r="W516" s="20">
        <v>46141</v>
      </c>
      <c r="X516" s="21" t="str">
        <f>UPPER(IF(AUDITORIA[[#This Row],[DATA VERIFICAÇÃO]]="","",TEXT(AUDITORIA[[#This Row],[DATA VERIFICAÇÃO]],"mmm")))</f>
        <v>ABR</v>
      </c>
      <c r="Y516" t="s">
        <v>598</v>
      </c>
      <c r="Z516" t="s">
        <v>691</v>
      </c>
      <c r="AA516" t="s">
        <v>692</v>
      </c>
    </row>
    <row r="517" spans="1:27" ht="14.4" hidden="1" customHeight="1" x14ac:dyDescent="0.3">
      <c r="A517" s="4" t="s">
        <v>0</v>
      </c>
      <c r="B517" s="4" t="s">
        <v>17</v>
      </c>
      <c r="C517" s="16" t="s">
        <v>18</v>
      </c>
      <c r="D517" s="4">
        <v>10</v>
      </c>
      <c r="E517" s="4" t="s">
        <v>745</v>
      </c>
      <c r="F517" t="s">
        <v>636</v>
      </c>
      <c r="G517" t="s">
        <v>281</v>
      </c>
      <c r="J517" s="4" t="s">
        <v>31</v>
      </c>
      <c r="K517" s="4" t="s">
        <v>21</v>
      </c>
      <c r="L517" s="4" t="s">
        <v>742</v>
      </c>
      <c r="M517" s="17">
        <v>30</v>
      </c>
      <c r="N517" s="17">
        <v>900</v>
      </c>
      <c r="O517" s="18" t="s">
        <v>31</v>
      </c>
      <c r="P517" s="18">
        <v>900</v>
      </c>
      <c r="Q517" s="18">
        <v>30</v>
      </c>
      <c r="R517" s="18"/>
      <c r="S517" s="18"/>
      <c r="T517" s="18"/>
      <c r="U5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17" s="19">
        <f>IF(AUDITORIA[[#This Row],[CAT]]="",0,1)</f>
        <v>1</v>
      </c>
      <c r="W517" s="20">
        <v>46141</v>
      </c>
      <c r="X517" s="21" t="str">
        <f>UPPER(IF(AUDITORIA[[#This Row],[DATA VERIFICAÇÃO]]="","",TEXT(AUDITORIA[[#This Row],[DATA VERIFICAÇÃO]],"mmm")))</f>
        <v>ABR</v>
      </c>
      <c r="Y517" t="s">
        <v>598</v>
      </c>
      <c r="Z517" t="s">
        <v>691</v>
      </c>
      <c r="AA517" t="s">
        <v>692</v>
      </c>
    </row>
    <row r="518" spans="1:27" ht="14.4" hidden="1" customHeight="1" x14ac:dyDescent="0.3">
      <c r="A518" s="4" t="s">
        <v>0</v>
      </c>
      <c r="B518" s="4" t="s">
        <v>17</v>
      </c>
      <c r="C518" s="16" t="s">
        <v>18</v>
      </c>
      <c r="D518" s="4">
        <v>10</v>
      </c>
      <c r="E518" s="4" t="s">
        <v>745</v>
      </c>
      <c r="F518" t="s">
        <v>632</v>
      </c>
      <c r="G518" t="s">
        <v>625</v>
      </c>
      <c r="J518" s="4" t="s">
        <v>31</v>
      </c>
      <c r="K518" s="4" t="s">
        <v>20</v>
      </c>
      <c r="L518" s="4" t="s">
        <v>742</v>
      </c>
      <c r="M518" s="17">
        <v>30</v>
      </c>
      <c r="N518" s="17">
        <v>583</v>
      </c>
      <c r="O518" s="18" t="s">
        <v>31</v>
      </c>
      <c r="P518" s="18">
        <v>583</v>
      </c>
      <c r="Q518" s="18">
        <v>30</v>
      </c>
      <c r="R518" s="18"/>
      <c r="S518" s="18"/>
      <c r="T518" s="18"/>
      <c r="U5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18" s="19">
        <f>IF(AUDITORIA[[#This Row],[CAT]]="",0,1)</f>
        <v>1</v>
      </c>
      <c r="W518" s="20">
        <v>46141</v>
      </c>
      <c r="X518" s="21" t="str">
        <f>UPPER(IF(AUDITORIA[[#This Row],[DATA VERIFICAÇÃO]]="","",TEXT(AUDITORIA[[#This Row],[DATA VERIFICAÇÃO]],"mmm")))</f>
        <v>ABR</v>
      </c>
      <c r="Y518" t="s">
        <v>598</v>
      </c>
      <c r="Z518" t="s">
        <v>691</v>
      </c>
      <c r="AA518" t="s">
        <v>692</v>
      </c>
    </row>
    <row r="519" spans="1:27" ht="14.4" hidden="1" customHeight="1" x14ac:dyDescent="0.3">
      <c r="A519" s="4" t="s">
        <v>0</v>
      </c>
      <c r="B519" s="4" t="s">
        <v>17</v>
      </c>
      <c r="C519" s="16" t="s">
        <v>18</v>
      </c>
      <c r="D519" s="4">
        <v>10</v>
      </c>
      <c r="E519" s="4" t="s">
        <v>745</v>
      </c>
      <c r="F519" t="s">
        <v>627</v>
      </c>
      <c r="G519" t="s">
        <v>625</v>
      </c>
      <c r="J519" s="4" t="s">
        <v>31</v>
      </c>
      <c r="K519" s="4" t="s">
        <v>20</v>
      </c>
      <c r="L519" s="4" t="s">
        <v>742</v>
      </c>
      <c r="M519" s="17">
        <v>30</v>
      </c>
      <c r="N519" s="17">
        <v>544</v>
      </c>
      <c r="O519" s="18" t="s">
        <v>31</v>
      </c>
      <c r="P519" s="18">
        <v>544</v>
      </c>
      <c r="Q519" s="18">
        <v>30</v>
      </c>
      <c r="R519" s="18"/>
      <c r="S519" s="18"/>
      <c r="T519" s="18"/>
      <c r="U5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19" s="19">
        <f>IF(AUDITORIA[[#This Row],[CAT]]="",0,1)</f>
        <v>1</v>
      </c>
      <c r="W519" s="20">
        <v>46141</v>
      </c>
      <c r="X519" s="21" t="str">
        <f>UPPER(IF(AUDITORIA[[#This Row],[DATA VERIFICAÇÃO]]="","",TEXT(AUDITORIA[[#This Row],[DATA VERIFICAÇÃO]],"mmm")))</f>
        <v>ABR</v>
      </c>
      <c r="Y519" t="s">
        <v>598</v>
      </c>
      <c r="Z519" t="s">
        <v>691</v>
      </c>
      <c r="AA519" t="s">
        <v>692</v>
      </c>
    </row>
    <row r="520" spans="1:27" ht="14.4" hidden="1" customHeight="1" x14ac:dyDescent="0.3">
      <c r="A520" s="4" t="s">
        <v>0</v>
      </c>
      <c r="B520" s="4" t="s">
        <v>17</v>
      </c>
      <c r="C520" s="16" t="s">
        <v>18</v>
      </c>
      <c r="D520" s="4">
        <v>10</v>
      </c>
      <c r="E520" s="4" t="s">
        <v>745</v>
      </c>
      <c r="F520" t="s">
        <v>626</v>
      </c>
      <c r="G520" t="s">
        <v>625</v>
      </c>
      <c r="J520" s="4" t="s">
        <v>31</v>
      </c>
      <c r="K520" s="4" t="s">
        <v>20</v>
      </c>
      <c r="L520" s="4" t="s">
        <v>742</v>
      </c>
      <c r="M520" s="17">
        <v>9</v>
      </c>
      <c r="N520" s="17">
        <v>553</v>
      </c>
      <c r="O520" s="18" t="s">
        <v>31</v>
      </c>
      <c r="P520" s="18">
        <v>553</v>
      </c>
      <c r="Q520" s="18">
        <v>9</v>
      </c>
      <c r="R520" s="18"/>
      <c r="S520" s="18"/>
      <c r="T520" s="18"/>
      <c r="U5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20" s="19">
        <f>IF(AUDITORIA[[#This Row],[CAT]]="",0,1)</f>
        <v>1</v>
      </c>
      <c r="W520" s="20">
        <v>46141</v>
      </c>
      <c r="X520" s="21" t="str">
        <f>UPPER(IF(AUDITORIA[[#This Row],[DATA VERIFICAÇÃO]]="","",TEXT(AUDITORIA[[#This Row],[DATA VERIFICAÇÃO]],"mmm")))</f>
        <v>ABR</v>
      </c>
      <c r="Y520" t="s">
        <v>598</v>
      </c>
      <c r="Z520" t="s">
        <v>691</v>
      </c>
      <c r="AA520" t="s">
        <v>692</v>
      </c>
    </row>
    <row r="521" spans="1:27" ht="14.4" hidden="1" customHeight="1" x14ac:dyDescent="0.3">
      <c r="A521" s="4" t="s">
        <v>0</v>
      </c>
      <c r="B521" s="4" t="s">
        <v>17</v>
      </c>
      <c r="C521" s="16" t="s">
        <v>18</v>
      </c>
      <c r="D521" s="4">
        <v>10</v>
      </c>
      <c r="E521" s="4" t="s">
        <v>745</v>
      </c>
      <c r="F521" t="s">
        <v>635</v>
      </c>
      <c r="G521" t="s">
        <v>625</v>
      </c>
      <c r="J521" s="4" t="s">
        <v>31</v>
      </c>
      <c r="K521" s="4" t="s">
        <v>21</v>
      </c>
      <c r="L521" s="4" t="s">
        <v>742</v>
      </c>
      <c r="M521" s="17">
        <v>30</v>
      </c>
      <c r="N521" s="17">
        <v>712</v>
      </c>
      <c r="O521" s="18" t="s">
        <v>31</v>
      </c>
      <c r="P521" s="18">
        <v>712</v>
      </c>
      <c r="Q521" s="18">
        <v>30</v>
      </c>
      <c r="R521" s="18"/>
      <c r="S521" s="18"/>
      <c r="T521" s="18"/>
      <c r="U5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21" s="19">
        <f>IF(AUDITORIA[[#This Row],[CAT]]="",0,1)</f>
        <v>1</v>
      </c>
      <c r="W521" s="20">
        <v>46141</v>
      </c>
      <c r="X521" s="21" t="str">
        <f>UPPER(IF(AUDITORIA[[#This Row],[DATA VERIFICAÇÃO]]="","",TEXT(AUDITORIA[[#This Row],[DATA VERIFICAÇÃO]],"mmm")))</f>
        <v>ABR</v>
      </c>
      <c r="Y521" t="s">
        <v>598</v>
      </c>
      <c r="Z521" t="s">
        <v>691</v>
      </c>
      <c r="AA521" t="s">
        <v>692</v>
      </c>
    </row>
    <row r="522" spans="1:27" ht="14.4" hidden="1" customHeight="1" x14ac:dyDescent="0.3">
      <c r="A522" s="4" t="s">
        <v>0</v>
      </c>
      <c r="B522" s="4" t="s">
        <v>17</v>
      </c>
      <c r="C522" s="16" t="s">
        <v>18</v>
      </c>
      <c r="D522" s="4">
        <v>10</v>
      </c>
      <c r="E522" s="4" t="s">
        <v>745</v>
      </c>
      <c r="F522" t="s">
        <v>634</v>
      </c>
      <c r="G522" t="s">
        <v>625</v>
      </c>
      <c r="J522" s="4" t="s">
        <v>31</v>
      </c>
      <c r="K522" s="4" t="s">
        <v>21</v>
      </c>
      <c r="L522" s="4" t="s">
        <v>742</v>
      </c>
      <c r="M522" s="17">
        <v>30</v>
      </c>
      <c r="N522" s="17">
        <v>720</v>
      </c>
      <c r="O522" s="18" t="s">
        <v>31</v>
      </c>
      <c r="P522" s="18">
        <v>720</v>
      </c>
      <c r="Q522" s="18">
        <v>30</v>
      </c>
      <c r="R522" s="18"/>
      <c r="S522" s="18"/>
      <c r="T522" s="18"/>
      <c r="U5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22" s="19">
        <f>IF(AUDITORIA[[#This Row],[CAT]]="",0,1)</f>
        <v>1</v>
      </c>
      <c r="W522" s="20">
        <v>46141</v>
      </c>
      <c r="X522" s="21" t="str">
        <f>UPPER(IF(AUDITORIA[[#This Row],[DATA VERIFICAÇÃO]]="","",TEXT(AUDITORIA[[#This Row],[DATA VERIFICAÇÃO]],"mmm")))</f>
        <v>ABR</v>
      </c>
      <c r="Y522" t="s">
        <v>598</v>
      </c>
      <c r="Z522" t="s">
        <v>691</v>
      </c>
      <c r="AA522" t="s">
        <v>692</v>
      </c>
    </row>
    <row r="523" spans="1:27" ht="14.4" hidden="1" customHeight="1" x14ac:dyDescent="0.3">
      <c r="A523" s="4" t="s">
        <v>0</v>
      </c>
      <c r="B523" s="4" t="s">
        <v>17</v>
      </c>
      <c r="C523" s="16" t="s">
        <v>18</v>
      </c>
      <c r="D523" s="4">
        <v>10</v>
      </c>
      <c r="E523" s="4" t="s">
        <v>745</v>
      </c>
      <c r="F523" t="s">
        <v>633</v>
      </c>
      <c r="G523" t="s">
        <v>625</v>
      </c>
      <c r="J523" s="4" t="s">
        <v>31</v>
      </c>
      <c r="K523" s="4" t="s">
        <v>21</v>
      </c>
      <c r="L523" s="4" t="s">
        <v>742</v>
      </c>
      <c r="M523" s="17">
        <v>30</v>
      </c>
      <c r="N523" s="17">
        <v>770</v>
      </c>
      <c r="O523" s="18" t="s">
        <v>31</v>
      </c>
      <c r="P523" s="18">
        <v>770</v>
      </c>
      <c r="Q523" s="18">
        <v>30</v>
      </c>
      <c r="R523" s="18"/>
      <c r="S523" s="18"/>
      <c r="T523" s="18"/>
      <c r="U5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23" s="19">
        <f>IF(AUDITORIA[[#This Row],[CAT]]="",0,1)</f>
        <v>1</v>
      </c>
      <c r="W523" s="20">
        <v>46141</v>
      </c>
      <c r="X523" s="21" t="str">
        <f>UPPER(IF(AUDITORIA[[#This Row],[DATA VERIFICAÇÃO]]="","",TEXT(AUDITORIA[[#This Row],[DATA VERIFICAÇÃO]],"mmm")))</f>
        <v>ABR</v>
      </c>
      <c r="Y523" t="s">
        <v>598</v>
      </c>
      <c r="Z523" t="s">
        <v>691</v>
      </c>
      <c r="AA523" t="s">
        <v>692</v>
      </c>
    </row>
    <row r="524" spans="1:27" ht="14.4" hidden="1" customHeight="1" x14ac:dyDescent="0.3">
      <c r="A524" s="4" t="s">
        <v>0</v>
      </c>
      <c r="B524" s="4" t="s">
        <v>17</v>
      </c>
      <c r="C524" s="16" t="s">
        <v>18</v>
      </c>
      <c r="D524" s="4">
        <v>10</v>
      </c>
      <c r="E524" s="4" t="s">
        <v>745</v>
      </c>
      <c r="F524" t="s">
        <v>631</v>
      </c>
      <c r="G524" t="s">
        <v>625</v>
      </c>
      <c r="J524" s="4" t="s">
        <v>31</v>
      </c>
      <c r="K524" s="4" t="s">
        <v>21</v>
      </c>
      <c r="L524" s="4" t="s">
        <v>742</v>
      </c>
      <c r="M524" s="17">
        <v>30</v>
      </c>
      <c r="N524" s="17">
        <v>718</v>
      </c>
      <c r="O524" s="18" t="s">
        <v>31</v>
      </c>
      <c r="P524" s="18">
        <v>718</v>
      </c>
      <c r="Q524" s="18">
        <v>30</v>
      </c>
      <c r="R524" s="18"/>
      <c r="S524" s="18"/>
      <c r="T524" s="18"/>
      <c r="U5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24" s="19">
        <f>IF(AUDITORIA[[#This Row],[CAT]]="",0,1)</f>
        <v>1</v>
      </c>
      <c r="W524" s="20">
        <v>46141</v>
      </c>
      <c r="X524" s="21" t="str">
        <f>UPPER(IF(AUDITORIA[[#This Row],[DATA VERIFICAÇÃO]]="","",TEXT(AUDITORIA[[#This Row],[DATA VERIFICAÇÃO]],"mmm")))</f>
        <v>ABR</v>
      </c>
      <c r="Y524" t="s">
        <v>598</v>
      </c>
      <c r="Z524" t="s">
        <v>691</v>
      </c>
      <c r="AA524" t="s">
        <v>692</v>
      </c>
    </row>
    <row r="525" spans="1:27" ht="14.4" hidden="1" customHeight="1" x14ac:dyDescent="0.3">
      <c r="A525" s="4" t="s">
        <v>0</v>
      </c>
      <c r="B525" s="4" t="s">
        <v>17</v>
      </c>
      <c r="C525" s="16" t="s">
        <v>18</v>
      </c>
      <c r="D525" s="4">
        <v>10</v>
      </c>
      <c r="E525" s="4" t="s">
        <v>745</v>
      </c>
      <c r="F525" t="s">
        <v>630</v>
      </c>
      <c r="G525" t="s">
        <v>625</v>
      </c>
      <c r="J525" s="4" t="s">
        <v>31</v>
      </c>
      <c r="K525" s="4" t="s">
        <v>21</v>
      </c>
      <c r="L525" s="4" t="s">
        <v>742</v>
      </c>
      <c r="M525" s="17">
        <v>30</v>
      </c>
      <c r="N525" s="17">
        <v>720</v>
      </c>
      <c r="O525" s="18" t="s">
        <v>31</v>
      </c>
      <c r="P525" s="18">
        <v>720</v>
      </c>
      <c r="Q525" s="18">
        <v>30</v>
      </c>
      <c r="R525" s="18"/>
      <c r="S525" s="18"/>
      <c r="T525" s="18"/>
      <c r="U5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25" s="19">
        <f>IF(AUDITORIA[[#This Row],[CAT]]="",0,1)</f>
        <v>1</v>
      </c>
      <c r="W525" s="20">
        <v>46141</v>
      </c>
      <c r="X525" s="21" t="str">
        <f>UPPER(IF(AUDITORIA[[#This Row],[DATA VERIFICAÇÃO]]="","",TEXT(AUDITORIA[[#This Row],[DATA VERIFICAÇÃO]],"mmm")))</f>
        <v>ABR</v>
      </c>
      <c r="Y525" t="s">
        <v>598</v>
      </c>
      <c r="Z525" t="s">
        <v>691</v>
      </c>
      <c r="AA525" t="s">
        <v>692</v>
      </c>
    </row>
    <row r="526" spans="1:27" ht="14.4" hidden="1" customHeight="1" x14ac:dyDescent="0.3">
      <c r="A526" s="4" t="s">
        <v>0</v>
      </c>
      <c r="B526" s="4" t="s">
        <v>17</v>
      </c>
      <c r="C526" s="16" t="s">
        <v>18</v>
      </c>
      <c r="D526" s="4">
        <v>10</v>
      </c>
      <c r="E526" s="4" t="s">
        <v>745</v>
      </c>
      <c r="F526" t="s">
        <v>629</v>
      </c>
      <c r="G526" t="s">
        <v>625</v>
      </c>
      <c r="J526" s="4" t="s">
        <v>31</v>
      </c>
      <c r="K526" s="4" t="s">
        <v>21</v>
      </c>
      <c r="L526" s="4" t="s">
        <v>742</v>
      </c>
      <c r="M526" s="17">
        <v>30</v>
      </c>
      <c r="N526" s="17">
        <v>717</v>
      </c>
      <c r="O526" s="18" t="s">
        <v>31</v>
      </c>
      <c r="P526" s="18">
        <v>717</v>
      </c>
      <c r="Q526" s="18">
        <v>30</v>
      </c>
      <c r="R526" s="18"/>
      <c r="S526" s="18"/>
      <c r="T526" s="18"/>
      <c r="U5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26" s="19">
        <f>IF(AUDITORIA[[#This Row],[CAT]]="",0,1)</f>
        <v>1</v>
      </c>
      <c r="W526" s="20">
        <v>46141</v>
      </c>
      <c r="X526" s="21" t="str">
        <f>UPPER(IF(AUDITORIA[[#This Row],[DATA VERIFICAÇÃO]]="","",TEXT(AUDITORIA[[#This Row],[DATA VERIFICAÇÃO]],"mmm")))</f>
        <v>ABR</v>
      </c>
      <c r="Y526" t="s">
        <v>598</v>
      </c>
      <c r="Z526" t="s">
        <v>691</v>
      </c>
      <c r="AA526" t="s">
        <v>692</v>
      </c>
    </row>
    <row r="527" spans="1:27" ht="14.4" hidden="1" customHeight="1" x14ac:dyDescent="0.3">
      <c r="A527" s="4" t="s">
        <v>0</v>
      </c>
      <c r="B527" s="4" t="s">
        <v>17</v>
      </c>
      <c r="C527" s="16" t="s">
        <v>18</v>
      </c>
      <c r="D527" s="4">
        <v>10</v>
      </c>
      <c r="E527" s="4" t="s">
        <v>745</v>
      </c>
      <c r="F527" t="s">
        <v>628</v>
      </c>
      <c r="G527" t="s">
        <v>625</v>
      </c>
      <c r="J527" s="4" t="s">
        <v>31</v>
      </c>
      <c r="K527" s="4" t="s">
        <v>21</v>
      </c>
      <c r="L527" s="4" t="s">
        <v>742</v>
      </c>
      <c r="M527" s="17">
        <v>30</v>
      </c>
      <c r="N527" s="17">
        <v>725</v>
      </c>
      <c r="O527" s="18" t="s">
        <v>31</v>
      </c>
      <c r="P527" s="18">
        <v>725</v>
      </c>
      <c r="Q527" s="18">
        <v>30</v>
      </c>
      <c r="R527" s="18"/>
      <c r="S527" s="18"/>
      <c r="T527" s="18"/>
      <c r="U5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27" s="19">
        <f>IF(AUDITORIA[[#This Row],[CAT]]="",0,1)</f>
        <v>1</v>
      </c>
      <c r="W527" s="20">
        <v>46141</v>
      </c>
      <c r="X527" s="21" t="str">
        <f>UPPER(IF(AUDITORIA[[#This Row],[DATA VERIFICAÇÃO]]="","",TEXT(AUDITORIA[[#This Row],[DATA VERIFICAÇÃO]],"mmm")))</f>
        <v>ABR</v>
      </c>
      <c r="Y527" t="s">
        <v>598</v>
      </c>
      <c r="Z527" t="s">
        <v>691</v>
      </c>
      <c r="AA527" t="s">
        <v>692</v>
      </c>
    </row>
    <row r="528" spans="1:27" ht="14.4" hidden="1" customHeight="1" x14ac:dyDescent="0.3">
      <c r="A528" s="4" t="s">
        <v>0</v>
      </c>
      <c r="B528" s="4" t="s">
        <v>17</v>
      </c>
      <c r="C528" s="16" t="s">
        <v>18</v>
      </c>
      <c r="D528" s="4">
        <v>10</v>
      </c>
      <c r="E528" s="4" t="s">
        <v>745</v>
      </c>
      <c r="F528" t="s">
        <v>624</v>
      </c>
      <c r="G528" t="s">
        <v>625</v>
      </c>
      <c r="J528" s="4" t="s">
        <v>31</v>
      </c>
      <c r="K528" s="4" t="s">
        <v>21</v>
      </c>
      <c r="L528" s="4" t="s">
        <v>742</v>
      </c>
      <c r="M528" s="17">
        <v>18</v>
      </c>
      <c r="N528" s="17">
        <v>723</v>
      </c>
      <c r="O528" s="18" t="s">
        <v>31</v>
      </c>
      <c r="P528" s="18">
        <v>723</v>
      </c>
      <c r="Q528" s="18">
        <v>18</v>
      </c>
      <c r="R528" s="18"/>
      <c r="S528" s="18"/>
      <c r="T528" s="18"/>
      <c r="U5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28" s="19">
        <f>IF(AUDITORIA[[#This Row],[CAT]]="",0,1)</f>
        <v>1</v>
      </c>
      <c r="W528" s="20">
        <v>46141</v>
      </c>
      <c r="X528" s="21" t="str">
        <f>UPPER(IF(AUDITORIA[[#This Row],[DATA VERIFICAÇÃO]]="","",TEXT(AUDITORIA[[#This Row],[DATA VERIFICAÇÃO]],"mmm")))</f>
        <v>ABR</v>
      </c>
      <c r="Y528" t="s">
        <v>598</v>
      </c>
      <c r="Z528" t="s">
        <v>691</v>
      </c>
      <c r="AA528" t="s">
        <v>692</v>
      </c>
    </row>
    <row r="529" spans="1:27" ht="14.4" hidden="1" customHeight="1" x14ac:dyDescent="0.3">
      <c r="A529" s="4" t="s">
        <v>0</v>
      </c>
      <c r="B529" s="4" t="s">
        <v>17</v>
      </c>
      <c r="C529" s="16" t="s">
        <v>18</v>
      </c>
      <c r="D529" s="4">
        <v>10</v>
      </c>
      <c r="E529" s="4" t="s">
        <v>745</v>
      </c>
      <c r="F529" t="s">
        <v>83</v>
      </c>
      <c r="G529" t="s">
        <v>66</v>
      </c>
      <c r="J529" s="4" t="s">
        <v>55</v>
      </c>
      <c r="K529" s="4" t="s">
        <v>20</v>
      </c>
      <c r="L529" s="4" t="s">
        <v>742</v>
      </c>
      <c r="M529" s="17">
        <v>30</v>
      </c>
      <c r="N529" s="17">
        <v>765</v>
      </c>
      <c r="O529" s="18" t="s">
        <v>55</v>
      </c>
      <c r="P529" s="18">
        <v>765</v>
      </c>
      <c r="Q529" s="18">
        <v>30</v>
      </c>
      <c r="R529" s="18"/>
      <c r="S529" s="18"/>
      <c r="T529" s="18"/>
      <c r="U5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29" s="19">
        <f>IF(AUDITORIA[[#This Row],[CAT]]="",0,1)</f>
        <v>1</v>
      </c>
      <c r="W529" s="20">
        <v>46141</v>
      </c>
      <c r="X529" s="21" t="str">
        <f>UPPER(IF(AUDITORIA[[#This Row],[DATA VERIFICAÇÃO]]="","",TEXT(AUDITORIA[[#This Row],[DATA VERIFICAÇÃO]],"mmm")))</f>
        <v>ABR</v>
      </c>
      <c r="Y529" t="s">
        <v>598</v>
      </c>
      <c r="Z529" t="s">
        <v>691</v>
      </c>
      <c r="AA529" t="s">
        <v>692</v>
      </c>
    </row>
    <row r="530" spans="1:27" ht="14.4" hidden="1" customHeight="1" x14ac:dyDescent="0.3">
      <c r="A530" s="4" t="s">
        <v>0</v>
      </c>
      <c r="B530" s="4" t="s">
        <v>17</v>
      </c>
      <c r="C530" s="16" t="s">
        <v>18</v>
      </c>
      <c r="D530" s="4">
        <v>10</v>
      </c>
      <c r="E530" s="4" t="s">
        <v>745</v>
      </c>
      <c r="F530" t="s">
        <v>81</v>
      </c>
      <c r="G530" t="s">
        <v>66</v>
      </c>
      <c r="J530" s="4" t="s">
        <v>55</v>
      </c>
      <c r="K530" s="4" t="s">
        <v>20</v>
      </c>
      <c r="L530" s="4" t="s">
        <v>742</v>
      </c>
      <c r="M530" s="17">
        <v>30</v>
      </c>
      <c r="N530" s="17">
        <v>771</v>
      </c>
      <c r="O530" s="18" t="s">
        <v>55</v>
      </c>
      <c r="P530" s="18">
        <v>771</v>
      </c>
      <c r="Q530" s="18">
        <v>30</v>
      </c>
      <c r="R530" s="18"/>
      <c r="S530" s="18"/>
      <c r="T530" s="18"/>
      <c r="U5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30" s="19">
        <f>IF(AUDITORIA[[#This Row],[CAT]]="",0,1)</f>
        <v>1</v>
      </c>
      <c r="W530" s="20">
        <v>46141</v>
      </c>
      <c r="X530" s="21" t="str">
        <f>UPPER(IF(AUDITORIA[[#This Row],[DATA VERIFICAÇÃO]]="","",TEXT(AUDITORIA[[#This Row],[DATA VERIFICAÇÃO]],"mmm")))</f>
        <v>ABR</v>
      </c>
      <c r="Y530" t="s">
        <v>598</v>
      </c>
      <c r="Z530" t="s">
        <v>691</v>
      </c>
      <c r="AA530" t="s">
        <v>692</v>
      </c>
    </row>
    <row r="531" spans="1:27" ht="14.4" hidden="1" customHeight="1" x14ac:dyDescent="0.3">
      <c r="A531" s="4" t="s">
        <v>0</v>
      </c>
      <c r="B531" s="4" t="s">
        <v>17</v>
      </c>
      <c r="C531" s="16" t="s">
        <v>18</v>
      </c>
      <c r="D531" s="4">
        <v>10</v>
      </c>
      <c r="E531" s="4" t="s">
        <v>745</v>
      </c>
      <c r="F531" t="s">
        <v>80</v>
      </c>
      <c r="G531" t="s">
        <v>66</v>
      </c>
      <c r="J531" s="4" t="s">
        <v>55</v>
      </c>
      <c r="K531" s="4" t="s">
        <v>20</v>
      </c>
      <c r="L531" s="4" t="s">
        <v>742</v>
      </c>
      <c r="M531" s="17">
        <v>30</v>
      </c>
      <c r="N531" s="17">
        <v>780</v>
      </c>
      <c r="O531" s="18" t="s">
        <v>55</v>
      </c>
      <c r="P531" s="18">
        <v>780</v>
      </c>
      <c r="Q531" s="18">
        <v>30</v>
      </c>
      <c r="R531" s="18"/>
      <c r="S531" s="18"/>
      <c r="T531" s="18"/>
      <c r="U5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31" s="19">
        <f>IF(AUDITORIA[[#This Row],[CAT]]="",0,1)</f>
        <v>1</v>
      </c>
      <c r="W531" s="20">
        <v>46141</v>
      </c>
      <c r="X531" s="21" t="str">
        <f>UPPER(IF(AUDITORIA[[#This Row],[DATA VERIFICAÇÃO]]="","",TEXT(AUDITORIA[[#This Row],[DATA VERIFICAÇÃO]],"mmm")))</f>
        <v>ABR</v>
      </c>
      <c r="Y531" t="s">
        <v>598</v>
      </c>
      <c r="Z531" t="s">
        <v>691</v>
      </c>
      <c r="AA531" t="s">
        <v>692</v>
      </c>
    </row>
    <row r="532" spans="1:27" ht="14.4" hidden="1" customHeight="1" x14ac:dyDescent="0.3">
      <c r="A532" s="4" t="s">
        <v>0</v>
      </c>
      <c r="B532" s="4" t="s">
        <v>17</v>
      </c>
      <c r="C532" s="16" t="s">
        <v>18</v>
      </c>
      <c r="D532" s="4">
        <v>10</v>
      </c>
      <c r="E532" s="4" t="s">
        <v>745</v>
      </c>
      <c r="F532" t="s">
        <v>78</v>
      </c>
      <c r="G532" t="s">
        <v>66</v>
      </c>
      <c r="J532" s="4" t="s">
        <v>55</v>
      </c>
      <c r="K532" s="4" t="s">
        <v>20</v>
      </c>
      <c r="L532" s="4" t="s">
        <v>742</v>
      </c>
      <c r="M532" s="17">
        <v>10</v>
      </c>
      <c r="N532" s="17">
        <v>767</v>
      </c>
      <c r="O532" s="18" t="s">
        <v>55</v>
      </c>
      <c r="P532" s="18">
        <v>767</v>
      </c>
      <c r="Q532" s="18">
        <v>10</v>
      </c>
      <c r="R532" s="18"/>
      <c r="S532" s="18"/>
      <c r="T532" s="18"/>
      <c r="U5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32" s="19">
        <f>IF(AUDITORIA[[#This Row],[CAT]]="",0,1)</f>
        <v>1</v>
      </c>
      <c r="W532" s="20">
        <v>46141</v>
      </c>
      <c r="X532" s="21" t="str">
        <f>UPPER(IF(AUDITORIA[[#This Row],[DATA VERIFICAÇÃO]]="","",TEXT(AUDITORIA[[#This Row],[DATA VERIFICAÇÃO]],"mmm")))</f>
        <v>ABR</v>
      </c>
      <c r="Y532" t="s">
        <v>598</v>
      </c>
      <c r="Z532" t="s">
        <v>691</v>
      </c>
      <c r="AA532" t="s">
        <v>692</v>
      </c>
    </row>
    <row r="533" spans="1:27" ht="14.4" hidden="1" customHeight="1" x14ac:dyDescent="0.3">
      <c r="A533" s="4" t="s">
        <v>0</v>
      </c>
      <c r="B533" s="4" t="s">
        <v>17</v>
      </c>
      <c r="C533" s="16" t="s">
        <v>18</v>
      </c>
      <c r="D533" s="4">
        <v>10</v>
      </c>
      <c r="E533" s="4" t="s">
        <v>745</v>
      </c>
      <c r="F533" t="s">
        <v>76</v>
      </c>
      <c r="G533" t="s">
        <v>66</v>
      </c>
      <c r="J533" s="4" t="s">
        <v>55</v>
      </c>
      <c r="K533" s="4" t="s">
        <v>20</v>
      </c>
      <c r="L533" s="4" t="s">
        <v>742</v>
      </c>
      <c r="M533" s="17">
        <v>30</v>
      </c>
      <c r="N533" s="17">
        <v>695</v>
      </c>
      <c r="O533" s="18" t="s">
        <v>55</v>
      </c>
      <c r="P533" s="18">
        <v>695</v>
      </c>
      <c r="Q533" s="18">
        <v>30</v>
      </c>
      <c r="R533" s="18"/>
      <c r="S533" s="18"/>
      <c r="T533" s="18"/>
      <c r="U5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33" s="19">
        <f>IF(AUDITORIA[[#This Row],[CAT]]="",0,1)</f>
        <v>1</v>
      </c>
      <c r="W533" s="20">
        <v>46141</v>
      </c>
      <c r="X533" s="21" t="str">
        <f>UPPER(IF(AUDITORIA[[#This Row],[DATA VERIFICAÇÃO]]="","",TEXT(AUDITORIA[[#This Row],[DATA VERIFICAÇÃO]],"mmm")))</f>
        <v>ABR</v>
      </c>
      <c r="Y533" t="s">
        <v>598</v>
      </c>
      <c r="Z533" t="s">
        <v>691</v>
      </c>
      <c r="AA533" t="s">
        <v>692</v>
      </c>
    </row>
    <row r="534" spans="1:27" ht="14.4" hidden="1" customHeight="1" x14ac:dyDescent="0.3">
      <c r="A534" s="4" t="s">
        <v>0</v>
      </c>
      <c r="B534" s="4" t="s">
        <v>17</v>
      </c>
      <c r="C534" s="16" t="s">
        <v>18</v>
      </c>
      <c r="D534" s="4">
        <v>10</v>
      </c>
      <c r="E534" s="4" t="s">
        <v>745</v>
      </c>
      <c r="F534" t="s">
        <v>71</v>
      </c>
      <c r="G534" t="s">
        <v>66</v>
      </c>
      <c r="J534" s="4" t="s">
        <v>55</v>
      </c>
      <c r="K534" s="4" t="s">
        <v>20</v>
      </c>
      <c r="L534" s="4" t="s">
        <v>742</v>
      </c>
      <c r="M534" s="17">
        <v>30</v>
      </c>
      <c r="N534" s="17">
        <v>694</v>
      </c>
      <c r="O534" s="18" t="s">
        <v>55</v>
      </c>
      <c r="P534" s="18">
        <v>694</v>
      </c>
      <c r="Q534" s="18">
        <v>30</v>
      </c>
      <c r="R534" s="18"/>
      <c r="S534" s="18"/>
      <c r="T534" s="18"/>
      <c r="U5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34" s="19">
        <f>IF(AUDITORIA[[#This Row],[CAT]]="",0,1)</f>
        <v>1</v>
      </c>
      <c r="W534" s="20">
        <v>46141</v>
      </c>
      <c r="X534" s="21" t="str">
        <f>UPPER(IF(AUDITORIA[[#This Row],[DATA VERIFICAÇÃO]]="","",TEXT(AUDITORIA[[#This Row],[DATA VERIFICAÇÃO]],"mmm")))</f>
        <v>ABR</v>
      </c>
      <c r="Y534" t="s">
        <v>598</v>
      </c>
      <c r="Z534" t="s">
        <v>691</v>
      </c>
      <c r="AA534" t="s">
        <v>692</v>
      </c>
    </row>
    <row r="535" spans="1:27" ht="14.4" hidden="1" customHeight="1" x14ac:dyDescent="0.3">
      <c r="A535" s="4" t="s">
        <v>0</v>
      </c>
      <c r="B535" s="4" t="s">
        <v>17</v>
      </c>
      <c r="C535" s="16" t="s">
        <v>18</v>
      </c>
      <c r="D535" s="4">
        <v>10</v>
      </c>
      <c r="E535" s="4" t="s">
        <v>745</v>
      </c>
      <c r="F535" t="s">
        <v>65</v>
      </c>
      <c r="G535" t="s">
        <v>66</v>
      </c>
      <c r="J535" s="4" t="s">
        <v>55</v>
      </c>
      <c r="K535" s="4" t="s">
        <v>20</v>
      </c>
      <c r="L535" s="4" t="s">
        <v>742</v>
      </c>
      <c r="M535" s="17">
        <v>30</v>
      </c>
      <c r="N535" s="17">
        <v>696</v>
      </c>
      <c r="O535" s="18" t="s">
        <v>55</v>
      </c>
      <c r="P535" s="18">
        <v>696</v>
      </c>
      <c r="Q535" s="18">
        <v>30</v>
      </c>
      <c r="R535" s="18"/>
      <c r="S535" s="18"/>
      <c r="T535" s="18"/>
      <c r="U5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35" s="19">
        <f>IF(AUDITORIA[[#This Row],[CAT]]="",0,1)</f>
        <v>1</v>
      </c>
      <c r="W535" s="20">
        <v>46141</v>
      </c>
      <c r="X535" s="21" t="str">
        <f>UPPER(IF(AUDITORIA[[#This Row],[DATA VERIFICAÇÃO]]="","",TEXT(AUDITORIA[[#This Row],[DATA VERIFICAÇÃO]],"mmm")))</f>
        <v>ABR</v>
      </c>
      <c r="Y535" t="s">
        <v>598</v>
      </c>
      <c r="Z535" t="s">
        <v>691</v>
      </c>
      <c r="AA535" t="s">
        <v>692</v>
      </c>
    </row>
    <row r="536" spans="1:27" ht="14.4" hidden="1" customHeight="1" x14ac:dyDescent="0.3">
      <c r="A536" s="4" t="s">
        <v>0</v>
      </c>
      <c r="B536" s="4" t="s">
        <v>17</v>
      </c>
      <c r="C536" s="16" t="s">
        <v>18</v>
      </c>
      <c r="D536" s="4">
        <v>10</v>
      </c>
      <c r="E536" s="4" t="s">
        <v>745</v>
      </c>
      <c r="F536" t="s">
        <v>687</v>
      </c>
      <c r="G536" t="s">
        <v>66</v>
      </c>
      <c r="J536" s="4" t="s">
        <v>55</v>
      </c>
      <c r="K536" s="4" t="s">
        <v>20</v>
      </c>
      <c r="L536" s="4" t="s">
        <v>742</v>
      </c>
      <c r="M536" s="17">
        <v>30</v>
      </c>
      <c r="N536" s="17">
        <v>711</v>
      </c>
      <c r="O536" s="18" t="s">
        <v>55</v>
      </c>
      <c r="P536" s="18">
        <v>711</v>
      </c>
      <c r="Q536" s="18">
        <v>30</v>
      </c>
      <c r="R536" s="18"/>
      <c r="S536" s="18"/>
      <c r="T536" s="18"/>
      <c r="U5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36" s="19">
        <f>IF(AUDITORIA[[#This Row],[CAT]]="",0,1)</f>
        <v>1</v>
      </c>
      <c r="W536" s="20">
        <v>46141</v>
      </c>
      <c r="X536" s="21" t="str">
        <f>UPPER(IF(AUDITORIA[[#This Row],[DATA VERIFICAÇÃO]]="","",TEXT(AUDITORIA[[#This Row],[DATA VERIFICAÇÃO]],"mmm")))</f>
        <v>ABR</v>
      </c>
      <c r="Y536" t="s">
        <v>598</v>
      </c>
      <c r="Z536" t="s">
        <v>691</v>
      </c>
      <c r="AA536" t="s">
        <v>692</v>
      </c>
    </row>
    <row r="537" spans="1:27" ht="14.4" hidden="1" customHeight="1" x14ac:dyDescent="0.3">
      <c r="A537" s="4" t="s">
        <v>0</v>
      </c>
      <c r="B537" s="4" t="s">
        <v>17</v>
      </c>
      <c r="C537" s="16" t="s">
        <v>18</v>
      </c>
      <c r="D537" s="4">
        <v>10</v>
      </c>
      <c r="E537" s="4" t="s">
        <v>745</v>
      </c>
      <c r="F537" t="s">
        <v>685</v>
      </c>
      <c r="G537" t="s">
        <v>66</v>
      </c>
      <c r="J537" s="4" t="s">
        <v>55</v>
      </c>
      <c r="K537" s="4" t="s">
        <v>20</v>
      </c>
      <c r="L537" s="4" t="s">
        <v>742</v>
      </c>
      <c r="M537" s="17">
        <v>30</v>
      </c>
      <c r="N537" s="17">
        <v>706</v>
      </c>
      <c r="O537" s="18" t="s">
        <v>55</v>
      </c>
      <c r="P537" s="18">
        <v>706</v>
      </c>
      <c r="Q537" s="18">
        <v>30</v>
      </c>
      <c r="R537" s="18"/>
      <c r="S537" s="18"/>
      <c r="T537" s="18"/>
      <c r="U5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37" s="19">
        <f>IF(AUDITORIA[[#This Row],[CAT]]="",0,1)</f>
        <v>1</v>
      </c>
      <c r="W537" s="20">
        <v>46141</v>
      </c>
      <c r="X537" s="21" t="str">
        <f>UPPER(IF(AUDITORIA[[#This Row],[DATA VERIFICAÇÃO]]="","",TEXT(AUDITORIA[[#This Row],[DATA VERIFICAÇÃO]],"mmm")))</f>
        <v>ABR</v>
      </c>
      <c r="Y537" t="s">
        <v>598</v>
      </c>
      <c r="Z537" t="s">
        <v>691</v>
      </c>
      <c r="AA537" t="s">
        <v>692</v>
      </c>
    </row>
    <row r="538" spans="1:27" ht="14.4" hidden="1" customHeight="1" x14ac:dyDescent="0.3">
      <c r="A538" s="4" t="s">
        <v>0</v>
      </c>
      <c r="B538" s="4" t="s">
        <v>17</v>
      </c>
      <c r="C538" s="16" t="s">
        <v>18</v>
      </c>
      <c r="D538" s="4">
        <v>10</v>
      </c>
      <c r="E538" s="4" t="s">
        <v>745</v>
      </c>
      <c r="F538" t="s">
        <v>683</v>
      </c>
      <c r="G538" t="s">
        <v>66</v>
      </c>
      <c r="J538" s="4" t="s">
        <v>55</v>
      </c>
      <c r="K538" s="4" t="s">
        <v>20</v>
      </c>
      <c r="L538" s="4" t="s">
        <v>742</v>
      </c>
      <c r="M538" s="17">
        <v>30</v>
      </c>
      <c r="N538" s="17">
        <v>705</v>
      </c>
      <c r="O538" s="18" t="s">
        <v>55</v>
      </c>
      <c r="P538" s="18">
        <v>705</v>
      </c>
      <c r="Q538" s="18">
        <v>30</v>
      </c>
      <c r="R538" s="18"/>
      <c r="S538" s="18"/>
      <c r="T538" s="18"/>
      <c r="U5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38" s="19">
        <f>IF(AUDITORIA[[#This Row],[CAT]]="",0,1)</f>
        <v>1</v>
      </c>
      <c r="W538" s="20">
        <v>46141</v>
      </c>
      <c r="X538" s="21" t="str">
        <f>UPPER(IF(AUDITORIA[[#This Row],[DATA VERIFICAÇÃO]]="","",TEXT(AUDITORIA[[#This Row],[DATA VERIFICAÇÃO]],"mmm")))</f>
        <v>ABR</v>
      </c>
      <c r="Y538" t="s">
        <v>598</v>
      </c>
      <c r="Z538" t="s">
        <v>691</v>
      </c>
      <c r="AA538" t="s">
        <v>692</v>
      </c>
    </row>
    <row r="539" spans="1:27" ht="14.4" hidden="1" customHeight="1" x14ac:dyDescent="0.3">
      <c r="A539" s="4" t="s">
        <v>0</v>
      </c>
      <c r="B539" s="4" t="s">
        <v>17</v>
      </c>
      <c r="C539" s="16" t="s">
        <v>18</v>
      </c>
      <c r="D539" s="4">
        <v>10</v>
      </c>
      <c r="E539" s="4" t="s">
        <v>745</v>
      </c>
      <c r="F539" t="s">
        <v>680</v>
      </c>
      <c r="G539" t="s">
        <v>66</v>
      </c>
      <c r="J539" s="4" t="s">
        <v>55</v>
      </c>
      <c r="K539" s="4" t="s">
        <v>20</v>
      </c>
      <c r="L539" s="4" t="s">
        <v>742</v>
      </c>
      <c r="M539" s="17">
        <v>30</v>
      </c>
      <c r="N539" s="17">
        <v>705</v>
      </c>
      <c r="O539" s="18" t="s">
        <v>55</v>
      </c>
      <c r="P539" s="18">
        <v>705</v>
      </c>
      <c r="Q539" s="18">
        <v>30</v>
      </c>
      <c r="R539" s="18"/>
      <c r="S539" s="18"/>
      <c r="T539" s="18"/>
      <c r="U5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39" s="19">
        <f>IF(AUDITORIA[[#This Row],[CAT]]="",0,1)</f>
        <v>1</v>
      </c>
      <c r="W539" s="20">
        <v>46141</v>
      </c>
      <c r="X539" s="21" t="str">
        <f>UPPER(IF(AUDITORIA[[#This Row],[DATA VERIFICAÇÃO]]="","",TEXT(AUDITORIA[[#This Row],[DATA VERIFICAÇÃO]],"mmm")))</f>
        <v>ABR</v>
      </c>
      <c r="Y539" t="s">
        <v>598</v>
      </c>
      <c r="Z539" t="s">
        <v>691</v>
      </c>
      <c r="AA539" t="s">
        <v>692</v>
      </c>
    </row>
    <row r="540" spans="1:27" ht="14.4" hidden="1" customHeight="1" x14ac:dyDescent="0.3">
      <c r="A540" s="4" t="s">
        <v>0</v>
      </c>
      <c r="B540" s="4" t="s">
        <v>17</v>
      </c>
      <c r="C540" s="16" t="s">
        <v>18</v>
      </c>
      <c r="D540" s="4">
        <v>10</v>
      </c>
      <c r="E540" s="4" t="s">
        <v>745</v>
      </c>
      <c r="F540" t="s">
        <v>677</v>
      </c>
      <c r="G540" t="s">
        <v>66</v>
      </c>
      <c r="J540" s="4" t="s">
        <v>55</v>
      </c>
      <c r="K540" s="4" t="s">
        <v>20</v>
      </c>
      <c r="L540" s="4" t="s">
        <v>742</v>
      </c>
      <c r="M540" s="17">
        <v>30</v>
      </c>
      <c r="N540" s="17">
        <v>711</v>
      </c>
      <c r="O540" s="18" t="s">
        <v>55</v>
      </c>
      <c r="P540" s="18">
        <v>711</v>
      </c>
      <c r="Q540" s="18">
        <v>30</v>
      </c>
      <c r="R540" s="18"/>
      <c r="S540" s="18"/>
      <c r="T540" s="18"/>
      <c r="U5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40" s="19">
        <f>IF(AUDITORIA[[#This Row],[CAT]]="",0,1)</f>
        <v>1</v>
      </c>
      <c r="W540" s="20">
        <v>46141</v>
      </c>
      <c r="X540" s="21" t="str">
        <f>UPPER(IF(AUDITORIA[[#This Row],[DATA VERIFICAÇÃO]]="","",TEXT(AUDITORIA[[#This Row],[DATA VERIFICAÇÃO]],"mmm")))</f>
        <v>ABR</v>
      </c>
      <c r="Y540" t="s">
        <v>598</v>
      </c>
      <c r="Z540" t="s">
        <v>691</v>
      </c>
      <c r="AA540" t="s">
        <v>692</v>
      </c>
    </row>
    <row r="541" spans="1:27" ht="14.4" hidden="1" customHeight="1" x14ac:dyDescent="0.3">
      <c r="A541" s="4" t="s">
        <v>0</v>
      </c>
      <c r="B541" s="4" t="s">
        <v>17</v>
      </c>
      <c r="C541" s="16" t="s">
        <v>18</v>
      </c>
      <c r="D541" s="4">
        <v>10</v>
      </c>
      <c r="E541" s="4" t="s">
        <v>745</v>
      </c>
      <c r="F541" t="s">
        <v>674</v>
      </c>
      <c r="G541" t="s">
        <v>66</v>
      </c>
      <c r="J541" s="4" t="s">
        <v>55</v>
      </c>
      <c r="K541" s="4" t="s">
        <v>20</v>
      </c>
      <c r="L541" s="4" t="s">
        <v>742</v>
      </c>
      <c r="M541" s="17">
        <v>30</v>
      </c>
      <c r="N541" s="17">
        <v>707</v>
      </c>
      <c r="O541" s="18" t="s">
        <v>55</v>
      </c>
      <c r="P541" s="18">
        <v>707</v>
      </c>
      <c r="Q541" s="18">
        <v>30</v>
      </c>
      <c r="R541" s="18"/>
      <c r="S541" s="18"/>
      <c r="T541" s="18"/>
      <c r="U5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41" s="19">
        <f>IF(AUDITORIA[[#This Row],[CAT]]="",0,1)</f>
        <v>1</v>
      </c>
      <c r="W541" s="20">
        <v>46141</v>
      </c>
      <c r="X541" s="21" t="str">
        <f>UPPER(IF(AUDITORIA[[#This Row],[DATA VERIFICAÇÃO]]="","",TEXT(AUDITORIA[[#This Row],[DATA VERIFICAÇÃO]],"mmm")))</f>
        <v>ABR</v>
      </c>
      <c r="Y541" t="s">
        <v>598</v>
      </c>
      <c r="Z541" t="s">
        <v>691</v>
      </c>
      <c r="AA541" t="s">
        <v>692</v>
      </c>
    </row>
    <row r="542" spans="1:27" ht="14.4" hidden="1" customHeight="1" x14ac:dyDescent="0.3">
      <c r="A542" s="4" t="s">
        <v>0</v>
      </c>
      <c r="B542" s="4" t="s">
        <v>17</v>
      </c>
      <c r="C542" s="16" t="s">
        <v>18</v>
      </c>
      <c r="D542" s="4">
        <v>10</v>
      </c>
      <c r="E542" s="4" t="s">
        <v>745</v>
      </c>
      <c r="F542" t="s">
        <v>672</v>
      </c>
      <c r="G542" t="s">
        <v>66</v>
      </c>
      <c r="J542" s="4" t="s">
        <v>55</v>
      </c>
      <c r="K542" s="4" t="s">
        <v>20</v>
      </c>
      <c r="L542" s="4" t="s">
        <v>742</v>
      </c>
      <c r="M542" s="17">
        <v>30</v>
      </c>
      <c r="N542" s="17">
        <v>701</v>
      </c>
      <c r="O542" s="18" t="s">
        <v>55</v>
      </c>
      <c r="P542" s="18">
        <v>701</v>
      </c>
      <c r="Q542" s="18">
        <v>30</v>
      </c>
      <c r="R542" s="18"/>
      <c r="S542" s="18"/>
      <c r="T542" s="18"/>
      <c r="U5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42" s="19">
        <f>IF(AUDITORIA[[#This Row],[CAT]]="",0,1)</f>
        <v>1</v>
      </c>
      <c r="W542" s="20">
        <v>46141</v>
      </c>
      <c r="X542" s="21" t="str">
        <f>UPPER(IF(AUDITORIA[[#This Row],[DATA VERIFICAÇÃO]]="","",TEXT(AUDITORIA[[#This Row],[DATA VERIFICAÇÃO]],"mmm")))</f>
        <v>ABR</v>
      </c>
      <c r="Y542" t="s">
        <v>598</v>
      </c>
      <c r="Z542" t="s">
        <v>691</v>
      </c>
      <c r="AA542" t="s">
        <v>692</v>
      </c>
    </row>
    <row r="543" spans="1:27" ht="14.4" hidden="1" customHeight="1" x14ac:dyDescent="0.3">
      <c r="A543" s="4" t="s">
        <v>0</v>
      </c>
      <c r="B543" s="4" t="s">
        <v>17</v>
      </c>
      <c r="C543" s="16" t="s">
        <v>18</v>
      </c>
      <c r="D543" s="4">
        <v>10</v>
      </c>
      <c r="E543" s="4" t="s">
        <v>745</v>
      </c>
      <c r="F543" t="s">
        <v>669</v>
      </c>
      <c r="G543" t="s">
        <v>66</v>
      </c>
      <c r="J543" s="4" t="s">
        <v>55</v>
      </c>
      <c r="K543" s="4" t="s">
        <v>20</v>
      </c>
      <c r="L543" s="4" t="s">
        <v>742</v>
      </c>
      <c r="M543" s="17">
        <v>30</v>
      </c>
      <c r="N543" s="17">
        <v>700</v>
      </c>
      <c r="O543" s="18" t="s">
        <v>55</v>
      </c>
      <c r="P543" s="18">
        <v>700</v>
      </c>
      <c r="Q543" s="18">
        <v>30</v>
      </c>
      <c r="R543" s="18"/>
      <c r="S543" s="18"/>
      <c r="T543" s="18"/>
      <c r="U5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43" s="19">
        <f>IF(AUDITORIA[[#This Row],[CAT]]="",0,1)</f>
        <v>1</v>
      </c>
      <c r="W543" s="20">
        <v>46141</v>
      </c>
      <c r="X543" s="21" t="str">
        <f>UPPER(IF(AUDITORIA[[#This Row],[DATA VERIFICAÇÃO]]="","",TEXT(AUDITORIA[[#This Row],[DATA VERIFICAÇÃO]],"mmm")))</f>
        <v>ABR</v>
      </c>
      <c r="Y543" t="s">
        <v>598</v>
      </c>
      <c r="Z543" t="s">
        <v>691</v>
      </c>
      <c r="AA543" t="s">
        <v>692</v>
      </c>
    </row>
    <row r="544" spans="1:27" ht="14.4" hidden="1" customHeight="1" x14ac:dyDescent="0.3">
      <c r="A544" s="4" t="s">
        <v>0</v>
      </c>
      <c r="B544" s="4" t="s">
        <v>17</v>
      </c>
      <c r="C544" s="16" t="s">
        <v>18</v>
      </c>
      <c r="D544" s="4">
        <v>10</v>
      </c>
      <c r="E544" s="4" t="s">
        <v>745</v>
      </c>
      <c r="F544" t="s">
        <v>666</v>
      </c>
      <c r="G544" t="s">
        <v>66</v>
      </c>
      <c r="J544" s="4" t="s">
        <v>55</v>
      </c>
      <c r="K544" s="4" t="s">
        <v>20</v>
      </c>
      <c r="L544" s="4" t="s">
        <v>742</v>
      </c>
      <c r="M544" s="17">
        <v>30</v>
      </c>
      <c r="N544" s="17">
        <v>708</v>
      </c>
      <c r="O544" s="18" t="s">
        <v>55</v>
      </c>
      <c r="P544" s="18">
        <v>708</v>
      </c>
      <c r="Q544" s="18">
        <v>30</v>
      </c>
      <c r="R544" s="18"/>
      <c r="S544" s="18"/>
      <c r="T544" s="18"/>
      <c r="U5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44" s="19">
        <f>IF(AUDITORIA[[#This Row],[CAT]]="",0,1)</f>
        <v>1</v>
      </c>
      <c r="W544" s="20">
        <v>46141</v>
      </c>
      <c r="X544" s="21" t="str">
        <f>UPPER(IF(AUDITORIA[[#This Row],[DATA VERIFICAÇÃO]]="","",TEXT(AUDITORIA[[#This Row],[DATA VERIFICAÇÃO]],"mmm")))</f>
        <v>ABR</v>
      </c>
      <c r="Y544" t="s">
        <v>598</v>
      </c>
      <c r="Z544" t="s">
        <v>691</v>
      </c>
      <c r="AA544" t="s">
        <v>692</v>
      </c>
    </row>
    <row r="545" spans="1:27" ht="14.4" hidden="1" customHeight="1" x14ac:dyDescent="0.3">
      <c r="A545" s="4" t="s">
        <v>0</v>
      </c>
      <c r="B545" s="4" t="s">
        <v>17</v>
      </c>
      <c r="C545" s="16" t="s">
        <v>18</v>
      </c>
      <c r="D545" s="4">
        <v>10</v>
      </c>
      <c r="E545" s="4" t="s">
        <v>745</v>
      </c>
      <c r="F545" t="s">
        <v>665</v>
      </c>
      <c r="G545" t="s">
        <v>66</v>
      </c>
      <c r="J545" s="4" t="s">
        <v>55</v>
      </c>
      <c r="K545" s="4" t="s">
        <v>20</v>
      </c>
      <c r="L545" s="4" t="s">
        <v>742</v>
      </c>
      <c r="M545" s="17">
        <v>30</v>
      </c>
      <c r="N545" s="17">
        <v>702</v>
      </c>
      <c r="O545" s="18" t="s">
        <v>55</v>
      </c>
      <c r="P545" s="18">
        <v>702</v>
      </c>
      <c r="Q545" s="18">
        <v>30</v>
      </c>
      <c r="R545" s="18"/>
      <c r="S545" s="18"/>
      <c r="T545" s="18"/>
      <c r="U5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45" s="19">
        <f>IF(AUDITORIA[[#This Row],[CAT]]="",0,1)</f>
        <v>1</v>
      </c>
      <c r="W545" s="20">
        <v>46141</v>
      </c>
      <c r="X545" s="21" t="str">
        <f>UPPER(IF(AUDITORIA[[#This Row],[DATA VERIFICAÇÃO]]="","",TEXT(AUDITORIA[[#This Row],[DATA VERIFICAÇÃO]],"mmm")))</f>
        <v>ABR</v>
      </c>
      <c r="Y545" t="s">
        <v>598</v>
      </c>
      <c r="Z545" t="s">
        <v>691</v>
      </c>
      <c r="AA545" t="s">
        <v>692</v>
      </c>
    </row>
    <row r="546" spans="1:27" ht="14.4" hidden="1" customHeight="1" x14ac:dyDescent="0.3">
      <c r="A546" s="4" t="s">
        <v>0</v>
      </c>
      <c r="B546" s="4" t="s">
        <v>17</v>
      </c>
      <c r="C546" s="16" t="s">
        <v>18</v>
      </c>
      <c r="D546" s="4">
        <v>10</v>
      </c>
      <c r="E546" s="4" t="s">
        <v>745</v>
      </c>
      <c r="F546" t="s">
        <v>662</v>
      </c>
      <c r="G546" t="s">
        <v>66</v>
      </c>
      <c r="J546" s="4" t="s">
        <v>55</v>
      </c>
      <c r="K546" s="4" t="s">
        <v>20</v>
      </c>
      <c r="L546" s="4" t="s">
        <v>742</v>
      </c>
      <c r="M546" s="17">
        <v>30</v>
      </c>
      <c r="N546" s="17">
        <v>692</v>
      </c>
      <c r="O546" s="18" t="s">
        <v>55</v>
      </c>
      <c r="P546" s="18">
        <v>692</v>
      </c>
      <c r="Q546" s="18">
        <v>30</v>
      </c>
      <c r="R546" s="18"/>
      <c r="S546" s="18"/>
      <c r="T546" s="18"/>
      <c r="U5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46" s="19">
        <f>IF(AUDITORIA[[#This Row],[CAT]]="",0,1)</f>
        <v>1</v>
      </c>
      <c r="W546" s="20">
        <v>46141</v>
      </c>
      <c r="X546" s="21" t="str">
        <f>UPPER(IF(AUDITORIA[[#This Row],[DATA VERIFICAÇÃO]]="","",TEXT(AUDITORIA[[#This Row],[DATA VERIFICAÇÃO]],"mmm")))</f>
        <v>ABR</v>
      </c>
      <c r="Y546" t="s">
        <v>598</v>
      </c>
      <c r="Z546" t="s">
        <v>691</v>
      </c>
      <c r="AA546" t="s">
        <v>692</v>
      </c>
    </row>
    <row r="547" spans="1:27" ht="14.4" hidden="1" customHeight="1" x14ac:dyDescent="0.3">
      <c r="A547" s="4" t="s">
        <v>0</v>
      </c>
      <c r="B547" s="4" t="s">
        <v>17</v>
      </c>
      <c r="C547" s="16" t="s">
        <v>18</v>
      </c>
      <c r="D547" s="4">
        <v>10</v>
      </c>
      <c r="E547" s="4" t="s">
        <v>745</v>
      </c>
      <c r="F547" t="s">
        <v>659</v>
      </c>
      <c r="G547" t="s">
        <v>66</v>
      </c>
      <c r="J547" s="4" t="s">
        <v>55</v>
      </c>
      <c r="K547" s="4" t="s">
        <v>20</v>
      </c>
      <c r="L547" s="4" t="s">
        <v>742</v>
      </c>
      <c r="M547" s="17">
        <v>30</v>
      </c>
      <c r="N547" s="17">
        <v>705</v>
      </c>
      <c r="O547" s="18" t="s">
        <v>55</v>
      </c>
      <c r="P547" s="18">
        <v>705</v>
      </c>
      <c r="Q547" s="18">
        <v>30</v>
      </c>
      <c r="R547" s="18"/>
      <c r="S547" s="18"/>
      <c r="T547" s="18"/>
      <c r="U5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47" s="19">
        <f>IF(AUDITORIA[[#This Row],[CAT]]="",0,1)</f>
        <v>1</v>
      </c>
      <c r="W547" s="20">
        <v>46141</v>
      </c>
      <c r="X547" s="21" t="str">
        <f>UPPER(IF(AUDITORIA[[#This Row],[DATA VERIFICAÇÃO]]="","",TEXT(AUDITORIA[[#This Row],[DATA VERIFICAÇÃO]],"mmm")))</f>
        <v>ABR</v>
      </c>
      <c r="Y547" t="s">
        <v>598</v>
      </c>
      <c r="Z547" t="s">
        <v>691</v>
      </c>
      <c r="AA547" t="s">
        <v>692</v>
      </c>
    </row>
    <row r="548" spans="1:27" ht="14.4" hidden="1" customHeight="1" x14ac:dyDescent="0.3">
      <c r="A548" s="4" t="s">
        <v>0</v>
      </c>
      <c r="B548" s="4" t="s">
        <v>17</v>
      </c>
      <c r="C548" s="16" t="s">
        <v>18</v>
      </c>
      <c r="D548" s="4">
        <v>10</v>
      </c>
      <c r="E548" s="4" t="s">
        <v>745</v>
      </c>
      <c r="F548" t="s">
        <v>657</v>
      </c>
      <c r="G548" t="s">
        <v>66</v>
      </c>
      <c r="J548" s="4" t="s">
        <v>55</v>
      </c>
      <c r="K548" s="4" t="s">
        <v>20</v>
      </c>
      <c r="L548" s="4" t="s">
        <v>742</v>
      </c>
      <c r="M548" s="17">
        <v>29</v>
      </c>
      <c r="N548" s="17">
        <v>710</v>
      </c>
      <c r="O548" s="18" t="s">
        <v>55</v>
      </c>
      <c r="P548" s="18">
        <v>710</v>
      </c>
      <c r="Q548" s="18">
        <v>29</v>
      </c>
      <c r="R548" s="18"/>
      <c r="S548" s="18"/>
      <c r="T548" s="18"/>
      <c r="U5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48" s="19">
        <f>IF(AUDITORIA[[#This Row],[CAT]]="",0,1)</f>
        <v>1</v>
      </c>
      <c r="W548" s="20">
        <v>46141</v>
      </c>
      <c r="X548" s="21" t="str">
        <f>UPPER(IF(AUDITORIA[[#This Row],[DATA VERIFICAÇÃO]]="","",TEXT(AUDITORIA[[#This Row],[DATA VERIFICAÇÃO]],"mmm")))</f>
        <v>ABR</v>
      </c>
      <c r="Y548" t="s">
        <v>598</v>
      </c>
      <c r="Z548" t="s">
        <v>691</v>
      </c>
      <c r="AA548" t="s">
        <v>692</v>
      </c>
    </row>
    <row r="549" spans="1:27" ht="14.4" hidden="1" customHeight="1" x14ac:dyDescent="0.3">
      <c r="A549" s="4" t="s">
        <v>0</v>
      </c>
      <c r="B549" s="4" t="s">
        <v>17</v>
      </c>
      <c r="C549" s="16" t="s">
        <v>18</v>
      </c>
      <c r="D549" s="4">
        <v>10</v>
      </c>
      <c r="E549" s="4" t="s">
        <v>745</v>
      </c>
      <c r="F549" t="s">
        <v>621</v>
      </c>
      <c r="G549" t="s">
        <v>66</v>
      </c>
      <c r="J549" s="4" t="s">
        <v>55</v>
      </c>
      <c r="K549" s="4" t="s">
        <v>20</v>
      </c>
      <c r="L549" s="4" t="s">
        <v>742</v>
      </c>
      <c r="M549" s="17">
        <v>30</v>
      </c>
      <c r="N549" s="17">
        <v>702</v>
      </c>
      <c r="O549" s="18" t="s">
        <v>55</v>
      </c>
      <c r="P549" s="18">
        <v>702</v>
      </c>
      <c r="Q549" s="18">
        <v>30</v>
      </c>
      <c r="R549" s="18"/>
      <c r="S549" s="18"/>
      <c r="T549" s="18"/>
      <c r="U5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49" s="19">
        <f>IF(AUDITORIA[[#This Row],[CAT]]="",0,1)</f>
        <v>1</v>
      </c>
      <c r="W549" s="20">
        <v>46141</v>
      </c>
      <c r="X549" s="21" t="str">
        <f>UPPER(IF(AUDITORIA[[#This Row],[DATA VERIFICAÇÃO]]="","",TEXT(AUDITORIA[[#This Row],[DATA VERIFICAÇÃO]],"mmm")))</f>
        <v>ABR</v>
      </c>
      <c r="Y549" t="s">
        <v>598</v>
      </c>
      <c r="Z549" t="s">
        <v>691</v>
      </c>
      <c r="AA549" t="s">
        <v>692</v>
      </c>
    </row>
    <row r="550" spans="1:27" ht="14.4" hidden="1" customHeight="1" x14ac:dyDescent="0.3">
      <c r="A550" s="4" t="s">
        <v>0</v>
      </c>
      <c r="B550" s="4" t="s">
        <v>17</v>
      </c>
      <c r="C550" s="16" t="s">
        <v>18</v>
      </c>
      <c r="D550" s="4">
        <v>10</v>
      </c>
      <c r="E550" s="4" t="s">
        <v>745</v>
      </c>
      <c r="F550" t="s">
        <v>619</v>
      </c>
      <c r="G550" t="s">
        <v>66</v>
      </c>
      <c r="J550" s="4" t="s">
        <v>55</v>
      </c>
      <c r="K550" s="4" t="s">
        <v>20</v>
      </c>
      <c r="L550" s="4" t="s">
        <v>742</v>
      </c>
      <c r="M550" s="17">
        <v>8</v>
      </c>
      <c r="N550" s="17">
        <v>715</v>
      </c>
      <c r="O550" s="18" t="s">
        <v>55</v>
      </c>
      <c r="P550" s="18">
        <v>715</v>
      </c>
      <c r="Q550" s="18">
        <v>8</v>
      </c>
      <c r="R550" s="18"/>
      <c r="S550" s="18"/>
      <c r="T550" s="18"/>
      <c r="U5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50" s="19">
        <f>IF(AUDITORIA[[#This Row],[CAT]]="",0,1)</f>
        <v>1</v>
      </c>
      <c r="W550" s="20">
        <v>46141</v>
      </c>
      <c r="X550" s="21" t="str">
        <f>UPPER(IF(AUDITORIA[[#This Row],[DATA VERIFICAÇÃO]]="","",TEXT(AUDITORIA[[#This Row],[DATA VERIFICAÇÃO]],"mmm")))</f>
        <v>ABR</v>
      </c>
      <c r="Y550" t="s">
        <v>598</v>
      </c>
      <c r="Z550" t="s">
        <v>691</v>
      </c>
      <c r="AA550" t="s">
        <v>692</v>
      </c>
    </row>
    <row r="551" spans="1:27" ht="14.4" hidden="1" customHeight="1" x14ac:dyDescent="0.3">
      <c r="A551" s="4" t="s">
        <v>0</v>
      </c>
      <c r="B551" s="4" t="s">
        <v>17</v>
      </c>
      <c r="C551" s="16" t="s">
        <v>18</v>
      </c>
      <c r="D551" s="4">
        <v>10</v>
      </c>
      <c r="E551" s="4" t="s">
        <v>745</v>
      </c>
      <c r="F551" t="s">
        <v>82</v>
      </c>
      <c r="G551" t="s">
        <v>66</v>
      </c>
      <c r="J551" s="4" t="s">
        <v>55</v>
      </c>
      <c r="K551" s="4" t="s">
        <v>21</v>
      </c>
      <c r="L551" s="4" t="s">
        <v>742</v>
      </c>
      <c r="M551" s="17">
        <v>27</v>
      </c>
      <c r="N551" s="17">
        <v>954</v>
      </c>
      <c r="O551" s="18" t="s">
        <v>55</v>
      </c>
      <c r="P551" s="18">
        <v>954</v>
      </c>
      <c r="Q551" s="18">
        <v>27</v>
      </c>
      <c r="R551" s="18"/>
      <c r="S551" s="18"/>
      <c r="T551" s="18"/>
      <c r="U5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51" s="19">
        <f>IF(AUDITORIA[[#This Row],[CAT]]="",0,1)</f>
        <v>1</v>
      </c>
      <c r="W551" s="20">
        <v>46141</v>
      </c>
      <c r="X551" s="21" t="str">
        <f>UPPER(IF(AUDITORIA[[#This Row],[DATA VERIFICAÇÃO]]="","",TEXT(AUDITORIA[[#This Row],[DATA VERIFICAÇÃO]],"mmm")))</f>
        <v>ABR</v>
      </c>
      <c r="Y551" t="s">
        <v>598</v>
      </c>
      <c r="Z551" t="s">
        <v>691</v>
      </c>
      <c r="AA551" t="s">
        <v>692</v>
      </c>
    </row>
    <row r="552" spans="1:27" ht="14.4" hidden="1" customHeight="1" x14ac:dyDescent="0.3">
      <c r="A552" s="4" t="s">
        <v>0</v>
      </c>
      <c r="B552" s="4" t="s">
        <v>17</v>
      </c>
      <c r="C552" s="16" t="s">
        <v>18</v>
      </c>
      <c r="D552" s="4">
        <v>10</v>
      </c>
      <c r="E552" s="4" t="s">
        <v>745</v>
      </c>
      <c r="F552" t="s">
        <v>79</v>
      </c>
      <c r="G552" t="s">
        <v>66</v>
      </c>
      <c r="J552" s="4" t="s">
        <v>55</v>
      </c>
      <c r="K552" s="4" t="s">
        <v>21</v>
      </c>
      <c r="L552" s="4" t="s">
        <v>742</v>
      </c>
      <c r="M552" s="17">
        <v>27</v>
      </c>
      <c r="N552" s="17">
        <v>972</v>
      </c>
      <c r="O552" s="18" t="s">
        <v>55</v>
      </c>
      <c r="P552" s="18">
        <v>972</v>
      </c>
      <c r="Q552" s="18">
        <v>27</v>
      </c>
      <c r="R552" s="18"/>
      <c r="S552" s="18"/>
      <c r="T552" s="18"/>
      <c r="U5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52" s="19">
        <f>IF(AUDITORIA[[#This Row],[CAT]]="",0,1)</f>
        <v>1</v>
      </c>
      <c r="W552" s="20">
        <v>46141</v>
      </c>
      <c r="X552" s="21" t="str">
        <f>UPPER(IF(AUDITORIA[[#This Row],[DATA VERIFICAÇÃO]]="","",TEXT(AUDITORIA[[#This Row],[DATA VERIFICAÇÃO]],"mmm")))</f>
        <v>ABR</v>
      </c>
      <c r="Y552" t="s">
        <v>598</v>
      </c>
      <c r="Z552" t="s">
        <v>691</v>
      </c>
      <c r="AA552" t="s">
        <v>692</v>
      </c>
    </row>
    <row r="553" spans="1:27" ht="14.4" hidden="1" customHeight="1" x14ac:dyDescent="0.3">
      <c r="A553" s="4" t="s">
        <v>0</v>
      </c>
      <c r="B553" s="4" t="s">
        <v>17</v>
      </c>
      <c r="C553" s="16" t="s">
        <v>18</v>
      </c>
      <c r="D553" s="4">
        <v>10</v>
      </c>
      <c r="E553" s="4" t="s">
        <v>745</v>
      </c>
      <c r="F553" t="s">
        <v>74</v>
      </c>
      <c r="G553" t="s">
        <v>66</v>
      </c>
      <c r="J553" s="4" t="s">
        <v>55</v>
      </c>
      <c r="K553" s="4" t="s">
        <v>21</v>
      </c>
      <c r="L553" s="4" t="s">
        <v>742</v>
      </c>
      <c r="M553" s="17">
        <v>6</v>
      </c>
      <c r="N553" s="17">
        <v>941</v>
      </c>
      <c r="O553" s="18" t="s">
        <v>55</v>
      </c>
      <c r="P553" s="18">
        <v>941</v>
      </c>
      <c r="Q553" s="18">
        <v>6</v>
      </c>
      <c r="R553" s="18"/>
      <c r="S553" s="18"/>
      <c r="T553" s="18"/>
      <c r="U5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53" s="19">
        <f>IF(AUDITORIA[[#This Row],[CAT]]="",0,1)</f>
        <v>1</v>
      </c>
      <c r="W553" s="20">
        <v>46141</v>
      </c>
      <c r="X553" s="21" t="str">
        <f>UPPER(IF(AUDITORIA[[#This Row],[DATA VERIFICAÇÃO]]="","",TEXT(AUDITORIA[[#This Row],[DATA VERIFICAÇÃO]],"mmm")))</f>
        <v>ABR</v>
      </c>
      <c r="Y553" t="s">
        <v>598</v>
      </c>
      <c r="Z553" t="s">
        <v>691</v>
      </c>
      <c r="AA553" t="s">
        <v>692</v>
      </c>
    </row>
    <row r="554" spans="1:27" ht="14.4" hidden="1" customHeight="1" x14ac:dyDescent="0.3">
      <c r="A554" s="4" t="s">
        <v>0</v>
      </c>
      <c r="B554" s="4" t="s">
        <v>17</v>
      </c>
      <c r="C554" s="16" t="s">
        <v>18</v>
      </c>
      <c r="D554" s="4">
        <v>10</v>
      </c>
      <c r="E554" s="4" t="s">
        <v>745</v>
      </c>
      <c r="F554" t="s">
        <v>77</v>
      </c>
      <c r="G554" t="s">
        <v>66</v>
      </c>
      <c r="J554" s="4" t="s">
        <v>55</v>
      </c>
      <c r="K554" s="4" t="s">
        <v>21</v>
      </c>
      <c r="L554" s="4" t="s">
        <v>742</v>
      </c>
      <c r="M554" s="17">
        <v>30</v>
      </c>
      <c r="N554" s="17">
        <v>895</v>
      </c>
      <c r="O554" s="18" t="s">
        <v>55</v>
      </c>
      <c r="P554" s="18">
        <v>895</v>
      </c>
      <c r="Q554" s="18">
        <v>30</v>
      </c>
      <c r="R554" s="18"/>
      <c r="S554" s="18"/>
      <c r="T554" s="18"/>
      <c r="U5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54" s="19">
        <f>IF(AUDITORIA[[#This Row],[CAT]]="",0,1)</f>
        <v>1</v>
      </c>
      <c r="W554" s="20">
        <v>46141</v>
      </c>
      <c r="X554" s="21" t="str">
        <f>UPPER(IF(AUDITORIA[[#This Row],[DATA VERIFICAÇÃO]]="","",TEXT(AUDITORIA[[#This Row],[DATA VERIFICAÇÃO]],"mmm")))</f>
        <v>ABR</v>
      </c>
      <c r="Y554" t="s">
        <v>598</v>
      </c>
      <c r="Z554" t="s">
        <v>691</v>
      </c>
      <c r="AA554" t="s">
        <v>692</v>
      </c>
    </row>
    <row r="555" spans="1:27" ht="14.4" hidden="1" customHeight="1" x14ac:dyDescent="0.3">
      <c r="A555" s="4" t="s">
        <v>0</v>
      </c>
      <c r="B555" s="4" t="s">
        <v>17</v>
      </c>
      <c r="C555" s="16" t="s">
        <v>18</v>
      </c>
      <c r="D555" s="4">
        <v>10</v>
      </c>
      <c r="E555" s="4" t="s">
        <v>745</v>
      </c>
      <c r="F555" t="s">
        <v>75</v>
      </c>
      <c r="G555" t="s">
        <v>66</v>
      </c>
      <c r="J555" s="4" t="s">
        <v>55</v>
      </c>
      <c r="K555" s="4" t="s">
        <v>21</v>
      </c>
      <c r="L555" s="4" t="s">
        <v>742</v>
      </c>
      <c r="M555" s="17">
        <v>30</v>
      </c>
      <c r="N555" s="17">
        <v>879</v>
      </c>
      <c r="O555" s="18" t="s">
        <v>55</v>
      </c>
      <c r="P555" s="18">
        <v>879</v>
      </c>
      <c r="Q555" s="18">
        <v>30</v>
      </c>
      <c r="R555" s="18"/>
      <c r="S555" s="18"/>
      <c r="T555" s="18"/>
      <c r="U5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55" s="19">
        <f>IF(AUDITORIA[[#This Row],[CAT]]="",0,1)</f>
        <v>1</v>
      </c>
      <c r="W555" s="20">
        <v>46141</v>
      </c>
      <c r="X555" s="21" t="str">
        <f>UPPER(IF(AUDITORIA[[#This Row],[DATA VERIFICAÇÃO]]="","",TEXT(AUDITORIA[[#This Row],[DATA VERIFICAÇÃO]],"mmm")))</f>
        <v>ABR</v>
      </c>
      <c r="Y555" t="s">
        <v>598</v>
      </c>
      <c r="Z555" t="s">
        <v>691</v>
      </c>
      <c r="AA555" t="s">
        <v>692</v>
      </c>
    </row>
    <row r="556" spans="1:27" ht="14.4" hidden="1" customHeight="1" x14ac:dyDescent="0.3">
      <c r="A556" s="4" t="s">
        <v>0</v>
      </c>
      <c r="B556" s="4" t="s">
        <v>17</v>
      </c>
      <c r="C556" s="16" t="s">
        <v>18</v>
      </c>
      <c r="D556" s="4">
        <v>10</v>
      </c>
      <c r="E556" s="4" t="s">
        <v>745</v>
      </c>
      <c r="F556" t="s">
        <v>73</v>
      </c>
      <c r="G556" t="s">
        <v>66</v>
      </c>
      <c r="J556" s="4" t="s">
        <v>55</v>
      </c>
      <c r="K556" s="4" t="s">
        <v>21</v>
      </c>
      <c r="L556" s="4" t="s">
        <v>742</v>
      </c>
      <c r="M556" s="17">
        <v>30</v>
      </c>
      <c r="N556" s="17">
        <v>882</v>
      </c>
      <c r="O556" s="18" t="s">
        <v>55</v>
      </c>
      <c r="P556" s="18">
        <v>882</v>
      </c>
      <c r="Q556" s="18">
        <v>30</v>
      </c>
      <c r="R556" s="18"/>
      <c r="S556" s="18"/>
      <c r="T556" s="18"/>
      <c r="U5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56" s="19">
        <f>IF(AUDITORIA[[#This Row],[CAT]]="",0,1)</f>
        <v>1</v>
      </c>
      <c r="W556" s="20">
        <v>46141</v>
      </c>
      <c r="X556" s="21" t="str">
        <f>UPPER(IF(AUDITORIA[[#This Row],[DATA VERIFICAÇÃO]]="","",TEXT(AUDITORIA[[#This Row],[DATA VERIFICAÇÃO]],"mmm")))</f>
        <v>ABR</v>
      </c>
      <c r="Y556" t="s">
        <v>598</v>
      </c>
      <c r="Z556" t="s">
        <v>691</v>
      </c>
      <c r="AA556" t="s">
        <v>692</v>
      </c>
    </row>
    <row r="557" spans="1:27" ht="14.4" hidden="1" customHeight="1" x14ac:dyDescent="0.3">
      <c r="A557" s="4" t="s">
        <v>0</v>
      </c>
      <c r="B557" s="4" t="s">
        <v>17</v>
      </c>
      <c r="C557" s="16" t="s">
        <v>18</v>
      </c>
      <c r="D557" s="4">
        <v>10</v>
      </c>
      <c r="E557" s="4" t="s">
        <v>745</v>
      </c>
      <c r="F557" t="s">
        <v>72</v>
      </c>
      <c r="G557" t="s">
        <v>66</v>
      </c>
      <c r="J557" s="4" t="s">
        <v>55</v>
      </c>
      <c r="K557" s="4" t="s">
        <v>21</v>
      </c>
      <c r="L557" s="4" t="s">
        <v>742</v>
      </c>
      <c r="M557" s="17">
        <v>27</v>
      </c>
      <c r="N557" s="17">
        <v>921</v>
      </c>
      <c r="O557" s="18" t="s">
        <v>55</v>
      </c>
      <c r="P557" s="18">
        <v>921</v>
      </c>
      <c r="Q557" s="18">
        <v>27</v>
      </c>
      <c r="R557" s="18"/>
      <c r="S557" s="18"/>
      <c r="T557" s="18"/>
      <c r="U5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57" s="19">
        <f>IF(AUDITORIA[[#This Row],[CAT]]="",0,1)</f>
        <v>1</v>
      </c>
      <c r="W557" s="20">
        <v>46141</v>
      </c>
      <c r="X557" s="21" t="str">
        <f>UPPER(IF(AUDITORIA[[#This Row],[DATA VERIFICAÇÃO]]="","",TEXT(AUDITORIA[[#This Row],[DATA VERIFICAÇÃO]],"mmm")))</f>
        <v>ABR</v>
      </c>
      <c r="Y557" t="s">
        <v>598</v>
      </c>
      <c r="Z557" t="s">
        <v>691</v>
      </c>
      <c r="AA557" t="s">
        <v>692</v>
      </c>
    </row>
    <row r="558" spans="1:27" ht="14.4" hidden="1" customHeight="1" x14ac:dyDescent="0.3">
      <c r="A558" s="4" t="s">
        <v>0</v>
      </c>
      <c r="B558" s="4" t="s">
        <v>17</v>
      </c>
      <c r="C558" s="16" t="s">
        <v>18</v>
      </c>
      <c r="D558" s="4">
        <v>10</v>
      </c>
      <c r="E558" s="4" t="s">
        <v>745</v>
      </c>
      <c r="F558" t="s">
        <v>70</v>
      </c>
      <c r="G558" t="s">
        <v>66</v>
      </c>
      <c r="J558" s="4" t="s">
        <v>55</v>
      </c>
      <c r="K558" s="4" t="s">
        <v>21</v>
      </c>
      <c r="L558" s="4" t="s">
        <v>742</v>
      </c>
      <c r="M558" s="17">
        <v>30</v>
      </c>
      <c r="N558" s="17">
        <v>898</v>
      </c>
      <c r="O558" s="18" t="s">
        <v>55</v>
      </c>
      <c r="P558" s="18">
        <v>898</v>
      </c>
      <c r="Q558" s="18">
        <v>30</v>
      </c>
      <c r="R558" s="18"/>
      <c r="S558" s="18"/>
      <c r="T558" s="18"/>
      <c r="U5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58" s="19">
        <f>IF(AUDITORIA[[#This Row],[CAT]]="",0,1)</f>
        <v>1</v>
      </c>
      <c r="W558" s="20">
        <v>46141</v>
      </c>
      <c r="X558" s="21" t="str">
        <f>UPPER(IF(AUDITORIA[[#This Row],[DATA VERIFICAÇÃO]]="","",TEXT(AUDITORIA[[#This Row],[DATA VERIFICAÇÃO]],"mmm")))</f>
        <v>ABR</v>
      </c>
      <c r="Y558" t="s">
        <v>598</v>
      </c>
      <c r="Z558" t="s">
        <v>691</v>
      </c>
      <c r="AA558" t="s">
        <v>692</v>
      </c>
    </row>
    <row r="559" spans="1:27" ht="14.4" hidden="1" customHeight="1" x14ac:dyDescent="0.3">
      <c r="A559" s="4" t="s">
        <v>0</v>
      </c>
      <c r="B559" s="4" t="s">
        <v>17</v>
      </c>
      <c r="C559" s="16" t="s">
        <v>18</v>
      </c>
      <c r="D559" s="4">
        <v>10</v>
      </c>
      <c r="E559" s="4" t="s">
        <v>745</v>
      </c>
      <c r="F559" t="s">
        <v>69</v>
      </c>
      <c r="G559" t="s">
        <v>66</v>
      </c>
      <c r="J559" s="4" t="s">
        <v>55</v>
      </c>
      <c r="K559" s="4" t="s">
        <v>21</v>
      </c>
      <c r="L559" s="4" t="s">
        <v>742</v>
      </c>
      <c r="M559" s="17">
        <v>30</v>
      </c>
      <c r="N559" s="17">
        <v>904</v>
      </c>
      <c r="O559" s="18" t="s">
        <v>55</v>
      </c>
      <c r="P559" s="18">
        <v>904</v>
      </c>
      <c r="Q559" s="18">
        <v>30</v>
      </c>
      <c r="R559" s="18"/>
      <c r="S559" s="18"/>
      <c r="T559" s="18"/>
      <c r="U5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59" s="19">
        <f>IF(AUDITORIA[[#This Row],[CAT]]="",0,1)</f>
        <v>1</v>
      </c>
      <c r="W559" s="20">
        <v>46141</v>
      </c>
      <c r="X559" s="21" t="str">
        <f>UPPER(IF(AUDITORIA[[#This Row],[DATA VERIFICAÇÃO]]="","",TEXT(AUDITORIA[[#This Row],[DATA VERIFICAÇÃO]],"mmm")))</f>
        <v>ABR</v>
      </c>
      <c r="Y559" t="s">
        <v>598</v>
      </c>
      <c r="Z559" t="s">
        <v>691</v>
      </c>
      <c r="AA559" t="s">
        <v>692</v>
      </c>
    </row>
    <row r="560" spans="1:27" ht="14.4" hidden="1" customHeight="1" x14ac:dyDescent="0.3">
      <c r="A560" s="4" t="s">
        <v>0</v>
      </c>
      <c r="B560" s="4" t="s">
        <v>17</v>
      </c>
      <c r="C560" s="16" t="s">
        <v>18</v>
      </c>
      <c r="D560" s="4">
        <v>10</v>
      </c>
      <c r="E560" s="4" t="s">
        <v>745</v>
      </c>
      <c r="F560" t="s">
        <v>688</v>
      </c>
      <c r="G560" t="s">
        <v>66</v>
      </c>
      <c r="J560" s="4" t="s">
        <v>55</v>
      </c>
      <c r="K560" s="4" t="s">
        <v>21</v>
      </c>
      <c r="L560" s="4" t="s">
        <v>742</v>
      </c>
      <c r="M560" s="17">
        <v>30</v>
      </c>
      <c r="N560" s="17">
        <v>909</v>
      </c>
      <c r="O560" s="18" t="s">
        <v>55</v>
      </c>
      <c r="P560" s="18">
        <v>909</v>
      </c>
      <c r="Q560" s="18">
        <v>30</v>
      </c>
      <c r="R560" s="18"/>
      <c r="S560" s="18"/>
      <c r="T560" s="18"/>
      <c r="U5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60" s="19">
        <f>IF(AUDITORIA[[#This Row],[CAT]]="",0,1)</f>
        <v>1</v>
      </c>
      <c r="W560" s="20">
        <v>46141</v>
      </c>
      <c r="X560" s="21" t="str">
        <f>UPPER(IF(AUDITORIA[[#This Row],[DATA VERIFICAÇÃO]]="","",TEXT(AUDITORIA[[#This Row],[DATA VERIFICAÇÃO]],"mmm")))</f>
        <v>ABR</v>
      </c>
      <c r="Y560" t="s">
        <v>598</v>
      </c>
      <c r="Z560" t="s">
        <v>691</v>
      </c>
      <c r="AA560" t="s">
        <v>692</v>
      </c>
    </row>
    <row r="561" spans="1:27" ht="14.4" hidden="1" customHeight="1" x14ac:dyDescent="0.3">
      <c r="A561" s="4" t="s">
        <v>0</v>
      </c>
      <c r="B561" s="4" t="s">
        <v>17</v>
      </c>
      <c r="C561" s="16" t="s">
        <v>18</v>
      </c>
      <c r="D561" s="4">
        <v>10</v>
      </c>
      <c r="E561" s="4" t="s">
        <v>745</v>
      </c>
      <c r="F561" t="s">
        <v>686</v>
      </c>
      <c r="G561" t="s">
        <v>66</v>
      </c>
      <c r="J561" s="4" t="s">
        <v>55</v>
      </c>
      <c r="K561" s="4" t="s">
        <v>21</v>
      </c>
      <c r="L561" s="4" t="s">
        <v>742</v>
      </c>
      <c r="M561" s="17">
        <v>30</v>
      </c>
      <c r="N561" s="17">
        <v>900</v>
      </c>
      <c r="O561" s="18" t="s">
        <v>55</v>
      </c>
      <c r="P561" s="18">
        <v>900</v>
      </c>
      <c r="Q561" s="18">
        <v>30</v>
      </c>
      <c r="R561" s="18"/>
      <c r="S561" s="18"/>
      <c r="T561" s="18"/>
      <c r="U5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61" s="19">
        <f>IF(AUDITORIA[[#This Row],[CAT]]="",0,1)</f>
        <v>1</v>
      </c>
      <c r="W561" s="20">
        <v>46141</v>
      </c>
      <c r="X561" s="21" t="str">
        <f>UPPER(IF(AUDITORIA[[#This Row],[DATA VERIFICAÇÃO]]="","",TEXT(AUDITORIA[[#This Row],[DATA VERIFICAÇÃO]],"mmm")))</f>
        <v>ABR</v>
      </c>
      <c r="Y561" t="s">
        <v>598</v>
      </c>
      <c r="Z561" t="s">
        <v>691</v>
      </c>
      <c r="AA561" t="s">
        <v>692</v>
      </c>
    </row>
    <row r="562" spans="1:27" ht="14.4" hidden="1" customHeight="1" x14ac:dyDescent="0.3">
      <c r="A562" s="4" t="s">
        <v>0</v>
      </c>
      <c r="B562" s="4" t="s">
        <v>17</v>
      </c>
      <c r="C562" s="16" t="s">
        <v>18</v>
      </c>
      <c r="D562" s="4">
        <v>10</v>
      </c>
      <c r="E562" s="4" t="s">
        <v>745</v>
      </c>
      <c r="F562" t="s">
        <v>684</v>
      </c>
      <c r="G562" t="s">
        <v>66</v>
      </c>
      <c r="J562" s="4" t="s">
        <v>55</v>
      </c>
      <c r="K562" s="4" t="s">
        <v>21</v>
      </c>
      <c r="L562" s="4" t="s">
        <v>742</v>
      </c>
      <c r="M562" s="17">
        <v>30</v>
      </c>
      <c r="N562" s="17">
        <v>898</v>
      </c>
      <c r="O562" s="18" t="s">
        <v>55</v>
      </c>
      <c r="P562" s="18">
        <v>898</v>
      </c>
      <c r="Q562" s="18">
        <v>30</v>
      </c>
      <c r="R562" s="18"/>
      <c r="S562" s="18"/>
      <c r="T562" s="18"/>
      <c r="U5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62" s="19">
        <f>IF(AUDITORIA[[#This Row],[CAT]]="",0,1)</f>
        <v>1</v>
      </c>
      <c r="W562" s="20">
        <v>46141</v>
      </c>
      <c r="X562" s="21" t="str">
        <f>UPPER(IF(AUDITORIA[[#This Row],[DATA VERIFICAÇÃO]]="","",TEXT(AUDITORIA[[#This Row],[DATA VERIFICAÇÃO]],"mmm")))</f>
        <v>ABR</v>
      </c>
      <c r="Y562" t="s">
        <v>598</v>
      </c>
      <c r="Z562" t="s">
        <v>691</v>
      </c>
      <c r="AA562" t="s">
        <v>692</v>
      </c>
    </row>
    <row r="563" spans="1:27" ht="14.4" hidden="1" customHeight="1" x14ac:dyDescent="0.3">
      <c r="A563" s="4" t="s">
        <v>0</v>
      </c>
      <c r="B563" s="4" t="s">
        <v>17</v>
      </c>
      <c r="C563" s="16" t="s">
        <v>18</v>
      </c>
      <c r="D563" s="4">
        <v>10</v>
      </c>
      <c r="E563" s="4" t="s">
        <v>745</v>
      </c>
      <c r="F563" t="s">
        <v>682</v>
      </c>
      <c r="G563" t="s">
        <v>66</v>
      </c>
      <c r="J563" s="4" t="s">
        <v>55</v>
      </c>
      <c r="K563" s="4" t="s">
        <v>21</v>
      </c>
      <c r="L563" s="4" t="s">
        <v>742</v>
      </c>
      <c r="M563" s="17">
        <v>27</v>
      </c>
      <c r="N563" s="17">
        <v>927</v>
      </c>
      <c r="O563" s="18" t="s">
        <v>55</v>
      </c>
      <c r="P563" s="18">
        <v>927</v>
      </c>
      <c r="Q563" s="18">
        <v>27</v>
      </c>
      <c r="R563" s="18"/>
      <c r="S563" s="18"/>
      <c r="T563" s="18"/>
      <c r="U5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63" s="19">
        <f>IF(AUDITORIA[[#This Row],[CAT]]="",0,1)</f>
        <v>1</v>
      </c>
      <c r="W563" s="20">
        <v>46141</v>
      </c>
      <c r="X563" s="21" t="str">
        <f>UPPER(IF(AUDITORIA[[#This Row],[DATA VERIFICAÇÃO]]="","",TEXT(AUDITORIA[[#This Row],[DATA VERIFICAÇÃO]],"mmm")))</f>
        <v>ABR</v>
      </c>
      <c r="Y563" t="s">
        <v>598</v>
      </c>
      <c r="Z563" t="s">
        <v>691</v>
      </c>
      <c r="AA563" t="s">
        <v>692</v>
      </c>
    </row>
    <row r="564" spans="1:27" ht="14.4" hidden="1" customHeight="1" x14ac:dyDescent="0.3">
      <c r="A564" s="4" t="s">
        <v>0</v>
      </c>
      <c r="B564" s="4" t="s">
        <v>17</v>
      </c>
      <c r="C564" s="16" t="s">
        <v>18</v>
      </c>
      <c r="D564" s="4">
        <v>10</v>
      </c>
      <c r="E564" s="4" t="s">
        <v>745</v>
      </c>
      <c r="F564" t="s">
        <v>681</v>
      </c>
      <c r="G564" t="s">
        <v>66</v>
      </c>
      <c r="J564" s="4" t="s">
        <v>55</v>
      </c>
      <c r="K564" s="4" t="s">
        <v>21</v>
      </c>
      <c r="L564" s="4" t="s">
        <v>742</v>
      </c>
      <c r="M564" s="17">
        <v>30</v>
      </c>
      <c r="N564" s="17">
        <v>904</v>
      </c>
      <c r="O564" s="18" t="s">
        <v>55</v>
      </c>
      <c r="P564" s="18">
        <v>904</v>
      </c>
      <c r="Q564" s="18">
        <v>30</v>
      </c>
      <c r="R564" s="18"/>
      <c r="S564" s="18"/>
      <c r="T564" s="18"/>
      <c r="U5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64" s="19">
        <f>IF(AUDITORIA[[#This Row],[CAT]]="",0,1)</f>
        <v>1</v>
      </c>
      <c r="W564" s="20">
        <v>46141</v>
      </c>
      <c r="X564" s="21" t="str">
        <f>UPPER(IF(AUDITORIA[[#This Row],[DATA VERIFICAÇÃO]]="","",TEXT(AUDITORIA[[#This Row],[DATA VERIFICAÇÃO]],"mmm")))</f>
        <v>ABR</v>
      </c>
      <c r="Y564" t="s">
        <v>598</v>
      </c>
      <c r="Z564" t="s">
        <v>691</v>
      </c>
      <c r="AA564" t="s">
        <v>692</v>
      </c>
    </row>
    <row r="565" spans="1:27" ht="14.4" hidden="1" customHeight="1" x14ac:dyDescent="0.3">
      <c r="A565" s="4" t="s">
        <v>0</v>
      </c>
      <c r="B565" s="4" t="s">
        <v>17</v>
      </c>
      <c r="C565" s="16" t="s">
        <v>18</v>
      </c>
      <c r="D565" s="4">
        <v>10</v>
      </c>
      <c r="E565" s="4" t="s">
        <v>745</v>
      </c>
      <c r="F565" t="s">
        <v>679</v>
      </c>
      <c r="G565" t="s">
        <v>66</v>
      </c>
      <c r="J565" s="4" t="s">
        <v>55</v>
      </c>
      <c r="K565" s="4" t="s">
        <v>21</v>
      </c>
      <c r="L565" s="4" t="s">
        <v>742</v>
      </c>
      <c r="M565" s="17">
        <v>27</v>
      </c>
      <c r="N565" s="17">
        <v>910</v>
      </c>
      <c r="O565" s="18" t="s">
        <v>55</v>
      </c>
      <c r="P565" s="18">
        <v>910</v>
      </c>
      <c r="Q565" s="18">
        <v>27</v>
      </c>
      <c r="R565" s="18"/>
      <c r="S565" s="18"/>
      <c r="T565" s="18"/>
      <c r="U5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65" s="19">
        <f>IF(AUDITORIA[[#This Row],[CAT]]="",0,1)</f>
        <v>1</v>
      </c>
      <c r="W565" s="20">
        <v>46141</v>
      </c>
      <c r="X565" s="21" t="str">
        <f>UPPER(IF(AUDITORIA[[#This Row],[DATA VERIFICAÇÃO]]="","",TEXT(AUDITORIA[[#This Row],[DATA VERIFICAÇÃO]],"mmm")))</f>
        <v>ABR</v>
      </c>
      <c r="Y565" t="s">
        <v>598</v>
      </c>
      <c r="Z565" t="s">
        <v>691</v>
      </c>
      <c r="AA565" t="s">
        <v>692</v>
      </c>
    </row>
    <row r="566" spans="1:27" ht="14.4" hidden="1" customHeight="1" x14ac:dyDescent="0.3">
      <c r="A566" s="4" t="s">
        <v>0</v>
      </c>
      <c r="B566" s="4" t="s">
        <v>17</v>
      </c>
      <c r="C566" s="16" t="s">
        <v>18</v>
      </c>
      <c r="D566" s="4">
        <v>10</v>
      </c>
      <c r="E566" s="4" t="s">
        <v>745</v>
      </c>
      <c r="F566" t="s">
        <v>678</v>
      </c>
      <c r="G566" t="s">
        <v>66</v>
      </c>
      <c r="J566" s="4" t="s">
        <v>55</v>
      </c>
      <c r="K566" s="4" t="s">
        <v>21</v>
      </c>
      <c r="L566" s="4" t="s">
        <v>742</v>
      </c>
      <c r="M566" s="17">
        <v>30</v>
      </c>
      <c r="N566" s="17">
        <v>902</v>
      </c>
      <c r="O566" s="18" t="s">
        <v>55</v>
      </c>
      <c r="P566" s="18">
        <v>902</v>
      </c>
      <c r="Q566" s="18">
        <v>30</v>
      </c>
      <c r="R566" s="18"/>
      <c r="S566" s="18"/>
      <c r="T566" s="18"/>
      <c r="U5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66" s="19">
        <f>IF(AUDITORIA[[#This Row],[CAT]]="",0,1)</f>
        <v>1</v>
      </c>
      <c r="W566" s="20">
        <v>46141</v>
      </c>
      <c r="X566" s="21" t="str">
        <f>UPPER(IF(AUDITORIA[[#This Row],[DATA VERIFICAÇÃO]]="","",TEXT(AUDITORIA[[#This Row],[DATA VERIFICAÇÃO]],"mmm")))</f>
        <v>ABR</v>
      </c>
      <c r="Y566" t="s">
        <v>598</v>
      </c>
      <c r="Z566" t="s">
        <v>691</v>
      </c>
      <c r="AA566" t="s">
        <v>692</v>
      </c>
    </row>
    <row r="567" spans="1:27" ht="14.4" hidden="1" customHeight="1" x14ac:dyDescent="0.3">
      <c r="A567" s="4" t="s">
        <v>0</v>
      </c>
      <c r="B567" s="4" t="s">
        <v>17</v>
      </c>
      <c r="C567" s="16" t="s">
        <v>18</v>
      </c>
      <c r="D567" s="4">
        <v>10</v>
      </c>
      <c r="E567" s="4" t="s">
        <v>745</v>
      </c>
      <c r="F567" t="s">
        <v>676</v>
      </c>
      <c r="G567" t="s">
        <v>66</v>
      </c>
      <c r="J567" s="4" t="s">
        <v>55</v>
      </c>
      <c r="K567" s="4" t="s">
        <v>21</v>
      </c>
      <c r="L567" s="4" t="s">
        <v>742</v>
      </c>
      <c r="M567" s="17">
        <v>30</v>
      </c>
      <c r="N567" s="17">
        <v>899</v>
      </c>
      <c r="O567" s="18" t="s">
        <v>55</v>
      </c>
      <c r="P567" s="18">
        <v>899</v>
      </c>
      <c r="Q567" s="18">
        <v>30</v>
      </c>
      <c r="R567" s="18"/>
      <c r="S567" s="18"/>
      <c r="T567" s="18"/>
      <c r="U5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67" s="19">
        <f>IF(AUDITORIA[[#This Row],[CAT]]="",0,1)</f>
        <v>1</v>
      </c>
      <c r="W567" s="20">
        <v>46141</v>
      </c>
      <c r="X567" s="21" t="str">
        <f>UPPER(IF(AUDITORIA[[#This Row],[DATA VERIFICAÇÃO]]="","",TEXT(AUDITORIA[[#This Row],[DATA VERIFICAÇÃO]],"mmm")))</f>
        <v>ABR</v>
      </c>
      <c r="Y567" t="s">
        <v>598</v>
      </c>
      <c r="Z567" t="s">
        <v>691</v>
      </c>
      <c r="AA567" t="s">
        <v>692</v>
      </c>
    </row>
    <row r="568" spans="1:27" ht="14.4" hidden="1" customHeight="1" x14ac:dyDescent="0.3">
      <c r="A568" s="4" t="s">
        <v>0</v>
      </c>
      <c r="B568" s="4" t="s">
        <v>17</v>
      </c>
      <c r="C568" s="16" t="s">
        <v>18</v>
      </c>
      <c r="D568" s="4">
        <v>10</v>
      </c>
      <c r="E568" s="4" t="s">
        <v>745</v>
      </c>
      <c r="F568" t="s">
        <v>675</v>
      </c>
      <c r="G568" t="s">
        <v>66</v>
      </c>
      <c r="J568" s="4" t="s">
        <v>55</v>
      </c>
      <c r="K568" s="4" t="s">
        <v>21</v>
      </c>
      <c r="L568" s="4" t="s">
        <v>742</v>
      </c>
      <c r="M568" s="17">
        <v>27</v>
      </c>
      <c r="N568" s="17">
        <v>917</v>
      </c>
      <c r="O568" s="18" t="s">
        <v>55</v>
      </c>
      <c r="P568" s="18">
        <v>917</v>
      </c>
      <c r="Q568" s="18">
        <v>27</v>
      </c>
      <c r="R568" s="18"/>
      <c r="S568" s="18"/>
      <c r="T568" s="18"/>
      <c r="U5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68" s="19">
        <f>IF(AUDITORIA[[#This Row],[CAT]]="",0,1)</f>
        <v>1</v>
      </c>
      <c r="W568" s="20">
        <v>46141</v>
      </c>
      <c r="X568" s="21" t="str">
        <f>UPPER(IF(AUDITORIA[[#This Row],[DATA VERIFICAÇÃO]]="","",TEXT(AUDITORIA[[#This Row],[DATA VERIFICAÇÃO]],"mmm")))</f>
        <v>ABR</v>
      </c>
      <c r="Y568" t="s">
        <v>598</v>
      </c>
      <c r="Z568" t="s">
        <v>691</v>
      </c>
      <c r="AA568" t="s">
        <v>692</v>
      </c>
    </row>
    <row r="569" spans="1:27" ht="14.4" hidden="1" customHeight="1" x14ac:dyDescent="0.3">
      <c r="A569" s="4" t="s">
        <v>0</v>
      </c>
      <c r="B569" s="4" t="s">
        <v>17</v>
      </c>
      <c r="C569" s="16" t="s">
        <v>18</v>
      </c>
      <c r="D569" s="4">
        <v>10</v>
      </c>
      <c r="E569" s="4" t="s">
        <v>745</v>
      </c>
      <c r="F569" t="s">
        <v>673</v>
      </c>
      <c r="G569" t="s">
        <v>66</v>
      </c>
      <c r="J569" s="4" t="s">
        <v>55</v>
      </c>
      <c r="K569" s="4" t="s">
        <v>21</v>
      </c>
      <c r="L569" s="4" t="s">
        <v>742</v>
      </c>
      <c r="M569" s="17">
        <v>30</v>
      </c>
      <c r="N569" s="17">
        <v>909</v>
      </c>
      <c r="O569" s="18" t="s">
        <v>55</v>
      </c>
      <c r="P569" s="18">
        <v>909</v>
      </c>
      <c r="Q569" s="18">
        <v>30</v>
      </c>
      <c r="R569" s="18"/>
      <c r="S569" s="18"/>
      <c r="T569" s="18"/>
      <c r="U5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69" s="19">
        <f>IF(AUDITORIA[[#This Row],[CAT]]="",0,1)</f>
        <v>1</v>
      </c>
      <c r="W569" s="20">
        <v>46141</v>
      </c>
      <c r="X569" s="21" t="str">
        <f>UPPER(IF(AUDITORIA[[#This Row],[DATA VERIFICAÇÃO]]="","",TEXT(AUDITORIA[[#This Row],[DATA VERIFICAÇÃO]],"mmm")))</f>
        <v>ABR</v>
      </c>
      <c r="Y569" t="s">
        <v>598</v>
      </c>
      <c r="Z569" t="s">
        <v>691</v>
      </c>
      <c r="AA569" t="s">
        <v>692</v>
      </c>
    </row>
    <row r="570" spans="1:27" ht="14.4" hidden="1" customHeight="1" x14ac:dyDescent="0.3">
      <c r="A570" s="4" t="s">
        <v>0</v>
      </c>
      <c r="B570" s="4" t="s">
        <v>17</v>
      </c>
      <c r="C570" s="16" t="s">
        <v>18</v>
      </c>
      <c r="D570" s="4">
        <v>10</v>
      </c>
      <c r="E570" s="4" t="s">
        <v>745</v>
      </c>
      <c r="F570" t="s">
        <v>671</v>
      </c>
      <c r="G570" t="s">
        <v>66</v>
      </c>
      <c r="J570" s="4" t="s">
        <v>55</v>
      </c>
      <c r="K570" s="4" t="s">
        <v>21</v>
      </c>
      <c r="L570" s="4" t="s">
        <v>742</v>
      </c>
      <c r="M570" s="17">
        <v>30</v>
      </c>
      <c r="N570" s="17">
        <v>887</v>
      </c>
      <c r="O570" s="18" t="s">
        <v>55</v>
      </c>
      <c r="P570" s="18">
        <v>887</v>
      </c>
      <c r="Q570" s="18">
        <v>30</v>
      </c>
      <c r="R570" s="18"/>
      <c r="S570" s="18"/>
      <c r="T570" s="18"/>
      <c r="U5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70" s="19">
        <f>IF(AUDITORIA[[#This Row],[CAT]]="",0,1)</f>
        <v>1</v>
      </c>
      <c r="W570" s="20">
        <v>46141</v>
      </c>
      <c r="X570" s="21" t="str">
        <f>UPPER(IF(AUDITORIA[[#This Row],[DATA VERIFICAÇÃO]]="","",TEXT(AUDITORIA[[#This Row],[DATA VERIFICAÇÃO]],"mmm")))</f>
        <v>ABR</v>
      </c>
      <c r="Y570" t="s">
        <v>598</v>
      </c>
      <c r="Z570" t="s">
        <v>691</v>
      </c>
      <c r="AA570" t="s">
        <v>692</v>
      </c>
    </row>
    <row r="571" spans="1:27" ht="14.4" hidden="1" customHeight="1" x14ac:dyDescent="0.3">
      <c r="A571" s="4" t="s">
        <v>0</v>
      </c>
      <c r="B571" s="4" t="s">
        <v>17</v>
      </c>
      <c r="C571" s="16" t="s">
        <v>18</v>
      </c>
      <c r="D571" s="4">
        <v>10</v>
      </c>
      <c r="E571" s="4" t="s">
        <v>745</v>
      </c>
      <c r="F571" t="s">
        <v>670</v>
      </c>
      <c r="G571" t="s">
        <v>66</v>
      </c>
      <c r="J571" s="4" t="s">
        <v>55</v>
      </c>
      <c r="K571" s="4" t="s">
        <v>21</v>
      </c>
      <c r="L571" s="4" t="s">
        <v>742</v>
      </c>
      <c r="M571" s="17">
        <v>30</v>
      </c>
      <c r="N571" s="17">
        <v>904</v>
      </c>
      <c r="O571" s="18" t="s">
        <v>55</v>
      </c>
      <c r="P571" s="18">
        <v>904</v>
      </c>
      <c r="Q571" s="18">
        <v>30</v>
      </c>
      <c r="R571" s="18"/>
      <c r="S571" s="18"/>
      <c r="T571" s="18"/>
      <c r="U5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71" s="19">
        <f>IF(AUDITORIA[[#This Row],[CAT]]="",0,1)</f>
        <v>1</v>
      </c>
      <c r="W571" s="20">
        <v>46141</v>
      </c>
      <c r="X571" s="21" t="str">
        <f>UPPER(IF(AUDITORIA[[#This Row],[DATA VERIFICAÇÃO]]="","",TEXT(AUDITORIA[[#This Row],[DATA VERIFICAÇÃO]],"mmm")))</f>
        <v>ABR</v>
      </c>
      <c r="Y571" t="s">
        <v>598</v>
      </c>
      <c r="Z571" t="s">
        <v>691</v>
      </c>
      <c r="AA571" t="s">
        <v>692</v>
      </c>
    </row>
    <row r="572" spans="1:27" ht="14.4" hidden="1" customHeight="1" x14ac:dyDescent="0.3">
      <c r="A572" s="4" t="s">
        <v>0</v>
      </c>
      <c r="B572" s="4" t="s">
        <v>17</v>
      </c>
      <c r="C572" s="16" t="s">
        <v>18</v>
      </c>
      <c r="D572" s="4">
        <v>10</v>
      </c>
      <c r="E572" s="4" t="s">
        <v>745</v>
      </c>
      <c r="F572" t="s">
        <v>668</v>
      </c>
      <c r="G572" t="s">
        <v>66</v>
      </c>
      <c r="J572" s="4" t="s">
        <v>55</v>
      </c>
      <c r="K572" s="4" t="s">
        <v>21</v>
      </c>
      <c r="L572" s="4" t="s">
        <v>742</v>
      </c>
      <c r="M572" s="17">
        <v>27</v>
      </c>
      <c r="N572" s="17">
        <v>920</v>
      </c>
      <c r="O572" s="18" t="s">
        <v>55</v>
      </c>
      <c r="P572" s="18">
        <v>920</v>
      </c>
      <c r="Q572" s="18">
        <v>27</v>
      </c>
      <c r="R572" s="18"/>
      <c r="S572" s="18"/>
      <c r="T572" s="18"/>
      <c r="U5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72" s="19">
        <f>IF(AUDITORIA[[#This Row],[CAT]]="",0,1)</f>
        <v>1</v>
      </c>
      <c r="W572" s="20">
        <v>46141</v>
      </c>
      <c r="X572" s="21" t="str">
        <f>UPPER(IF(AUDITORIA[[#This Row],[DATA VERIFICAÇÃO]]="","",TEXT(AUDITORIA[[#This Row],[DATA VERIFICAÇÃO]],"mmm")))</f>
        <v>ABR</v>
      </c>
      <c r="Y572" t="s">
        <v>598</v>
      </c>
      <c r="Z572" t="s">
        <v>691</v>
      </c>
      <c r="AA572" t="s">
        <v>692</v>
      </c>
    </row>
    <row r="573" spans="1:27" ht="14.4" hidden="1" customHeight="1" x14ac:dyDescent="0.3">
      <c r="A573" s="4" t="s">
        <v>0</v>
      </c>
      <c r="B573" s="4" t="s">
        <v>17</v>
      </c>
      <c r="C573" s="16" t="s">
        <v>18</v>
      </c>
      <c r="D573" s="4">
        <v>10</v>
      </c>
      <c r="E573" s="4" t="s">
        <v>745</v>
      </c>
      <c r="F573" t="s">
        <v>667</v>
      </c>
      <c r="G573" t="s">
        <v>66</v>
      </c>
      <c r="J573" s="4" t="s">
        <v>55</v>
      </c>
      <c r="K573" s="4" t="s">
        <v>21</v>
      </c>
      <c r="L573" s="4" t="s">
        <v>742</v>
      </c>
      <c r="M573" s="17">
        <v>30</v>
      </c>
      <c r="N573" s="17">
        <v>894</v>
      </c>
      <c r="O573" s="18" t="s">
        <v>55</v>
      </c>
      <c r="P573" s="18">
        <v>894</v>
      </c>
      <c r="Q573" s="18">
        <v>30</v>
      </c>
      <c r="R573" s="18"/>
      <c r="S573" s="18"/>
      <c r="T573" s="18"/>
      <c r="U5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73" s="19">
        <f>IF(AUDITORIA[[#This Row],[CAT]]="",0,1)</f>
        <v>1</v>
      </c>
      <c r="W573" s="20">
        <v>46141</v>
      </c>
      <c r="X573" s="21" t="str">
        <f>UPPER(IF(AUDITORIA[[#This Row],[DATA VERIFICAÇÃO]]="","",TEXT(AUDITORIA[[#This Row],[DATA VERIFICAÇÃO]],"mmm")))</f>
        <v>ABR</v>
      </c>
      <c r="Y573" t="s">
        <v>598</v>
      </c>
      <c r="Z573" t="s">
        <v>691</v>
      </c>
      <c r="AA573" t="s">
        <v>692</v>
      </c>
    </row>
    <row r="574" spans="1:27" ht="14.4" hidden="1" customHeight="1" x14ac:dyDescent="0.3">
      <c r="A574" s="4" t="s">
        <v>0</v>
      </c>
      <c r="B574" s="4" t="s">
        <v>17</v>
      </c>
      <c r="C574" s="16" t="s">
        <v>18</v>
      </c>
      <c r="D574" s="4">
        <v>10</v>
      </c>
      <c r="E574" s="4" t="s">
        <v>745</v>
      </c>
      <c r="F574" t="s">
        <v>663</v>
      </c>
      <c r="G574" t="s">
        <v>66</v>
      </c>
      <c r="J574" s="4" t="s">
        <v>55</v>
      </c>
      <c r="K574" s="4" t="s">
        <v>21</v>
      </c>
      <c r="L574" s="4" t="s">
        <v>742</v>
      </c>
      <c r="M574" s="17">
        <v>30</v>
      </c>
      <c r="N574" s="17">
        <v>903</v>
      </c>
      <c r="O574" s="18" t="s">
        <v>55</v>
      </c>
      <c r="P574" s="18">
        <v>903</v>
      </c>
      <c r="Q574" s="18">
        <v>30</v>
      </c>
      <c r="R574" s="18"/>
      <c r="S574" s="18"/>
      <c r="T574" s="18"/>
      <c r="U5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74" s="19">
        <f>IF(AUDITORIA[[#This Row],[CAT]]="",0,1)</f>
        <v>1</v>
      </c>
      <c r="W574" s="20">
        <v>46141</v>
      </c>
      <c r="X574" s="21" t="str">
        <f>UPPER(IF(AUDITORIA[[#This Row],[DATA VERIFICAÇÃO]]="","",TEXT(AUDITORIA[[#This Row],[DATA VERIFICAÇÃO]],"mmm")))</f>
        <v>ABR</v>
      </c>
      <c r="Y574" t="s">
        <v>598</v>
      </c>
      <c r="Z574" t="s">
        <v>691</v>
      </c>
      <c r="AA574" t="s">
        <v>692</v>
      </c>
    </row>
    <row r="575" spans="1:27" ht="14.4" hidden="1" customHeight="1" x14ac:dyDescent="0.3">
      <c r="A575" s="4" t="s">
        <v>0</v>
      </c>
      <c r="B575" s="4" t="s">
        <v>17</v>
      </c>
      <c r="C575" s="16" t="s">
        <v>18</v>
      </c>
      <c r="D575" s="4">
        <v>10</v>
      </c>
      <c r="E575" s="4" t="s">
        <v>745</v>
      </c>
      <c r="F575" t="s">
        <v>664</v>
      </c>
      <c r="G575" t="s">
        <v>66</v>
      </c>
      <c r="J575" s="4" t="s">
        <v>55</v>
      </c>
      <c r="K575" s="4" t="s">
        <v>21</v>
      </c>
      <c r="L575" s="4" t="s">
        <v>742</v>
      </c>
      <c r="M575" s="17">
        <v>27</v>
      </c>
      <c r="N575" s="17">
        <v>918</v>
      </c>
      <c r="O575" s="18" t="s">
        <v>55</v>
      </c>
      <c r="P575" s="18">
        <v>918</v>
      </c>
      <c r="Q575" s="18">
        <v>27</v>
      </c>
      <c r="R575" s="18"/>
      <c r="S575" s="18"/>
      <c r="T575" s="18"/>
      <c r="U5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75" s="19">
        <f>IF(AUDITORIA[[#This Row],[CAT]]="",0,1)</f>
        <v>1</v>
      </c>
      <c r="W575" s="20">
        <v>46141</v>
      </c>
      <c r="X575" s="21" t="str">
        <f>UPPER(IF(AUDITORIA[[#This Row],[DATA VERIFICAÇÃO]]="","",TEXT(AUDITORIA[[#This Row],[DATA VERIFICAÇÃO]],"mmm")))</f>
        <v>ABR</v>
      </c>
      <c r="Y575" t="s">
        <v>598</v>
      </c>
      <c r="Z575" t="s">
        <v>691</v>
      </c>
      <c r="AA575" t="s">
        <v>692</v>
      </c>
    </row>
    <row r="576" spans="1:27" ht="14.4" hidden="1" customHeight="1" x14ac:dyDescent="0.3">
      <c r="A576" s="4" t="s">
        <v>0</v>
      </c>
      <c r="B576" s="4" t="s">
        <v>17</v>
      </c>
      <c r="C576" s="16" t="s">
        <v>18</v>
      </c>
      <c r="D576" s="4">
        <v>10</v>
      </c>
      <c r="E576" s="4" t="s">
        <v>745</v>
      </c>
      <c r="F576" t="s">
        <v>661</v>
      </c>
      <c r="G576" t="s">
        <v>66</v>
      </c>
      <c r="J576" s="4" t="s">
        <v>55</v>
      </c>
      <c r="K576" s="4" t="s">
        <v>21</v>
      </c>
      <c r="L576" s="4" t="s">
        <v>742</v>
      </c>
      <c r="M576" s="17">
        <v>30</v>
      </c>
      <c r="N576" s="17">
        <v>884</v>
      </c>
      <c r="O576" s="18" t="s">
        <v>55</v>
      </c>
      <c r="P576" s="18">
        <v>884</v>
      </c>
      <c r="Q576" s="18">
        <v>30</v>
      </c>
      <c r="R576" s="18"/>
      <c r="S576" s="18"/>
      <c r="T576" s="18"/>
      <c r="U5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76" s="19">
        <f>IF(AUDITORIA[[#This Row],[CAT]]="",0,1)</f>
        <v>1</v>
      </c>
      <c r="W576" s="20">
        <v>46141</v>
      </c>
      <c r="X576" s="21" t="str">
        <f>UPPER(IF(AUDITORIA[[#This Row],[DATA VERIFICAÇÃO]]="","",TEXT(AUDITORIA[[#This Row],[DATA VERIFICAÇÃO]],"mmm")))</f>
        <v>ABR</v>
      </c>
      <c r="Y576" t="s">
        <v>598</v>
      </c>
      <c r="Z576" t="s">
        <v>691</v>
      </c>
      <c r="AA576" t="s">
        <v>692</v>
      </c>
    </row>
    <row r="577" spans="1:27" ht="14.4" hidden="1" customHeight="1" x14ac:dyDescent="0.3">
      <c r="A577" s="4" t="s">
        <v>0</v>
      </c>
      <c r="B577" s="4" t="s">
        <v>17</v>
      </c>
      <c r="C577" s="16" t="s">
        <v>18</v>
      </c>
      <c r="D577" s="4">
        <v>10</v>
      </c>
      <c r="E577" s="4" t="s">
        <v>745</v>
      </c>
      <c r="F577" t="s">
        <v>660</v>
      </c>
      <c r="G577" t="s">
        <v>66</v>
      </c>
      <c r="J577" s="4" t="s">
        <v>55</v>
      </c>
      <c r="K577" s="4" t="s">
        <v>21</v>
      </c>
      <c r="L577" s="4" t="s">
        <v>742</v>
      </c>
      <c r="M577" s="17">
        <v>30</v>
      </c>
      <c r="N577" s="17">
        <v>901</v>
      </c>
      <c r="O577" s="18" t="s">
        <v>55</v>
      </c>
      <c r="P577" s="18">
        <v>901</v>
      </c>
      <c r="Q577" s="18">
        <v>30</v>
      </c>
      <c r="R577" s="18"/>
      <c r="S577" s="18"/>
      <c r="T577" s="18"/>
      <c r="U5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77" s="19">
        <f>IF(AUDITORIA[[#This Row],[CAT]]="",0,1)</f>
        <v>1</v>
      </c>
      <c r="W577" s="20">
        <v>46141</v>
      </c>
      <c r="X577" s="21" t="str">
        <f>UPPER(IF(AUDITORIA[[#This Row],[DATA VERIFICAÇÃO]]="","",TEXT(AUDITORIA[[#This Row],[DATA VERIFICAÇÃO]],"mmm")))</f>
        <v>ABR</v>
      </c>
      <c r="Y577" t="s">
        <v>598</v>
      </c>
      <c r="Z577" t="s">
        <v>691</v>
      </c>
      <c r="AA577" t="s">
        <v>692</v>
      </c>
    </row>
    <row r="578" spans="1:27" ht="14.4" hidden="1" customHeight="1" x14ac:dyDescent="0.3">
      <c r="A578" s="4" t="s">
        <v>0</v>
      </c>
      <c r="B578" s="4" t="s">
        <v>17</v>
      </c>
      <c r="C578" s="16" t="s">
        <v>18</v>
      </c>
      <c r="D578" s="4">
        <v>10</v>
      </c>
      <c r="E578" s="4" t="s">
        <v>745</v>
      </c>
      <c r="F578" t="s">
        <v>658</v>
      </c>
      <c r="G578" t="s">
        <v>66</v>
      </c>
      <c r="J578" s="4" t="s">
        <v>55</v>
      </c>
      <c r="K578" s="4" t="s">
        <v>21</v>
      </c>
      <c r="L578" s="4" t="s">
        <v>742</v>
      </c>
      <c r="M578" s="17">
        <v>30</v>
      </c>
      <c r="N578" s="17">
        <v>896</v>
      </c>
      <c r="O578" s="18" t="s">
        <v>55</v>
      </c>
      <c r="P578" s="18">
        <v>896</v>
      </c>
      <c r="Q578" s="18">
        <v>30</v>
      </c>
      <c r="R578" s="18"/>
      <c r="S578" s="18"/>
      <c r="T578" s="18"/>
      <c r="U5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78" s="19">
        <f>IF(AUDITORIA[[#This Row],[CAT]]="",0,1)</f>
        <v>1</v>
      </c>
      <c r="W578" s="20">
        <v>46141</v>
      </c>
      <c r="X578" s="21" t="str">
        <f>UPPER(IF(AUDITORIA[[#This Row],[DATA VERIFICAÇÃO]]="","",TEXT(AUDITORIA[[#This Row],[DATA VERIFICAÇÃO]],"mmm")))</f>
        <v>ABR</v>
      </c>
      <c r="Y578" t="s">
        <v>598</v>
      </c>
      <c r="Z578" t="s">
        <v>691</v>
      </c>
      <c r="AA578" t="s">
        <v>692</v>
      </c>
    </row>
    <row r="579" spans="1:27" ht="14.4" hidden="1" customHeight="1" x14ac:dyDescent="0.3">
      <c r="A579" s="4" t="s">
        <v>0</v>
      </c>
      <c r="B579" s="4" t="s">
        <v>17</v>
      </c>
      <c r="C579" s="16" t="s">
        <v>18</v>
      </c>
      <c r="D579" s="4">
        <v>10</v>
      </c>
      <c r="E579" s="4" t="s">
        <v>745</v>
      </c>
      <c r="F579" t="s">
        <v>656</v>
      </c>
      <c r="G579" t="s">
        <v>66</v>
      </c>
      <c r="J579" s="4" t="s">
        <v>55</v>
      </c>
      <c r="K579" s="4" t="s">
        <v>21</v>
      </c>
      <c r="L579" s="4" t="s">
        <v>742</v>
      </c>
      <c r="M579" s="17">
        <v>24</v>
      </c>
      <c r="N579" s="17">
        <v>925</v>
      </c>
      <c r="O579" s="18" t="s">
        <v>55</v>
      </c>
      <c r="P579" s="18">
        <v>925</v>
      </c>
      <c r="Q579" s="18">
        <v>24</v>
      </c>
      <c r="R579" s="18"/>
      <c r="S579" s="18"/>
      <c r="T579" s="18"/>
      <c r="U5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79" s="19">
        <f>IF(AUDITORIA[[#This Row],[CAT]]="",0,1)</f>
        <v>1</v>
      </c>
      <c r="W579" s="20">
        <v>46141</v>
      </c>
      <c r="X579" s="21" t="str">
        <f>UPPER(IF(AUDITORIA[[#This Row],[DATA VERIFICAÇÃO]]="","",TEXT(AUDITORIA[[#This Row],[DATA VERIFICAÇÃO]],"mmm")))</f>
        <v>ABR</v>
      </c>
      <c r="Y579" t="s">
        <v>598</v>
      </c>
      <c r="Z579" t="s">
        <v>691</v>
      </c>
      <c r="AA579" t="s">
        <v>692</v>
      </c>
    </row>
    <row r="580" spans="1:27" ht="14.4" hidden="1" customHeight="1" x14ac:dyDescent="0.3">
      <c r="A580" s="4" t="s">
        <v>0</v>
      </c>
      <c r="B580" s="4" t="s">
        <v>17</v>
      </c>
      <c r="C580" s="16" t="s">
        <v>18</v>
      </c>
      <c r="D580" s="4">
        <v>10</v>
      </c>
      <c r="E580" s="4" t="s">
        <v>745</v>
      </c>
      <c r="F580" t="s">
        <v>623</v>
      </c>
      <c r="G580" t="s">
        <v>66</v>
      </c>
      <c r="J580" s="4" t="s">
        <v>55</v>
      </c>
      <c r="K580" s="4" t="s">
        <v>21</v>
      </c>
      <c r="L580" s="4" t="s">
        <v>742</v>
      </c>
      <c r="M580" s="17">
        <v>30</v>
      </c>
      <c r="N580" s="17">
        <v>906</v>
      </c>
      <c r="O580" s="18" t="s">
        <v>55</v>
      </c>
      <c r="P580" s="18">
        <v>906</v>
      </c>
      <c r="Q580" s="18">
        <v>30</v>
      </c>
      <c r="R580" s="18"/>
      <c r="S580" s="18"/>
      <c r="T580" s="18"/>
      <c r="U5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80" s="19">
        <f>IF(AUDITORIA[[#This Row],[CAT]]="",0,1)</f>
        <v>1</v>
      </c>
      <c r="W580" s="20">
        <v>46141</v>
      </c>
      <c r="X580" s="21" t="str">
        <f>UPPER(IF(AUDITORIA[[#This Row],[DATA VERIFICAÇÃO]]="","",TEXT(AUDITORIA[[#This Row],[DATA VERIFICAÇÃO]],"mmm")))</f>
        <v>ABR</v>
      </c>
      <c r="Y580" t="s">
        <v>598</v>
      </c>
      <c r="Z580" t="s">
        <v>691</v>
      </c>
      <c r="AA580" t="s">
        <v>692</v>
      </c>
    </row>
    <row r="581" spans="1:27" ht="14.4" hidden="1" customHeight="1" x14ac:dyDescent="0.3">
      <c r="A581" s="4" t="s">
        <v>0</v>
      </c>
      <c r="B581" s="4" t="s">
        <v>17</v>
      </c>
      <c r="C581" s="16" t="s">
        <v>18</v>
      </c>
      <c r="D581" s="4">
        <v>10</v>
      </c>
      <c r="E581" s="4" t="s">
        <v>745</v>
      </c>
      <c r="F581" t="s">
        <v>622</v>
      </c>
      <c r="G581" t="s">
        <v>66</v>
      </c>
      <c r="J581" s="4" t="s">
        <v>55</v>
      </c>
      <c r="K581" s="4" t="s">
        <v>21</v>
      </c>
      <c r="L581" s="4" t="s">
        <v>742</v>
      </c>
      <c r="M581" s="17">
        <v>27</v>
      </c>
      <c r="N581" s="17">
        <v>936</v>
      </c>
      <c r="O581" s="18" t="s">
        <v>55</v>
      </c>
      <c r="P581" s="18">
        <v>936</v>
      </c>
      <c r="Q581" s="18">
        <v>27</v>
      </c>
      <c r="R581" s="18"/>
      <c r="S581" s="18"/>
      <c r="T581" s="18"/>
      <c r="U5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81" s="19">
        <f>IF(AUDITORIA[[#This Row],[CAT]]="",0,1)</f>
        <v>1</v>
      </c>
      <c r="W581" s="20">
        <v>46141</v>
      </c>
      <c r="X581" s="21" t="str">
        <f>UPPER(IF(AUDITORIA[[#This Row],[DATA VERIFICAÇÃO]]="","",TEXT(AUDITORIA[[#This Row],[DATA VERIFICAÇÃO]],"mmm")))</f>
        <v>ABR</v>
      </c>
      <c r="Y581" t="s">
        <v>598</v>
      </c>
      <c r="Z581" t="s">
        <v>691</v>
      </c>
      <c r="AA581" t="s">
        <v>692</v>
      </c>
    </row>
    <row r="582" spans="1:27" ht="14.4" hidden="1" customHeight="1" x14ac:dyDescent="0.3">
      <c r="A582" s="4" t="s">
        <v>0</v>
      </c>
      <c r="B582" s="4" t="s">
        <v>17</v>
      </c>
      <c r="C582" s="16" t="s">
        <v>18</v>
      </c>
      <c r="D582" s="4">
        <v>10</v>
      </c>
      <c r="E582" s="4" t="s">
        <v>745</v>
      </c>
      <c r="F582" t="s">
        <v>620</v>
      </c>
      <c r="G582" t="s">
        <v>66</v>
      </c>
      <c r="J582" s="4" t="s">
        <v>55</v>
      </c>
      <c r="K582" s="4" t="s">
        <v>21</v>
      </c>
      <c r="L582" s="4" t="s">
        <v>742</v>
      </c>
      <c r="M582" s="17">
        <v>14</v>
      </c>
      <c r="N582" s="17">
        <v>920</v>
      </c>
      <c r="O582" s="18" t="s">
        <v>55</v>
      </c>
      <c r="P582" s="18">
        <v>920</v>
      </c>
      <c r="Q582" s="18">
        <v>14</v>
      </c>
      <c r="R582" s="18"/>
      <c r="S582" s="18"/>
      <c r="T582" s="18"/>
      <c r="U5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82" s="19">
        <f>IF(AUDITORIA[[#This Row],[CAT]]="",0,1)</f>
        <v>1</v>
      </c>
      <c r="W582" s="20">
        <v>46141</v>
      </c>
      <c r="X582" s="21" t="str">
        <f>UPPER(IF(AUDITORIA[[#This Row],[DATA VERIFICAÇÃO]]="","",TEXT(AUDITORIA[[#This Row],[DATA VERIFICAÇÃO]],"mmm")))</f>
        <v>ABR</v>
      </c>
      <c r="Y582" t="s">
        <v>598</v>
      </c>
      <c r="Z582" t="s">
        <v>691</v>
      </c>
      <c r="AA582" t="s">
        <v>692</v>
      </c>
    </row>
    <row r="583" spans="1:27" ht="14.4" hidden="1" customHeight="1" x14ac:dyDescent="0.3">
      <c r="A583" s="4" t="s">
        <v>0</v>
      </c>
      <c r="B583" s="4" t="s">
        <v>17</v>
      </c>
      <c r="C583" s="16" t="s">
        <v>18</v>
      </c>
      <c r="D583" s="4">
        <v>10</v>
      </c>
      <c r="E583" s="4" t="s">
        <v>745</v>
      </c>
      <c r="F583" t="s">
        <v>64</v>
      </c>
      <c r="G583" t="s">
        <v>54</v>
      </c>
      <c r="J583" s="4" t="s">
        <v>55</v>
      </c>
      <c r="K583" s="4" t="s">
        <v>20</v>
      </c>
      <c r="L583" s="4" t="s">
        <v>742</v>
      </c>
      <c r="M583" s="17">
        <v>30</v>
      </c>
      <c r="N583" s="17">
        <v>697</v>
      </c>
      <c r="O583" s="18" t="s">
        <v>55</v>
      </c>
      <c r="P583" s="18">
        <v>697</v>
      </c>
      <c r="Q583" s="18">
        <v>30</v>
      </c>
      <c r="R583" s="18"/>
      <c r="S583" s="18"/>
      <c r="T583" s="18"/>
      <c r="U5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83" s="19">
        <f>IF(AUDITORIA[[#This Row],[CAT]]="",0,1)</f>
        <v>1</v>
      </c>
      <c r="W583" s="20">
        <v>46141</v>
      </c>
      <c r="X583" s="21" t="str">
        <f>UPPER(IF(AUDITORIA[[#This Row],[DATA VERIFICAÇÃO]]="","",TEXT(AUDITORIA[[#This Row],[DATA VERIFICAÇÃO]],"mmm")))</f>
        <v>ABR</v>
      </c>
      <c r="Y583" t="s">
        <v>598</v>
      </c>
      <c r="Z583" t="s">
        <v>691</v>
      </c>
      <c r="AA583" t="s">
        <v>692</v>
      </c>
    </row>
    <row r="584" spans="1:27" ht="14.4" hidden="1" customHeight="1" x14ac:dyDescent="0.3">
      <c r="A584" s="4" t="s">
        <v>0</v>
      </c>
      <c r="B584" s="4" t="s">
        <v>17</v>
      </c>
      <c r="C584" s="16" t="s">
        <v>18</v>
      </c>
      <c r="D584" s="4">
        <v>10</v>
      </c>
      <c r="E584" s="4" t="s">
        <v>745</v>
      </c>
      <c r="F584" t="s">
        <v>62</v>
      </c>
      <c r="G584" t="s">
        <v>54</v>
      </c>
      <c r="J584" s="4" t="s">
        <v>55</v>
      </c>
      <c r="K584" s="4" t="s">
        <v>20</v>
      </c>
      <c r="L584" s="4" t="s">
        <v>742</v>
      </c>
      <c r="M584" s="17">
        <v>30</v>
      </c>
      <c r="N584" s="17">
        <v>680</v>
      </c>
      <c r="O584" s="18" t="s">
        <v>55</v>
      </c>
      <c r="P584" s="18">
        <v>680</v>
      </c>
      <c r="Q584" s="18">
        <v>30</v>
      </c>
      <c r="R584" s="18"/>
      <c r="S584" s="18"/>
      <c r="T584" s="18"/>
      <c r="U5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84" s="19">
        <f>IF(AUDITORIA[[#This Row],[CAT]]="",0,1)</f>
        <v>1</v>
      </c>
      <c r="W584" s="20">
        <v>46141</v>
      </c>
      <c r="X584" s="21" t="str">
        <f>UPPER(IF(AUDITORIA[[#This Row],[DATA VERIFICAÇÃO]]="","",TEXT(AUDITORIA[[#This Row],[DATA VERIFICAÇÃO]],"mmm")))</f>
        <v>ABR</v>
      </c>
      <c r="Y584" t="s">
        <v>598</v>
      </c>
      <c r="Z584" t="s">
        <v>691</v>
      </c>
      <c r="AA584" t="s">
        <v>692</v>
      </c>
    </row>
    <row r="585" spans="1:27" ht="14.4" hidden="1" customHeight="1" x14ac:dyDescent="0.3">
      <c r="A585" s="4" t="s">
        <v>0</v>
      </c>
      <c r="B585" s="4" t="s">
        <v>17</v>
      </c>
      <c r="C585" s="16" t="s">
        <v>18</v>
      </c>
      <c r="D585" s="4">
        <v>10</v>
      </c>
      <c r="E585" s="4" t="s">
        <v>745</v>
      </c>
      <c r="F585" t="s">
        <v>61</v>
      </c>
      <c r="G585" t="s">
        <v>54</v>
      </c>
      <c r="J585" s="4" t="s">
        <v>55</v>
      </c>
      <c r="K585" s="4" t="s">
        <v>20</v>
      </c>
      <c r="L585" s="4" t="s">
        <v>742</v>
      </c>
      <c r="M585" s="17">
        <v>30</v>
      </c>
      <c r="N585" s="17">
        <v>677</v>
      </c>
      <c r="O585" s="18" t="s">
        <v>55</v>
      </c>
      <c r="P585" s="18">
        <v>677</v>
      </c>
      <c r="Q585" s="18">
        <v>30</v>
      </c>
      <c r="R585" s="18"/>
      <c r="S585" s="18"/>
      <c r="T585" s="18"/>
      <c r="U5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85" s="19">
        <f>IF(AUDITORIA[[#This Row],[CAT]]="",0,1)</f>
        <v>1</v>
      </c>
      <c r="W585" s="20">
        <v>46141</v>
      </c>
      <c r="X585" s="21" t="str">
        <f>UPPER(IF(AUDITORIA[[#This Row],[DATA VERIFICAÇÃO]]="","",TEXT(AUDITORIA[[#This Row],[DATA VERIFICAÇÃO]],"mmm")))</f>
        <v>ABR</v>
      </c>
      <c r="Y585" t="s">
        <v>598</v>
      </c>
      <c r="Z585" t="s">
        <v>691</v>
      </c>
      <c r="AA585" t="s">
        <v>692</v>
      </c>
    </row>
    <row r="586" spans="1:27" ht="14.4" hidden="1" customHeight="1" x14ac:dyDescent="0.3">
      <c r="A586" s="4" t="s">
        <v>0</v>
      </c>
      <c r="B586" s="4" t="s">
        <v>17</v>
      </c>
      <c r="C586" s="16" t="s">
        <v>18</v>
      </c>
      <c r="D586" s="4">
        <v>10</v>
      </c>
      <c r="E586" s="4" t="s">
        <v>745</v>
      </c>
      <c r="F586" t="s">
        <v>59</v>
      </c>
      <c r="G586" t="s">
        <v>54</v>
      </c>
      <c r="J586" s="4" t="s">
        <v>55</v>
      </c>
      <c r="K586" s="4" t="s">
        <v>20</v>
      </c>
      <c r="L586" s="4" t="s">
        <v>742</v>
      </c>
      <c r="M586" s="17">
        <v>30</v>
      </c>
      <c r="N586" s="17">
        <v>690</v>
      </c>
      <c r="O586" s="18" t="s">
        <v>55</v>
      </c>
      <c r="P586" s="18">
        <v>690</v>
      </c>
      <c r="Q586" s="18">
        <v>30</v>
      </c>
      <c r="R586" s="18"/>
      <c r="S586" s="18"/>
      <c r="T586" s="18"/>
      <c r="U5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86" s="19">
        <f>IF(AUDITORIA[[#This Row],[CAT]]="",0,1)</f>
        <v>1</v>
      </c>
      <c r="W586" s="20">
        <v>46141</v>
      </c>
      <c r="X586" s="21" t="str">
        <f>UPPER(IF(AUDITORIA[[#This Row],[DATA VERIFICAÇÃO]]="","",TEXT(AUDITORIA[[#This Row],[DATA VERIFICAÇÃO]],"mmm")))</f>
        <v>ABR</v>
      </c>
      <c r="Y586" t="s">
        <v>598</v>
      </c>
      <c r="Z586" t="s">
        <v>691</v>
      </c>
      <c r="AA586" t="s">
        <v>692</v>
      </c>
    </row>
    <row r="587" spans="1:27" ht="14.4" hidden="1" customHeight="1" x14ac:dyDescent="0.3">
      <c r="A587" s="4" t="s">
        <v>0</v>
      </c>
      <c r="B587" s="4" t="s">
        <v>17</v>
      </c>
      <c r="C587" s="16" t="s">
        <v>18</v>
      </c>
      <c r="D587" s="4">
        <v>10</v>
      </c>
      <c r="E587" s="4" t="s">
        <v>745</v>
      </c>
      <c r="F587" t="s">
        <v>58</v>
      </c>
      <c r="G587" t="s">
        <v>54</v>
      </c>
      <c r="J587" s="4" t="s">
        <v>55</v>
      </c>
      <c r="K587" s="4" t="s">
        <v>20</v>
      </c>
      <c r="L587" s="4" t="s">
        <v>742</v>
      </c>
      <c r="M587" s="17">
        <v>30</v>
      </c>
      <c r="N587" s="17">
        <v>674</v>
      </c>
      <c r="O587" s="18" t="s">
        <v>55</v>
      </c>
      <c r="P587" s="18">
        <v>674</v>
      </c>
      <c r="Q587" s="18">
        <v>30</v>
      </c>
      <c r="R587" s="18"/>
      <c r="S587" s="18"/>
      <c r="T587" s="18"/>
      <c r="U5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87" s="19">
        <f>IF(AUDITORIA[[#This Row],[CAT]]="",0,1)</f>
        <v>1</v>
      </c>
      <c r="W587" s="20">
        <v>46141</v>
      </c>
      <c r="X587" s="21" t="str">
        <f>UPPER(IF(AUDITORIA[[#This Row],[DATA VERIFICAÇÃO]]="","",TEXT(AUDITORIA[[#This Row],[DATA VERIFICAÇÃO]],"mmm")))</f>
        <v>ABR</v>
      </c>
      <c r="Y587" t="s">
        <v>598</v>
      </c>
      <c r="Z587" t="s">
        <v>691</v>
      </c>
      <c r="AA587" t="s">
        <v>692</v>
      </c>
    </row>
    <row r="588" spans="1:27" ht="14.4" hidden="1" customHeight="1" x14ac:dyDescent="0.3">
      <c r="A588" s="4" t="s">
        <v>0</v>
      </c>
      <c r="B588" s="4" t="s">
        <v>17</v>
      </c>
      <c r="C588" s="16" t="s">
        <v>18</v>
      </c>
      <c r="D588" s="4">
        <v>10</v>
      </c>
      <c r="E588" s="4" t="s">
        <v>745</v>
      </c>
      <c r="F588" t="s">
        <v>56</v>
      </c>
      <c r="G588" t="s">
        <v>54</v>
      </c>
      <c r="J588" s="4" t="s">
        <v>55</v>
      </c>
      <c r="K588" s="4" t="s">
        <v>20</v>
      </c>
      <c r="L588" s="4" t="s">
        <v>742</v>
      </c>
      <c r="M588" s="17">
        <v>30</v>
      </c>
      <c r="N588" s="17">
        <v>639</v>
      </c>
      <c r="O588" s="18" t="s">
        <v>55</v>
      </c>
      <c r="P588" s="18">
        <v>639</v>
      </c>
      <c r="Q588" s="18">
        <v>30</v>
      </c>
      <c r="R588" s="18"/>
      <c r="S588" s="18"/>
      <c r="T588" s="18"/>
      <c r="U5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88" s="19">
        <f>IF(AUDITORIA[[#This Row],[CAT]]="",0,1)</f>
        <v>1</v>
      </c>
      <c r="W588" s="20">
        <v>46141</v>
      </c>
      <c r="X588" s="21" t="str">
        <f>UPPER(IF(AUDITORIA[[#This Row],[DATA VERIFICAÇÃO]]="","",TEXT(AUDITORIA[[#This Row],[DATA VERIFICAÇÃO]],"mmm")))</f>
        <v>ABR</v>
      </c>
      <c r="Y588" t="s">
        <v>598</v>
      </c>
      <c r="Z588" t="s">
        <v>691</v>
      </c>
      <c r="AA588" t="s">
        <v>692</v>
      </c>
    </row>
    <row r="589" spans="1:27" ht="14.4" hidden="1" customHeight="1" x14ac:dyDescent="0.3">
      <c r="A589" s="4" t="s">
        <v>0</v>
      </c>
      <c r="B589" s="4" t="s">
        <v>17</v>
      </c>
      <c r="C589" s="16" t="s">
        <v>18</v>
      </c>
      <c r="D589" s="4">
        <v>10</v>
      </c>
      <c r="E589" s="4" t="s">
        <v>745</v>
      </c>
      <c r="F589" t="s">
        <v>655</v>
      </c>
      <c r="G589" t="s">
        <v>54</v>
      </c>
      <c r="J589" s="4" t="s">
        <v>55</v>
      </c>
      <c r="K589" s="4" t="s">
        <v>20</v>
      </c>
      <c r="L589" s="4" t="s">
        <v>742</v>
      </c>
      <c r="M589" s="17">
        <v>30</v>
      </c>
      <c r="N589" s="17">
        <v>629</v>
      </c>
      <c r="O589" s="18" t="s">
        <v>55</v>
      </c>
      <c r="P589" s="18">
        <v>629</v>
      </c>
      <c r="Q589" s="18">
        <v>30</v>
      </c>
      <c r="R589" s="18"/>
      <c r="S589" s="18"/>
      <c r="T589" s="18"/>
      <c r="U5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89" s="19">
        <f>IF(AUDITORIA[[#This Row],[CAT]]="",0,1)</f>
        <v>1</v>
      </c>
      <c r="W589" s="20">
        <v>46141</v>
      </c>
      <c r="X589" s="21" t="str">
        <f>UPPER(IF(AUDITORIA[[#This Row],[DATA VERIFICAÇÃO]]="","",TEXT(AUDITORIA[[#This Row],[DATA VERIFICAÇÃO]],"mmm")))</f>
        <v>ABR</v>
      </c>
      <c r="Y589" t="s">
        <v>598</v>
      </c>
      <c r="Z589" t="s">
        <v>691</v>
      </c>
      <c r="AA589" t="s">
        <v>692</v>
      </c>
    </row>
    <row r="590" spans="1:27" ht="14.4" hidden="1" customHeight="1" x14ac:dyDescent="0.3">
      <c r="A590" s="4" t="s">
        <v>0</v>
      </c>
      <c r="B590" s="4" t="s">
        <v>17</v>
      </c>
      <c r="C590" s="16" t="s">
        <v>18</v>
      </c>
      <c r="D590" s="4">
        <v>10</v>
      </c>
      <c r="E590" s="4" t="s">
        <v>745</v>
      </c>
      <c r="F590" t="s">
        <v>653</v>
      </c>
      <c r="G590" t="s">
        <v>54</v>
      </c>
      <c r="J590" s="4" t="s">
        <v>55</v>
      </c>
      <c r="K590" s="4" t="s">
        <v>20</v>
      </c>
      <c r="L590" s="4" t="s">
        <v>742</v>
      </c>
      <c r="M590" s="17">
        <v>30</v>
      </c>
      <c r="N590" s="17">
        <v>651</v>
      </c>
      <c r="O590" s="18" t="s">
        <v>55</v>
      </c>
      <c r="P590" s="18">
        <v>651</v>
      </c>
      <c r="Q590" s="18">
        <v>30</v>
      </c>
      <c r="R590" s="18"/>
      <c r="S590" s="18"/>
      <c r="T590" s="18"/>
      <c r="U5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90" s="19">
        <f>IF(AUDITORIA[[#This Row],[CAT]]="",0,1)</f>
        <v>1</v>
      </c>
      <c r="W590" s="20">
        <v>46141</v>
      </c>
      <c r="X590" s="21" t="str">
        <f>UPPER(IF(AUDITORIA[[#This Row],[DATA VERIFICAÇÃO]]="","",TEXT(AUDITORIA[[#This Row],[DATA VERIFICAÇÃO]],"mmm")))</f>
        <v>ABR</v>
      </c>
      <c r="Y590" t="s">
        <v>598</v>
      </c>
      <c r="Z590" t="s">
        <v>691</v>
      </c>
      <c r="AA590" t="s">
        <v>692</v>
      </c>
    </row>
    <row r="591" spans="1:27" ht="14.4" hidden="1" customHeight="1" x14ac:dyDescent="0.3">
      <c r="A591" s="4" t="s">
        <v>0</v>
      </c>
      <c r="B591" s="4" t="s">
        <v>17</v>
      </c>
      <c r="C591" s="16" t="s">
        <v>18</v>
      </c>
      <c r="D591" s="4">
        <v>10</v>
      </c>
      <c r="E591" s="4" t="s">
        <v>745</v>
      </c>
      <c r="F591" t="s">
        <v>651</v>
      </c>
      <c r="G591" t="s">
        <v>54</v>
      </c>
      <c r="J591" s="4" t="s">
        <v>55</v>
      </c>
      <c r="K591" s="4" t="s">
        <v>20</v>
      </c>
      <c r="L591" s="4" t="s">
        <v>742</v>
      </c>
      <c r="M591" s="17">
        <v>30</v>
      </c>
      <c r="N591" s="17">
        <v>628</v>
      </c>
      <c r="O591" s="18" t="s">
        <v>55</v>
      </c>
      <c r="P591" s="18">
        <v>628</v>
      </c>
      <c r="Q591" s="18">
        <v>30</v>
      </c>
      <c r="R591" s="18"/>
      <c r="S591" s="18"/>
      <c r="T591" s="18"/>
      <c r="U5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91" s="19">
        <f>IF(AUDITORIA[[#This Row],[CAT]]="",0,1)</f>
        <v>1</v>
      </c>
      <c r="W591" s="20">
        <v>46141</v>
      </c>
      <c r="X591" s="21" t="str">
        <f>UPPER(IF(AUDITORIA[[#This Row],[DATA VERIFICAÇÃO]]="","",TEXT(AUDITORIA[[#This Row],[DATA VERIFICAÇÃO]],"mmm")))</f>
        <v>ABR</v>
      </c>
      <c r="Y591" t="s">
        <v>598</v>
      </c>
      <c r="Z591" t="s">
        <v>691</v>
      </c>
      <c r="AA591" t="s">
        <v>692</v>
      </c>
    </row>
    <row r="592" spans="1:27" ht="14.4" hidden="1" customHeight="1" x14ac:dyDescent="0.3">
      <c r="A592" s="4" t="s">
        <v>0</v>
      </c>
      <c r="B592" s="4" t="s">
        <v>17</v>
      </c>
      <c r="C592" s="16" t="s">
        <v>18</v>
      </c>
      <c r="D592" s="4">
        <v>10</v>
      </c>
      <c r="E592" s="4" t="s">
        <v>745</v>
      </c>
      <c r="F592" t="s">
        <v>649</v>
      </c>
      <c r="G592" t="s">
        <v>54</v>
      </c>
      <c r="J592" s="4" t="s">
        <v>55</v>
      </c>
      <c r="K592" s="4" t="s">
        <v>20</v>
      </c>
      <c r="L592" s="4" t="s">
        <v>742</v>
      </c>
      <c r="M592" s="17">
        <v>30</v>
      </c>
      <c r="N592" s="17">
        <v>649</v>
      </c>
      <c r="O592" s="18" t="s">
        <v>55</v>
      </c>
      <c r="P592" s="18">
        <v>649</v>
      </c>
      <c r="Q592" s="18">
        <v>30</v>
      </c>
      <c r="R592" s="18"/>
      <c r="S592" s="18"/>
      <c r="T592" s="18"/>
      <c r="U5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92" s="19">
        <f>IF(AUDITORIA[[#This Row],[CAT]]="",0,1)</f>
        <v>1</v>
      </c>
      <c r="W592" s="20">
        <v>46141</v>
      </c>
      <c r="X592" s="21" t="str">
        <f>UPPER(IF(AUDITORIA[[#This Row],[DATA VERIFICAÇÃO]]="","",TEXT(AUDITORIA[[#This Row],[DATA VERIFICAÇÃO]],"mmm")))</f>
        <v>ABR</v>
      </c>
      <c r="Y592" t="s">
        <v>598</v>
      </c>
      <c r="Z592" t="s">
        <v>691</v>
      </c>
      <c r="AA592" t="s">
        <v>692</v>
      </c>
    </row>
    <row r="593" spans="1:27" ht="14.4" hidden="1" customHeight="1" x14ac:dyDescent="0.3">
      <c r="A593" s="4" t="s">
        <v>0</v>
      </c>
      <c r="B593" s="4" t="s">
        <v>17</v>
      </c>
      <c r="C593" s="16" t="s">
        <v>18</v>
      </c>
      <c r="D593" s="4">
        <v>10</v>
      </c>
      <c r="E593" s="4" t="s">
        <v>745</v>
      </c>
      <c r="F593" t="s">
        <v>647</v>
      </c>
      <c r="G593" t="s">
        <v>54</v>
      </c>
      <c r="J593" s="4" t="s">
        <v>55</v>
      </c>
      <c r="K593" s="4" t="s">
        <v>20</v>
      </c>
      <c r="L593" s="4" t="s">
        <v>742</v>
      </c>
      <c r="M593" s="17">
        <v>30</v>
      </c>
      <c r="N593" s="17">
        <v>664</v>
      </c>
      <c r="O593" s="18" t="s">
        <v>55</v>
      </c>
      <c r="P593" s="18">
        <v>664</v>
      </c>
      <c r="Q593" s="18">
        <v>30</v>
      </c>
      <c r="R593" s="18"/>
      <c r="S593" s="18"/>
      <c r="T593" s="18"/>
      <c r="U5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93" s="19">
        <f>IF(AUDITORIA[[#This Row],[CAT]]="",0,1)</f>
        <v>1</v>
      </c>
      <c r="W593" s="20">
        <v>46141</v>
      </c>
      <c r="X593" s="21" t="str">
        <f>UPPER(IF(AUDITORIA[[#This Row],[DATA VERIFICAÇÃO]]="","",TEXT(AUDITORIA[[#This Row],[DATA VERIFICAÇÃO]],"mmm")))</f>
        <v>ABR</v>
      </c>
      <c r="Y593" t="s">
        <v>598</v>
      </c>
      <c r="Z593" t="s">
        <v>691</v>
      </c>
      <c r="AA593" t="s">
        <v>692</v>
      </c>
    </row>
    <row r="594" spans="1:27" ht="14.4" hidden="1" customHeight="1" x14ac:dyDescent="0.3">
      <c r="A594" s="4" t="s">
        <v>0</v>
      </c>
      <c r="B594" s="4" t="s">
        <v>17</v>
      </c>
      <c r="C594" s="16" t="s">
        <v>18</v>
      </c>
      <c r="D594" s="4">
        <v>10</v>
      </c>
      <c r="E594" s="4" t="s">
        <v>745</v>
      </c>
      <c r="F594" t="s">
        <v>644</v>
      </c>
      <c r="G594" t="s">
        <v>54</v>
      </c>
      <c r="J594" s="4" t="s">
        <v>55</v>
      </c>
      <c r="K594" s="4" t="s">
        <v>20</v>
      </c>
      <c r="L594" s="4" t="s">
        <v>742</v>
      </c>
      <c r="M594" s="17">
        <v>30</v>
      </c>
      <c r="N594" s="17">
        <v>645</v>
      </c>
      <c r="O594" s="18" t="s">
        <v>55</v>
      </c>
      <c r="P594" s="18">
        <v>645</v>
      </c>
      <c r="Q594" s="18">
        <v>30</v>
      </c>
      <c r="R594" s="18"/>
      <c r="S594" s="18"/>
      <c r="T594" s="18"/>
      <c r="U5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94" s="19">
        <f>IF(AUDITORIA[[#This Row],[CAT]]="",0,1)</f>
        <v>1</v>
      </c>
      <c r="W594" s="20">
        <v>46141</v>
      </c>
      <c r="X594" s="21" t="str">
        <f>UPPER(IF(AUDITORIA[[#This Row],[DATA VERIFICAÇÃO]]="","",TEXT(AUDITORIA[[#This Row],[DATA VERIFICAÇÃO]],"mmm")))</f>
        <v>ABR</v>
      </c>
      <c r="Y594" t="s">
        <v>598</v>
      </c>
      <c r="Z594" t="s">
        <v>691</v>
      </c>
      <c r="AA594" t="s">
        <v>692</v>
      </c>
    </row>
    <row r="595" spans="1:27" ht="14.4" hidden="1" customHeight="1" x14ac:dyDescent="0.3">
      <c r="A595" s="4" t="s">
        <v>0</v>
      </c>
      <c r="B595" s="4" t="s">
        <v>17</v>
      </c>
      <c r="C595" s="16" t="s">
        <v>18</v>
      </c>
      <c r="D595" s="4">
        <v>10</v>
      </c>
      <c r="E595" s="4" t="s">
        <v>745</v>
      </c>
      <c r="F595" t="s">
        <v>618</v>
      </c>
      <c r="G595" t="s">
        <v>54</v>
      </c>
      <c r="J595" s="4" t="s">
        <v>55</v>
      </c>
      <c r="K595" s="4" t="s">
        <v>20</v>
      </c>
      <c r="L595" s="4" t="s">
        <v>742</v>
      </c>
      <c r="M595" s="17">
        <v>30</v>
      </c>
      <c r="N595" s="17">
        <v>652</v>
      </c>
      <c r="O595" s="18" t="s">
        <v>55</v>
      </c>
      <c r="P595" s="18">
        <v>652</v>
      </c>
      <c r="Q595" s="18">
        <v>30</v>
      </c>
      <c r="R595" s="18"/>
      <c r="S595" s="18"/>
      <c r="T595" s="18"/>
      <c r="U5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95" s="19">
        <f>IF(AUDITORIA[[#This Row],[CAT]]="",0,1)</f>
        <v>1</v>
      </c>
      <c r="W595" s="20">
        <v>46141</v>
      </c>
      <c r="X595" s="21" t="str">
        <f>UPPER(IF(AUDITORIA[[#This Row],[DATA VERIFICAÇÃO]]="","",TEXT(AUDITORIA[[#This Row],[DATA VERIFICAÇÃO]],"mmm")))</f>
        <v>ABR</v>
      </c>
      <c r="Y595" t="s">
        <v>598</v>
      </c>
      <c r="Z595" t="s">
        <v>691</v>
      </c>
      <c r="AA595" t="s">
        <v>692</v>
      </c>
    </row>
    <row r="596" spans="1:27" ht="14.4" hidden="1" customHeight="1" x14ac:dyDescent="0.3">
      <c r="A596" s="4" t="s">
        <v>0</v>
      </c>
      <c r="B596" s="4" t="s">
        <v>17</v>
      </c>
      <c r="C596" s="16" t="s">
        <v>18</v>
      </c>
      <c r="D596" s="4">
        <v>10</v>
      </c>
      <c r="E596" s="4" t="s">
        <v>745</v>
      </c>
      <c r="F596" t="s">
        <v>616</v>
      </c>
      <c r="G596" t="s">
        <v>54</v>
      </c>
      <c r="J596" s="4" t="s">
        <v>55</v>
      </c>
      <c r="K596" s="4" t="s">
        <v>20</v>
      </c>
      <c r="L596" s="4" t="s">
        <v>742</v>
      </c>
      <c r="M596" s="17">
        <v>30</v>
      </c>
      <c r="N596" s="17">
        <v>660</v>
      </c>
      <c r="O596" s="18" t="s">
        <v>55</v>
      </c>
      <c r="P596" s="18">
        <v>660</v>
      </c>
      <c r="Q596" s="18">
        <v>30</v>
      </c>
      <c r="R596" s="18"/>
      <c r="S596" s="18"/>
      <c r="T596" s="18"/>
      <c r="U5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96" s="19">
        <f>IF(AUDITORIA[[#This Row],[CAT]]="",0,1)</f>
        <v>1</v>
      </c>
      <c r="W596" s="20">
        <v>46141</v>
      </c>
      <c r="X596" s="21" t="str">
        <f>UPPER(IF(AUDITORIA[[#This Row],[DATA VERIFICAÇÃO]]="","",TEXT(AUDITORIA[[#This Row],[DATA VERIFICAÇÃO]],"mmm")))</f>
        <v>ABR</v>
      </c>
      <c r="Y596" t="s">
        <v>598</v>
      </c>
      <c r="Z596" t="s">
        <v>691</v>
      </c>
      <c r="AA596" t="s">
        <v>692</v>
      </c>
    </row>
    <row r="597" spans="1:27" ht="14.4" hidden="1" customHeight="1" x14ac:dyDescent="0.3">
      <c r="A597" s="4" t="s">
        <v>0</v>
      </c>
      <c r="B597" s="4" t="s">
        <v>17</v>
      </c>
      <c r="C597" s="16" t="s">
        <v>18</v>
      </c>
      <c r="D597" s="4">
        <v>10</v>
      </c>
      <c r="E597" s="4" t="s">
        <v>745</v>
      </c>
      <c r="F597" t="s">
        <v>613</v>
      </c>
      <c r="G597" t="s">
        <v>54</v>
      </c>
      <c r="J597" s="4" t="s">
        <v>55</v>
      </c>
      <c r="K597" s="4" t="s">
        <v>20</v>
      </c>
      <c r="L597" s="4" t="s">
        <v>742</v>
      </c>
      <c r="M597" s="17">
        <v>30</v>
      </c>
      <c r="N597" s="17">
        <v>645</v>
      </c>
      <c r="O597" s="18" t="s">
        <v>55</v>
      </c>
      <c r="P597" s="18">
        <v>645</v>
      </c>
      <c r="Q597" s="18">
        <v>30</v>
      </c>
      <c r="R597" s="18"/>
      <c r="S597" s="18"/>
      <c r="T597" s="18"/>
      <c r="U5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97" s="19">
        <f>IF(AUDITORIA[[#This Row],[CAT]]="",0,1)</f>
        <v>1</v>
      </c>
      <c r="W597" s="20">
        <v>46141</v>
      </c>
      <c r="X597" s="21" t="str">
        <f>UPPER(IF(AUDITORIA[[#This Row],[DATA VERIFICAÇÃO]]="","",TEXT(AUDITORIA[[#This Row],[DATA VERIFICAÇÃO]],"mmm")))</f>
        <v>ABR</v>
      </c>
      <c r="Y597" t="s">
        <v>598</v>
      </c>
      <c r="Z597" t="s">
        <v>691</v>
      </c>
      <c r="AA597" t="s">
        <v>692</v>
      </c>
    </row>
    <row r="598" spans="1:27" ht="14.4" hidden="1" customHeight="1" x14ac:dyDescent="0.3">
      <c r="A598" s="4" t="s">
        <v>0</v>
      </c>
      <c r="B598" s="4" t="s">
        <v>17</v>
      </c>
      <c r="C598" s="16" t="s">
        <v>18</v>
      </c>
      <c r="D598" s="4">
        <v>10</v>
      </c>
      <c r="E598" s="4" t="s">
        <v>745</v>
      </c>
      <c r="F598" t="s">
        <v>612</v>
      </c>
      <c r="G598" t="s">
        <v>54</v>
      </c>
      <c r="J598" s="4" t="s">
        <v>55</v>
      </c>
      <c r="K598" s="4" t="s">
        <v>20</v>
      </c>
      <c r="L598" s="4" t="s">
        <v>742</v>
      </c>
      <c r="M598" s="17">
        <v>30</v>
      </c>
      <c r="N598" s="17">
        <v>628</v>
      </c>
      <c r="O598" s="18" t="s">
        <v>55</v>
      </c>
      <c r="P598" s="18">
        <v>628</v>
      </c>
      <c r="Q598" s="18">
        <v>30</v>
      </c>
      <c r="R598" s="18"/>
      <c r="S598" s="18"/>
      <c r="T598" s="18"/>
      <c r="U5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98" s="19">
        <f>IF(AUDITORIA[[#This Row],[CAT]]="",0,1)</f>
        <v>1</v>
      </c>
      <c r="W598" s="20">
        <v>46141</v>
      </c>
      <c r="X598" s="21" t="str">
        <f>UPPER(IF(AUDITORIA[[#This Row],[DATA VERIFICAÇÃO]]="","",TEXT(AUDITORIA[[#This Row],[DATA VERIFICAÇÃO]],"mmm")))</f>
        <v>ABR</v>
      </c>
      <c r="Y598" t="s">
        <v>598</v>
      </c>
      <c r="Z598" t="s">
        <v>691</v>
      </c>
      <c r="AA598" t="s">
        <v>692</v>
      </c>
    </row>
    <row r="599" spans="1:27" ht="14.4" hidden="1" customHeight="1" x14ac:dyDescent="0.3">
      <c r="A599" s="4" t="s">
        <v>0</v>
      </c>
      <c r="B599" s="4" t="s">
        <v>17</v>
      </c>
      <c r="C599" s="16" t="s">
        <v>18</v>
      </c>
      <c r="D599" s="4">
        <v>10</v>
      </c>
      <c r="E599" s="4" t="s">
        <v>745</v>
      </c>
      <c r="F599" t="s">
        <v>610</v>
      </c>
      <c r="G599" t="s">
        <v>54</v>
      </c>
      <c r="J599" s="4" t="s">
        <v>55</v>
      </c>
      <c r="K599" s="4" t="s">
        <v>20</v>
      </c>
      <c r="L599" s="4" t="s">
        <v>742</v>
      </c>
      <c r="M599" s="17">
        <v>30</v>
      </c>
      <c r="N599" s="17">
        <v>635</v>
      </c>
      <c r="O599" s="18" t="s">
        <v>55</v>
      </c>
      <c r="P599" s="18">
        <v>635</v>
      </c>
      <c r="Q599" s="18">
        <v>30</v>
      </c>
      <c r="R599" s="18"/>
      <c r="S599" s="18"/>
      <c r="T599" s="18"/>
      <c r="U5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599" s="19">
        <f>IF(AUDITORIA[[#This Row],[CAT]]="",0,1)</f>
        <v>1</v>
      </c>
      <c r="W599" s="20">
        <v>46141</v>
      </c>
      <c r="X599" s="21" t="str">
        <f>UPPER(IF(AUDITORIA[[#This Row],[DATA VERIFICAÇÃO]]="","",TEXT(AUDITORIA[[#This Row],[DATA VERIFICAÇÃO]],"mmm")))</f>
        <v>ABR</v>
      </c>
      <c r="Y599" t="s">
        <v>598</v>
      </c>
      <c r="Z599" t="s">
        <v>691</v>
      </c>
      <c r="AA599" t="s">
        <v>692</v>
      </c>
    </row>
    <row r="600" spans="1:27" ht="14.4" hidden="1" customHeight="1" x14ac:dyDescent="0.3">
      <c r="A600" s="4" t="s">
        <v>0</v>
      </c>
      <c r="B600" s="4" t="s">
        <v>17</v>
      </c>
      <c r="C600" s="16" t="s">
        <v>18</v>
      </c>
      <c r="D600" s="4">
        <v>10</v>
      </c>
      <c r="E600" s="4" t="s">
        <v>745</v>
      </c>
      <c r="F600" t="s">
        <v>608</v>
      </c>
      <c r="G600" t="s">
        <v>54</v>
      </c>
      <c r="J600" s="4" t="s">
        <v>55</v>
      </c>
      <c r="K600" s="4" t="s">
        <v>20</v>
      </c>
      <c r="L600" s="4" t="s">
        <v>742</v>
      </c>
      <c r="M600" s="17">
        <v>30</v>
      </c>
      <c r="N600" s="17">
        <v>648</v>
      </c>
      <c r="O600" s="18" t="s">
        <v>55</v>
      </c>
      <c r="P600" s="18">
        <v>648</v>
      </c>
      <c r="Q600" s="18">
        <v>30</v>
      </c>
      <c r="R600" s="18"/>
      <c r="S600" s="18"/>
      <c r="T600" s="18"/>
      <c r="U6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00" s="19">
        <f>IF(AUDITORIA[[#This Row],[CAT]]="",0,1)</f>
        <v>1</v>
      </c>
      <c r="W600" s="20">
        <v>46141</v>
      </c>
      <c r="X600" s="21" t="str">
        <f>UPPER(IF(AUDITORIA[[#This Row],[DATA VERIFICAÇÃO]]="","",TEXT(AUDITORIA[[#This Row],[DATA VERIFICAÇÃO]],"mmm")))</f>
        <v>ABR</v>
      </c>
      <c r="Y600" t="s">
        <v>598</v>
      </c>
      <c r="Z600" t="s">
        <v>691</v>
      </c>
      <c r="AA600" t="s">
        <v>692</v>
      </c>
    </row>
    <row r="601" spans="1:27" ht="14.4" hidden="1" customHeight="1" x14ac:dyDescent="0.3">
      <c r="A601" s="4" t="s">
        <v>0</v>
      </c>
      <c r="B601" s="4" t="s">
        <v>17</v>
      </c>
      <c r="C601" s="16" t="s">
        <v>18</v>
      </c>
      <c r="D601" s="4">
        <v>10</v>
      </c>
      <c r="E601" s="4" t="s">
        <v>745</v>
      </c>
      <c r="F601" t="s">
        <v>63</v>
      </c>
      <c r="G601" t="s">
        <v>54</v>
      </c>
      <c r="J601" s="4" t="s">
        <v>55</v>
      </c>
      <c r="K601" s="4" t="s">
        <v>21</v>
      </c>
      <c r="L601" s="4" t="s">
        <v>742</v>
      </c>
      <c r="M601" s="17">
        <v>30</v>
      </c>
      <c r="N601" s="17">
        <v>854</v>
      </c>
      <c r="O601" s="18" t="s">
        <v>55</v>
      </c>
      <c r="P601" s="18">
        <v>854</v>
      </c>
      <c r="Q601" s="18">
        <v>30</v>
      </c>
      <c r="R601" s="18"/>
      <c r="S601" s="18"/>
      <c r="T601" s="18"/>
      <c r="U6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01" s="19">
        <f>IF(AUDITORIA[[#This Row],[CAT]]="",0,1)</f>
        <v>1</v>
      </c>
      <c r="W601" s="20">
        <v>46141</v>
      </c>
      <c r="X601" s="21" t="str">
        <f>UPPER(IF(AUDITORIA[[#This Row],[DATA VERIFICAÇÃO]]="","",TEXT(AUDITORIA[[#This Row],[DATA VERIFICAÇÃO]],"mmm")))</f>
        <v>ABR</v>
      </c>
      <c r="Y601" t="s">
        <v>598</v>
      </c>
      <c r="Z601" t="s">
        <v>691</v>
      </c>
      <c r="AA601" t="s">
        <v>692</v>
      </c>
    </row>
    <row r="602" spans="1:27" ht="14.4" hidden="1" customHeight="1" x14ac:dyDescent="0.3">
      <c r="A602" s="4" t="s">
        <v>0</v>
      </c>
      <c r="B602" s="4" t="s">
        <v>17</v>
      </c>
      <c r="C602" s="16" t="s">
        <v>18</v>
      </c>
      <c r="D602" s="4">
        <v>10</v>
      </c>
      <c r="E602" s="4" t="s">
        <v>745</v>
      </c>
      <c r="F602" t="s">
        <v>60</v>
      </c>
      <c r="G602" t="s">
        <v>54</v>
      </c>
      <c r="J602" s="4" t="s">
        <v>55</v>
      </c>
      <c r="K602" s="4" t="s">
        <v>21</v>
      </c>
      <c r="L602" s="4" t="s">
        <v>742</v>
      </c>
      <c r="M602" s="17">
        <v>30</v>
      </c>
      <c r="N602" s="17">
        <v>838</v>
      </c>
      <c r="O602" s="18" t="s">
        <v>55</v>
      </c>
      <c r="P602" s="18">
        <v>838</v>
      </c>
      <c r="Q602" s="18">
        <v>30</v>
      </c>
      <c r="R602" s="18"/>
      <c r="S602" s="18"/>
      <c r="T602" s="18"/>
      <c r="U6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02" s="19">
        <f>IF(AUDITORIA[[#This Row],[CAT]]="",0,1)</f>
        <v>1</v>
      </c>
      <c r="W602" s="20">
        <v>46141</v>
      </c>
      <c r="X602" s="21" t="str">
        <f>UPPER(IF(AUDITORIA[[#This Row],[DATA VERIFICAÇÃO]]="","",TEXT(AUDITORIA[[#This Row],[DATA VERIFICAÇÃO]],"mmm")))</f>
        <v>ABR</v>
      </c>
      <c r="Y602" t="s">
        <v>598</v>
      </c>
      <c r="Z602" t="s">
        <v>691</v>
      </c>
      <c r="AA602" t="s">
        <v>692</v>
      </c>
    </row>
    <row r="603" spans="1:27" ht="14.4" hidden="1" customHeight="1" x14ac:dyDescent="0.3">
      <c r="A603" s="4" t="s">
        <v>0</v>
      </c>
      <c r="B603" s="4" t="s">
        <v>17</v>
      </c>
      <c r="C603" s="16" t="s">
        <v>18</v>
      </c>
      <c r="D603" s="4">
        <v>10</v>
      </c>
      <c r="E603" s="4" t="s">
        <v>745</v>
      </c>
      <c r="F603" t="s">
        <v>57</v>
      </c>
      <c r="G603" t="s">
        <v>54</v>
      </c>
      <c r="J603" s="4" t="s">
        <v>55</v>
      </c>
      <c r="K603" s="4" t="s">
        <v>21</v>
      </c>
      <c r="L603" s="4" t="s">
        <v>742</v>
      </c>
      <c r="M603" s="17">
        <v>30</v>
      </c>
      <c r="N603" s="17">
        <v>822</v>
      </c>
      <c r="O603" s="18" t="s">
        <v>55</v>
      </c>
      <c r="P603" s="18">
        <v>822</v>
      </c>
      <c r="Q603" s="18">
        <v>30</v>
      </c>
      <c r="R603" s="18"/>
      <c r="S603" s="18"/>
      <c r="T603" s="18"/>
      <c r="U6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03" s="19">
        <f>IF(AUDITORIA[[#This Row],[CAT]]="",0,1)</f>
        <v>1</v>
      </c>
      <c r="W603" s="20">
        <v>46141</v>
      </c>
      <c r="X603" s="21" t="str">
        <f>UPPER(IF(AUDITORIA[[#This Row],[DATA VERIFICAÇÃO]]="","",TEXT(AUDITORIA[[#This Row],[DATA VERIFICAÇÃO]],"mmm")))</f>
        <v>ABR</v>
      </c>
      <c r="Y603" t="s">
        <v>598</v>
      </c>
      <c r="Z603" t="s">
        <v>691</v>
      </c>
      <c r="AA603" t="s">
        <v>692</v>
      </c>
    </row>
    <row r="604" spans="1:27" ht="14.4" hidden="1" customHeight="1" x14ac:dyDescent="0.3">
      <c r="A604" s="4" t="s">
        <v>0</v>
      </c>
      <c r="B604" s="4" t="s">
        <v>17</v>
      </c>
      <c r="C604" s="16" t="s">
        <v>18</v>
      </c>
      <c r="D604" s="4">
        <v>10</v>
      </c>
      <c r="E604" s="4" t="s">
        <v>745</v>
      </c>
      <c r="F604" t="s">
        <v>53</v>
      </c>
      <c r="G604" t="s">
        <v>54</v>
      </c>
      <c r="J604" s="4" t="s">
        <v>55</v>
      </c>
      <c r="K604" s="4" t="s">
        <v>21</v>
      </c>
      <c r="L604" s="4" t="s">
        <v>742</v>
      </c>
      <c r="M604" s="17">
        <v>10</v>
      </c>
      <c r="N604" s="17">
        <v>832</v>
      </c>
      <c r="O604" s="18" t="s">
        <v>55</v>
      </c>
      <c r="P604" s="18">
        <v>832</v>
      </c>
      <c r="Q604" s="18">
        <v>10</v>
      </c>
      <c r="R604" s="18"/>
      <c r="S604" s="18"/>
      <c r="T604" s="18"/>
      <c r="U6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04" s="19">
        <f>IF(AUDITORIA[[#This Row],[CAT]]="",0,1)</f>
        <v>1</v>
      </c>
      <c r="W604" s="20">
        <v>46141</v>
      </c>
      <c r="X604" s="21" t="str">
        <f>UPPER(IF(AUDITORIA[[#This Row],[DATA VERIFICAÇÃO]]="","",TEXT(AUDITORIA[[#This Row],[DATA VERIFICAÇÃO]],"mmm")))</f>
        <v>ABR</v>
      </c>
      <c r="Y604" t="s">
        <v>598</v>
      </c>
      <c r="Z604" t="s">
        <v>691</v>
      </c>
      <c r="AA604" t="s">
        <v>692</v>
      </c>
    </row>
    <row r="605" spans="1:27" ht="14.4" hidden="1" customHeight="1" x14ac:dyDescent="0.3">
      <c r="A605" s="4" t="s">
        <v>0</v>
      </c>
      <c r="B605" s="4" t="s">
        <v>17</v>
      </c>
      <c r="C605" s="16" t="s">
        <v>18</v>
      </c>
      <c r="D605" s="4">
        <v>10</v>
      </c>
      <c r="E605" s="4" t="s">
        <v>745</v>
      </c>
      <c r="F605" t="s">
        <v>654</v>
      </c>
      <c r="G605" t="s">
        <v>54</v>
      </c>
      <c r="J605" s="4" t="s">
        <v>55</v>
      </c>
      <c r="K605" s="4" t="s">
        <v>21</v>
      </c>
      <c r="L605" s="4" t="s">
        <v>742</v>
      </c>
      <c r="M605" s="17">
        <v>30</v>
      </c>
      <c r="N605" s="17">
        <v>814</v>
      </c>
      <c r="O605" s="18" t="s">
        <v>55</v>
      </c>
      <c r="P605" s="18">
        <v>814</v>
      </c>
      <c r="Q605" s="18">
        <v>30</v>
      </c>
      <c r="R605" s="18"/>
      <c r="S605" s="18"/>
      <c r="T605" s="18"/>
      <c r="U6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05" s="19">
        <f>IF(AUDITORIA[[#This Row],[CAT]]="",0,1)</f>
        <v>1</v>
      </c>
      <c r="W605" s="20">
        <v>46141</v>
      </c>
      <c r="X605" s="21" t="str">
        <f>UPPER(IF(AUDITORIA[[#This Row],[DATA VERIFICAÇÃO]]="","",TEXT(AUDITORIA[[#This Row],[DATA VERIFICAÇÃO]],"mmm")))</f>
        <v>ABR</v>
      </c>
      <c r="Y605" t="s">
        <v>598</v>
      </c>
      <c r="Z605" t="s">
        <v>691</v>
      </c>
      <c r="AA605" t="s">
        <v>692</v>
      </c>
    </row>
    <row r="606" spans="1:27" ht="14.4" hidden="1" customHeight="1" x14ac:dyDescent="0.3">
      <c r="A606" s="4" t="s">
        <v>0</v>
      </c>
      <c r="B606" s="4" t="s">
        <v>17</v>
      </c>
      <c r="C606" s="16" t="s">
        <v>18</v>
      </c>
      <c r="D606" s="4">
        <v>10</v>
      </c>
      <c r="E606" s="4" t="s">
        <v>745</v>
      </c>
      <c r="F606" t="s">
        <v>652</v>
      </c>
      <c r="G606" t="s">
        <v>54</v>
      </c>
      <c r="J606" s="4" t="s">
        <v>55</v>
      </c>
      <c r="K606" s="4" t="s">
        <v>21</v>
      </c>
      <c r="L606" s="4" t="s">
        <v>742</v>
      </c>
      <c r="M606" s="17">
        <v>30</v>
      </c>
      <c r="N606" s="17">
        <v>834</v>
      </c>
      <c r="O606" s="18" t="s">
        <v>55</v>
      </c>
      <c r="P606" s="18">
        <v>834</v>
      </c>
      <c r="Q606" s="18">
        <v>30</v>
      </c>
      <c r="R606" s="18"/>
      <c r="S606" s="18"/>
      <c r="T606" s="18"/>
      <c r="U6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06" s="19">
        <f>IF(AUDITORIA[[#This Row],[CAT]]="",0,1)</f>
        <v>1</v>
      </c>
      <c r="W606" s="20">
        <v>46141</v>
      </c>
      <c r="X606" s="21" t="str">
        <f>UPPER(IF(AUDITORIA[[#This Row],[DATA VERIFICAÇÃO]]="","",TEXT(AUDITORIA[[#This Row],[DATA VERIFICAÇÃO]],"mmm")))</f>
        <v>ABR</v>
      </c>
      <c r="Y606" t="s">
        <v>598</v>
      </c>
      <c r="Z606" t="s">
        <v>691</v>
      </c>
      <c r="AA606" t="s">
        <v>692</v>
      </c>
    </row>
    <row r="607" spans="1:27" ht="14.4" hidden="1" customHeight="1" x14ac:dyDescent="0.3">
      <c r="A607" s="4" t="s">
        <v>0</v>
      </c>
      <c r="B607" s="4" t="s">
        <v>17</v>
      </c>
      <c r="C607" s="16" t="s">
        <v>18</v>
      </c>
      <c r="D607" s="4">
        <v>10</v>
      </c>
      <c r="E607" s="4" t="s">
        <v>745</v>
      </c>
      <c r="F607" t="s">
        <v>650</v>
      </c>
      <c r="G607" t="s">
        <v>54</v>
      </c>
      <c r="J607" s="4" t="s">
        <v>55</v>
      </c>
      <c r="K607" s="4" t="s">
        <v>21</v>
      </c>
      <c r="L607" s="4" t="s">
        <v>742</v>
      </c>
      <c r="M607" s="17">
        <v>30</v>
      </c>
      <c r="N607" s="17">
        <v>828</v>
      </c>
      <c r="O607" s="18" t="s">
        <v>55</v>
      </c>
      <c r="P607" s="18">
        <v>828</v>
      </c>
      <c r="Q607" s="18">
        <v>30</v>
      </c>
      <c r="R607" s="18"/>
      <c r="S607" s="18"/>
      <c r="T607" s="18"/>
      <c r="U6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07" s="19">
        <f>IF(AUDITORIA[[#This Row],[CAT]]="",0,1)</f>
        <v>1</v>
      </c>
      <c r="W607" s="20">
        <v>46141</v>
      </c>
      <c r="X607" s="21" t="str">
        <f>UPPER(IF(AUDITORIA[[#This Row],[DATA VERIFICAÇÃO]]="","",TEXT(AUDITORIA[[#This Row],[DATA VERIFICAÇÃO]],"mmm")))</f>
        <v>ABR</v>
      </c>
      <c r="Y607" t="s">
        <v>598</v>
      </c>
      <c r="Z607" t="s">
        <v>691</v>
      </c>
      <c r="AA607" t="s">
        <v>692</v>
      </c>
    </row>
    <row r="608" spans="1:27" ht="14.4" hidden="1" customHeight="1" x14ac:dyDescent="0.3">
      <c r="A608" s="4" t="s">
        <v>0</v>
      </c>
      <c r="B608" s="4" t="s">
        <v>17</v>
      </c>
      <c r="C608" s="16" t="s">
        <v>18</v>
      </c>
      <c r="D608" s="4">
        <v>10</v>
      </c>
      <c r="E608" s="4" t="s">
        <v>745</v>
      </c>
      <c r="F608" t="s">
        <v>648</v>
      </c>
      <c r="G608" t="s">
        <v>54</v>
      </c>
      <c r="J608" s="4" t="s">
        <v>55</v>
      </c>
      <c r="K608" s="4" t="s">
        <v>21</v>
      </c>
      <c r="L608" s="4" t="s">
        <v>742</v>
      </c>
      <c r="M608" s="17">
        <v>30</v>
      </c>
      <c r="N608" s="17">
        <v>862</v>
      </c>
      <c r="O608" s="18" t="s">
        <v>55</v>
      </c>
      <c r="P608" s="18">
        <v>862</v>
      </c>
      <c r="Q608" s="18">
        <v>30</v>
      </c>
      <c r="R608" s="18"/>
      <c r="S608" s="18"/>
      <c r="T608" s="18"/>
      <c r="U6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08" s="19">
        <f>IF(AUDITORIA[[#This Row],[CAT]]="",0,1)</f>
        <v>1</v>
      </c>
      <c r="W608" s="20">
        <v>46141</v>
      </c>
      <c r="X608" s="21" t="str">
        <f>UPPER(IF(AUDITORIA[[#This Row],[DATA VERIFICAÇÃO]]="","",TEXT(AUDITORIA[[#This Row],[DATA VERIFICAÇÃO]],"mmm")))</f>
        <v>ABR</v>
      </c>
      <c r="Y608" t="s">
        <v>598</v>
      </c>
      <c r="Z608" t="s">
        <v>691</v>
      </c>
      <c r="AA608" t="s">
        <v>692</v>
      </c>
    </row>
    <row r="609" spans="1:27" ht="14.4" hidden="1" customHeight="1" x14ac:dyDescent="0.3">
      <c r="A609" s="4" t="s">
        <v>0</v>
      </c>
      <c r="B609" s="4" t="s">
        <v>17</v>
      </c>
      <c r="C609" s="16" t="s">
        <v>18</v>
      </c>
      <c r="D609" s="4">
        <v>10</v>
      </c>
      <c r="E609" s="4" t="s">
        <v>745</v>
      </c>
      <c r="F609" t="s">
        <v>646</v>
      </c>
      <c r="G609" t="s">
        <v>54</v>
      </c>
      <c r="J609" s="4" t="s">
        <v>55</v>
      </c>
      <c r="K609" s="4" t="s">
        <v>21</v>
      </c>
      <c r="L609" s="4" t="s">
        <v>742</v>
      </c>
      <c r="M609" s="17">
        <v>30</v>
      </c>
      <c r="N609" s="17">
        <v>852</v>
      </c>
      <c r="O609" s="18" t="s">
        <v>55</v>
      </c>
      <c r="P609" s="18">
        <v>852</v>
      </c>
      <c r="Q609" s="18">
        <v>30</v>
      </c>
      <c r="R609" s="18"/>
      <c r="S609" s="18"/>
      <c r="T609" s="18"/>
      <c r="U6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09" s="19">
        <f>IF(AUDITORIA[[#This Row],[CAT]]="",0,1)</f>
        <v>1</v>
      </c>
      <c r="W609" s="20">
        <v>46141</v>
      </c>
      <c r="X609" s="21" t="str">
        <f>UPPER(IF(AUDITORIA[[#This Row],[DATA VERIFICAÇÃO]]="","",TEXT(AUDITORIA[[#This Row],[DATA VERIFICAÇÃO]],"mmm")))</f>
        <v>ABR</v>
      </c>
      <c r="Y609" t="s">
        <v>598</v>
      </c>
      <c r="Z609" t="s">
        <v>691</v>
      </c>
      <c r="AA609" t="s">
        <v>692</v>
      </c>
    </row>
    <row r="610" spans="1:27" ht="14.4" hidden="1" customHeight="1" x14ac:dyDescent="0.3">
      <c r="A610" s="4" t="s">
        <v>0</v>
      </c>
      <c r="B610" s="4" t="s">
        <v>17</v>
      </c>
      <c r="C610" s="16" t="s">
        <v>18</v>
      </c>
      <c r="D610" s="4">
        <v>10</v>
      </c>
      <c r="E610" s="4" t="s">
        <v>745</v>
      </c>
      <c r="F610" t="s">
        <v>645</v>
      </c>
      <c r="G610" t="s">
        <v>54</v>
      </c>
      <c r="J610" s="4" t="s">
        <v>55</v>
      </c>
      <c r="K610" s="4" t="s">
        <v>21</v>
      </c>
      <c r="L610" s="4" t="s">
        <v>742</v>
      </c>
      <c r="M610" s="17">
        <v>30</v>
      </c>
      <c r="N610" s="17">
        <v>835</v>
      </c>
      <c r="O610" s="18" t="s">
        <v>55</v>
      </c>
      <c r="P610" s="18">
        <v>835</v>
      </c>
      <c r="Q610" s="18">
        <v>30</v>
      </c>
      <c r="R610" s="18"/>
      <c r="S610" s="18"/>
      <c r="T610" s="18"/>
      <c r="U6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10" s="19">
        <f>IF(AUDITORIA[[#This Row],[CAT]]="",0,1)</f>
        <v>1</v>
      </c>
      <c r="W610" s="20">
        <v>46141</v>
      </c>
      <c r="X610" s="21" t="str">
        <f>UPPER(IF(AUDITORIA[[#This Row],[DATA VERIFICAÇÃO]]="","",TEXT(AUDITORIA[[#This Row],[DATA VERIFICAÇÃO]],"mmm")))</f>
        <v>ABR</v>
      </c>
      <c r="Y610" t="s">
        <v>598</v>
      </c>
      <c r="Z610" t="s">
        <v>691</v>
      </c>
      <c r="AA610" t="s">
        <v>692</v>
      </c>
    </row>
    <row r="611" spans="1:27" ht="14.4" hidden="1" customHeight="1" x14ac:dyDescent="0.3">
      <c r="A611" s="4" t="s">
        <v>0</v>
      </c>
      <c r="B611" s="4" t="s">
        <v>17</v>
      </c>
      <c r="C611" s="16" t="s">
        <v>18</v>
      </c>
      <c r="D611" s="4">
        <v>10</v>
      </c>
      <c r="E611" s="4" t="s">
        <v>745</v>
      </c>
      <c r="F611" t="s">
        <v>643</v>
      </c>
      <c r="G611" t="s">
        <v>54</v>
      </c>
      <c r="J611" s="4" t="s">
        <v>55</v>
      </c>
      <c r="K611" s="4" t="s">
        <v>21</v>
      </c>
      <c r="L611" s="4" t="s">
        <v>742</v>
      </c>
      <c r="M611" s="17">
        <v>30</v>
      </c>
      <c r="N611" s="17">
        <v>826</v>
      </c>
      <c r="O611" s="18" t="s">
        <v>55</v>
      </c>
      <c r="P611" s="18">
        <v>826</v>
      </c>
      <c r="Q611" s="18">
        <v>30</v>
      </c>
      <c r="R611" s="18"/>
      <c r="S611" s="18"/>
      <c r="T611" s="18"/>
      <c r="U6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11" s="19">
        <f>IF(AUDITORIA[[#This Row],[CAT]]="",0,1)</f>
        <v>1</v>
      </c>
      <c r="W611" s="20">
        <v>46141</v>
      </c>
      <c r="X611" s="21" t="str">
        <f>UPPER(IF(AUDITORIA[[#This Row],[DATA VERIFICAÇÃO]]="","",TEXT(AUDITORIA[[#This Row],[DATA VERIFICAÇÃO]],"mmm")))</f>
        <v>ABR</v>
      </c>
      <c r="Y611" t="s">
        <v>598</v>
      </c>
      <c r="Z611" t="s">
        <v>691</v>
      </c>
      <c r="AA611" t="s">
        <v>692</v>
      </c>
    </row>
    <row r="612" spans="1:27" ht="14.4" hidden="1" customHeight="1" x14ac:dyDescent="0.3">
      <c r="A612" s="4" t="s">
        <v>0</v>
      </c>
      <c r="B612" s="4" t="s">
        <v>17</v>
      </c>
      <c r="C612" s="16" t="s">
        <v>18</v>
      </c>
      <c r="D612" s="4">
        <v>10</v>
      </c>
      <c r="E612" s="4" t="s">
        <v>745</v>
      </c>
      <c r="F612" t="s">
        <v>617</v>
      </c>
      <c r="G612" t="s">
        <v>54</v>
      </c>
      <c r="J612" s="4" t="s">
        <v>55</v>
      </c>
      <c r="K612" s="4" t="s">
        <v>21</v>
      </c>
      <c r="L612" s="4" t="s">
        <v>742</v>
      </c>
      <c r="M612" s="17">
        <v>30</v>
      </c>
      <c r="N612" s="17">
        <v>837</v>
      </c>
      <c r="O612" s="18" t="s">
        <v>55</v>
      </c>
      <c r="P612" s="18">
        <v>837</v>
      </c>
      <c r="Q612" s="18">
        <v>30</v>
      </c>
      <c r="R612" s="18"/>
      <c r="S612" s="18"/>
      <c r="T612" s="18"/>
      <c r="U6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12" s="19">
        <f>IF(AUDITORIA[[#This Row],[CAT]]="",0,1)</f>
        <v>1</v>
      </c>
      <c r="W612" s="20">
        <v>46141</v>
      </c>
      <c r="X612" s="21" t="str">
        <f>UPPER(IF(AUDITORIA[[#This Row],[DATA VERIFICAÇÃO]]="","",TEXT(AUDITORIA[[#This Row],[DATA VERIFICAÇÃO]],"mmm")))</f>
        <v>ABR</v>
      </c>
      <c r="Y612" t="s">
        <v>598</v>
      </c>
      <c r="Z612" t="s">
        <v>691</v>
      </c>
      <c r="AA612" t="s">
        <v>692</v>
      </c>
    </row>
    <row r="613" spans="1:27" ht="14.4" hidden="1" customHeight="1" x14ac:dyDescent="0.3">
      <c r="A613" s="4" t="s">
        <v>0</v>
      </c>
      <c r="B613" s="4" t="s">
        <v>17</v>
      </c>
      <c r="C613" s="16" t="s">
        <v>18</v>
      </c>
      <c r="D613" s="4">
        <v>10</v>
      </c>
      <c r="E613" s="4" t="s">
        <v>745</v>
      </c>
      <c r="F613" t="s">
        <v>615</v>
      </c>
      <c r="G613" t="s">
        <v>54</v>
      </c>
      <c r="J613" s="4" t="s">
        <v>55</v>
      </c>
      <c r="K613" s="4" t="s">
        <v>21</v>
      </c>
      <c r="L613" s="4" t="s">
        <v>742</v>
      </c>
      <c r="M613" s="17">
        <v>30</v>
      </c>
      <c r="N613" s="17">
        <v>833</v>
      </c>
      <c r="O613" s="18" t="s">
        <v>55</v>
      </c>
      <c r="P613" s="18">
        <v>833</v>
      </c>
      <c r="Q613" s="18">
        <v>30</v>
      </c>
      <c r="R613" s="18"/>
      <c r="S613" s="18"/>
      <c r="T613" s="18"/>
      <c r="U6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13" s="19">
        <f>IF(AUDITORIA[[#This Row],[CAT]]="",0,1)</f>
        <v>1</v>
      </c>
      <c r="W613" s="20">
        <v>46141</v>
      </c>
      <c r="X613" s="21" t="str">
        <f>UPPER(IF(AUDITORIA[[#This Row],[DATA VERIFICAÇÃO]]="","",TEXT(AUDITORIA[[#This Row],[DATA VERIFICAÇÃO]],"mmm")))</f>
        <v>ABR</v>
      </c>
      <c r="Y613" t="s">
        <v>598</v>
      </c>
      <c r="Z613" t="s">
        <v>691</v>
      </c>
      <c r="AA613" t="s">
        <v>692</v>
      </c>
    </row>
    <row r="614" spans="1:27" ht="14.4" hidden="1" customHeight="1" x14ac:dyDescent="0.3">
      <c r="A614" s="4" t="s">
        <v>0</v>
      </c>
      <c r="B614" s="4" t="s">
        <v>17</v>
      </c>
      <c r="C614" s="16" t="s">
        <v>18</v>
      </c>
      <c r="D614" s="4">
        <v>10</v>
      </c>
      <c r="E614" s="4" t="s">
        <v>745</v>
      </c>
      <c r="F614" t="s">
        <v>614</v>
      </c>
      <c r="G614" t="s">
        <v>54</v>
      </c>
      <c r="J614" s="4" t="s">
        <v>55</v>
      </c>
      <c r="K614" s="4" t="s">
        <v>21</v>
      </c>
      <c r="L614" s="4" t="s">
        <v>742</v>
      </c>
      <c r="M614" s="17">
        <v>30</v>
      </c>
      <c r="N614" s="17">
        <v>833</v>
      </c>
      <c r="O614" s="18" t="s">
        <v>55</v>
      </c>
      <c r="P614" s="18">
        <v>833</v>
      </c>
      <c r="Q614" s="18">
        <v>30</v>
      </c>
      <c r="R614" s="18"/>
      <c r="S614" s="18"/>
      <c r="T614" s="18"/>
      <c r="U6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14" s="19">
        <f>IF(AUDITORIA[[#This Row],[CAT]]="",0,1)</f>
        <v>1</v>
      </c>
      <c r="W614" s="20">
        <v>46141</v>
      </c>
      <c r="X614" s="21" t="str">
        <f>UPPER(IF(AUDITORIA[[#This Row],[DATA VERIFICAÇÃO]]="","",TEXT(AUDITORIA[[#This Row],[DATA VERIFICAÇÃO]],"mmm")))</f>
        <v>ABR</v>
      </c>
      <c r="Y614" t="s">
        <v>598</v>
      </c>
      <c r="Z614" t="s">
        <v>691</v>
      </c>
      <c r="AA614" t="s">
        <v>692</v>
      </c>
    </row>
    <row r="615" spans="1:27" ht="14.4" hidden="1" customHeight="1" x14ac:dyDescent="0.3">
      <c r="A615" s="4" t="s">
        <v>0</v>
      </c>
      <c r="B615" s="4" t="s">
        <v>17</v>
      </c>
      <c r="C615" s="16" t="s">
        <v>18</v>
      </c>
      <c r="D615" s="4">
        <v>10</v>
      </c>
      <c r="E615" s="4" t="s">
        <v>745</v>
      </c>
      <c r="F615" t="s">
        <v>611</v>
      </c>
      <c r="G615" t="s">
        <v>54</v>
      </c>
      <c r="J615" s="4" t="s">
        <v>55</v>
      </c>
      <c r="K615" s="4" t="s">
        <v>21</v>
      </c>
      <c r="L615" s="4" t="s">
        <v>742</v>
      </c>
      <c r="M615" s="17">
        <v>30</v>
      </c>
      <c r="N615" s="17">
        <v>827</v>
      </c>
      <c r="O615" s="18" t="s">
        <v>55</v>
      </c>
      <c r="P615" s="18">
        <v>827</v>
      </c>
      <c r="Q615" s="18">
        <v>30</v>
      </c>
      <c r="R615" s="18"/>
      <c r="S615" s="18"/>
      <c r="T615" s="18"/>
      <c r="U6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15" s="19">
        <f>IF(AUDITORIA[[#This Row],[CAT]]="",0,1)</f>
        <v>1</v>
      </c>
      <c r="W615" s="20">
        <v>46141</v>
      </c>
      <c r="X615" s="21" t="str">
        <f>UPPER(IF(AUDITORIA[[#This Row],[DATA VERIFICAÇÃO]]="","",TEXT(AUDITORIA[[#This Row],[DATA VERIFICAÇÃO]],"mmm")))</f>
        <v>ABR</v>
      </c>
      <c r="Y615" t="s">
        <v>598</v>
      </c>
      <c r="Z615" t="s">
        <v>691</v>
      </c>
      <c r="AA615" t="s">
        <v>692</v>
      </c>
    </row>
    <row r="616" spans="1:27" ht="14.4" hidden="1" customHeight="1" x14ac:dyDescent="0.3">
      <c r="A616" s="4" t="s">
        <v>0</v>
      </c>
      <c r="B616" s="4" t="s">
        <v>17</v>
      </c>
      <c r="C616" s="16" t="s">
        <v>18</v>
      </c>
      <c r="D616" s="4">
        <v>10</v>
      </c>
      <c r="E616" s="4" t="s">
        <v>745</v>
      </c>
      <c r="F616" t="s">
        <v>609</v>
      </c>
      <c r="G616" t="s">
        <v>54</v>
      </c>
      <c r="J616" s="4" t="s">
        <v>55</v>
      </c>
      <c r="K616" s="4" t="s">
        <v>21</v>
      </c>
      <c r="L616" s="4" t="s">
        <v>742</v>
      </c>
      <c r="M616" s="17">
        <v>30</v>
      </c>
      <c r="N616" s="17">
        <v>835</v>
      </c>
      <c r="O616" s="18" t="s">
        <v>55</v>
      </c>
      <c r="P616" s="18">
        <v>835</v>
      </c>
      <c r="Q616" s="18">
        <v>30</v>
      </c>
      <c r="R616" s="18"/>
      <c r="S616" s="18"/>
      <c r="T616" s="18"/>
      <c r="U6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16" s="19">
        <f>IF(AUDITORIA[[#This Row],[CAT]]="",0,1)</f>
        <v>1</v>
      </c>
      <c r="W616" s="20">
        <v>46141</v>
      </c>
      <c r="X616" s="21" t="str">
        <f>UPPER(IF(AUDITORIA[[#This Row],[DATA VERIFICAÇÃO]]="","",TEXT(AUDITORIA[[#This Row],[DATA VERIFICAÇÃO]],"mmm")))</f>
        <v>ABR</v>
      </c>
      <c r="Y616" t="s">
        <v>598</v>
      </c>
      <c r="Z616" t="s">
        <v>691</v>
      </c>
      <c r="AA616" t="s">
        <v>692</v>
      </c>
    </row>
    <row r="617" spans="1:27" ht="14.4" hidden="1" customHeight="1" x14ac:dyDescent="0.3">
      <c r="A617" s="4" t="s">
        <v>0</v>
      </c>
      <c r="B617" s="4" t="s">
        <v>17</v>
      </c>
      <c r="C617" s="16" t="s">
        <v>18</v>
      </c>
      <c r="D617" s="4">
        <v>10</v>
      </c>
      <c r="E617" s="4" t="s">
        <v>745</v>
      </c>
      <c r="F617" t="s">
        <v>607</v>
      </c>
      <c r="G617" t="s">
        <v>54</v>
      </c>
      <c r="J617" s="4" t="s">
        <v>55</v>
      </c>
      <c r="K617" s="4" t="s">
        <v>21</v>
      </c>
      <c r="L617" s="4" t="s">
        <v>742</v>
      </c>
      <c r="M617" s="17">
        <v>30</v>
      </c>
      <c r="N617" s="17">
        <v>828</v>
      </c>
      <c r="O617" s="18" t="s">
        <v>55</v>
      </c>
      <c r="P617" s="18">
        <v>828</v>
      </c>
      <c r="Q617" s="18">
        <v>30</v>
      </c>
      <c r="R617" s="18"/>
      <c r="S617" s="18"/>
      <c r="T617" s="18"/>
      <c r="U6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17" s="19">
        <f>IF(AUDITORIA[[#This Row],[CAT]]="",0,1)</f>
        <v>1</v>
      </c>
      <c r="W617" s="20">
        <v>46141</v>
      </c>
      <c r="X617" s="21" t="str">
        <f>UPPER(IF(AUDITORIA[[#This Row],[DATA VERIFICAÇÃO]]="","",TEXT(AUDITORIA[[#This Row],[DATA VERIFICAÇÃO]],"mmm")))</f>
        <v>ABR</v>
      </c>
      <c r="Y617" t="s">
        <v>598</v>
      </c>
      <c r="Z617" t="s">
        <v>691</v>
      </c>
      <c r="AA617" t="s">
        <v>692</v>
      </c>
    </row>
    <row r="618" spans="1:27" ht="14.4" hidden="1" customHeight="1" x14ac:dyDescent="0.3">
      <c r="A618" s="4" t="s">
        <v>0</v>
      </c>
      <c r="B618" s="4" t="s">
        <v>17</v>
      </c>
      <c r="C618" s="16" t="s">
        <v>18</v>
      </c>
      <c r="D618" s="4">
        <v>10</v>
      </c>
      <c r="E618" s="4" t="s">
        <v>746</v>
      </c>
      <c r="F618" t="s">
        <v>719</v>
      </c>
      <c r="G618" t="s">
        <v>727</v>
      </c>
      <c r="J618" s="4" t="s">
        <v>55</v>
      </c>
      <c r="K618" s="4" t="s">
        <v>730</v>
      </c>
      <c r="L618" s="4" t="s">
        <v>742</v>
      </c>
      <c r="M618" s="17">
        <v>3</v>
      </c>
      <c r="N618" s="17"/>
      <c r="O618" s="18" t="s">
        <v>55</v>
      </c>
      <c r="P618" s="18"/>
      <c r="Q618" s="18">
        <v>3</v>
      </c>
      <c r="R618" s="18"/>
      <c r="S618" s="18"/>
      <c r="T618" s="18"/>
      <c r="U6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18" s="19">
        <f>IF(AUDITORIA[[#This Row],[CAT]]="",0,1)</f>
        <v>1</v>
      </c>
      <c r="W618" s="20">
        <v>46141</v>
      </c>
      <c r="X618" s="21" t="str">
        <f>UPPER(IF(AUDITORIA[[#This Row],[DATA VERIFICAÇÃO]]="","",TEXT(AUDITORIA[[#This Row],[DATA VERIFICAÇÃO]],"mmm")))</f>
        <v>ABR</v>
      </c>
      <c r="Y618" t="s">
        <v>598</v>
      </c>
      <c r="Z618" t="s">
        <v>691</v>
      </c>
      <c r="AA618" t="s">
        <v>692</v>
      </c>
    </row>
    <row r="619" spans="1:27" ht="14.4" hidden="1" customHeight="1" x14ac:dyDescent="0.3">
      <c r="A619" s="4" t="s">
        <v>0</v>
      </c>
      <c r="B619" s="4" t="s">
        <v>17</v>
      </c>
      <c r="C619" s="16" t="s">
        <v>18</v>
      </c>
      <c r="D619" s="4">
        <v>10</v>
      </c>
      <c r="E619" s="4" t="s">
        <v>746</v>
      </c>
      <c r="F619" t="s">
        <v>701</v>
      </c>
      <c r="G619" t="s">
        <v>727</v>
      </c>
      <c r="J619" s="4" t="s">
        <v>55</v>
      </c>
      <c r="K619" s="4" t="s">
        <v>732</v>
      </c>
      <c r="L619" s="4" t="s">
        <v>742</v>
      </c>
      <c r="M619" s="17">
        <v>14</v>
      </c>
      <c r="N619" s="17"/>
      <c r="O619" s="18" t="s">
        <v>55</v>
      </c>
      <c r="P619" s="18"/>
      <c r="Q619" s="18">
        <v>14</v>
      </c>
      <c r="R619" s="18"/>
      <c r="S619" s="18"/>
      <c r="T619" s="18"/>
      <c r="U6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19" s="19">
        <f>IF(AUDITORIA[[#This Row],[CAT]]="",0,1)</f>
        <v>1</v>
      </c>
      <c r="W619" s="20">
        <v>46141</v>
      </c>
      <c r="X619" s="21" t="str">
        <f>UPPER(IF(AUDITORIA[[#This Row],[DATA VERIFICAÇÃO]]="","",TEXT(AUDITORIA[[#This Row],[DATA VERIFICAÇÃO]],"mmm")))</f>
        <v>ABR</v>
      </c>
      <c r="Y619" t="s">
        <v>598</v>
      </c>
      <c r="Z619" t="s">
        <v>691</v>
      </c>
      <c r="AA619" t="s">
        <v>692</v>
      </c>
    </row>
    <row r="620" spans="1:27" ht="14.4" hidden="1" customHeight="1" x14ac:dyDescent="0.3">
      <c r="A620" s="4" t="s">
        <v>0</v>
      </c>
      <c r="B620" s="4" t="s">
        <v>17</v>
      </c>
      <c r="C620" s="16" t="s">
        <v>18</v>
      </c>
      <c r="D620" s="4">
        <v>10</v>
      </c>
      <c r="E620" s="4" t="s">
        <v>746</v>
      </c>
      <c r="F620" t="s">
        <v>702</v>
      </c>
      <c r="G620" t="s">
        <v>727</v>
      </c>
      <c r="J620" s="4" t="s">
        <v>55</v>
      </c>
      <c r="K620" s="4" t="s">
        <v>732</v>
      </c>
      <c r="L620" s="4" t="s">
        <v>742</v>
      </c>
      <c r="M620" s="17">
        <v>14</v>
      </c>
      <c r="N620" s="17"/>
      <c r="O620" s="18" t="s">
        <v>55</v>
      </c>
      <c r="P620" s="18"/>
      <c r="Q620" s="18">
        <v>14</v>
      </c>
      <c r="R620" s="18"/>
      <c r="S620" s="18"/>
      <c r="T620" s="18"/>
      <c r="U6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20" s="19">
        <f>IF(AUDITORIA[[#This Row],[CAT]]="",0,1)</f>
        <v>1</v>
      </c>
      <c r="W620" s="20">
        <v>46141</v>
      </c>
      <c r="X620" s="21" t="str">
        <f>UPPER(IF(AUDITORIA[[#This Row],[DATA VERIFICAÇÃO]]="","",TEXT(AUDITORIA[[#This Row],[DATA VERIFICAÇÃO]],"mmm")))</f>
        <v>ABR</v>
      </c>
      <c r="Y620" t="s">
        <v>598</v>
      </c>
      <c r="Z620" t="s">
        <v>691</v>
      </c>
      <c r="AA620" t="s">
        <v>692</v>
      </c>
    </row>
    <row r="621" spans="1:27" ht="14.4" hidden="1" customHeight="1" x14ac:dyDescent="0.3">
      <c r="A621" s="4" t="s">
        <v>0</v>
      </c>
      <c r="B621" s="4" t="s">
        <v>17</v>
      </c>
      <c r="C621" s="16" t="s">
        <v>18</v>
      </c>
      <c r="D621" s="4">
        <v>10</v>
      </c>
      <c r="E621" s="4" t="s">
        <v>746</v>
      </c>
      <c r="F621" t="s">
        <v>703</v>
      </c>
      <c r="G621" t="s">
        <v>727</v>
      </c>
      <c r="J621" s="4" t="s">
        <v>55</v>
      </c>
      <c r="K621" s="4" t="s">
        <v>732</v>
      </c>
      <c r="L621" s="4" t="s">
        <v>742</v>
      </c>
      <c r="M621" s="17">
        <v>9</v>
      </c>
      <c r="N621" s="17"/>
      <c r="O621" s="18" t="s">
        <v>55</v>
      </c>
      <c r="P621" s="18"/>
      <c r="Q621" s="18">
        <v>9</v>
      </c>
      <c r="R621" s="18"/>
      <c r="S621" s="18"/>
      <c r="T621" s="18"/>
      <c r="U6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21" s="19">
        <f>IF(AUDITORIA[[#This Row],[CAT]]="",0,1)</f>
        <v>1</v>
      </c>
      <c r="W621" s="20">
        <v>46141</v>
      </c>
      <c r="X621" s="21" t="str">
        <f>UPPER(IF(AUDITORIA[[#This Row],[DATA VERIFICAÇÃO]]="","",TEXT(AUDITORIA[[#This Row],[DATA VERIFICAÇÃO]],"mmm")))</f>
        <v>ABR</v>
      </c>
      <c r="Y621" t="s">
        <v>598</v>
      </c>
      <c r="Z621" t="s">
        <v>691</v>
      </c>
      <c r="AA621" t="s">
        <v>692</v>
      </c>
    </row>
    <row r="622" spans="1:27" ht="14.4" hidden="1" customHeight="1" x14ac:dyDescent="0.3">
      <c r="A622" s="4" t="s">
        <v>0</v>
      </c>
      <c r="B622" s="4" t="s">
        <v>17</v>
      </c>
      <c r="C622" s="16" t="s">
        <v>18</v>
      </c>
      <c r="D622" s="4">
        <v>10</v>
      </c>
      <c r="E622" s="4" t="s">
        <v>746</v>
      </c>
      <c r="F622" t="s">
        <v>724</v>
      </c>
      <c r="G622" t="s">
        <v>727</v>
      </c>
      <c r="J622" s="4" t="s">
        <v>55</v>
      </c>
      <c r="K622" s="4" t="s">
        <v>731</v>
      </c>
      <c r="L622" s="4" t="s">
        <v>742</v>
      </c>
      <c r="M622" s="17">
        <v>1</v>
      </c>
      <c r="N622" s="17"/>
      <c r="O622" s="18" t="s">
        <v>55</v>
      </c>
      <c r="P622" s="18"/>
      <c r="Q622" s="18">
        <v>1</v>
      </c>
      <c r="R622" s="18"/>
      <c r="S622" s="18"/>
      <c r="T622" s="18"/>
      <c r="U6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22" s="19">
        <f>IF(AUDITORIA[[#This Row],[CAT]]="",0,1)</f>
        <v>1</v>
      </c>
      <c r="W622" s="20">
        <v>46141</v>
      </c>
      <c r="X622" s="21" t="str">
        <f>UPPER(IF(AUDITORIA[[#This Row],[DATA VERIFICAÇÃO]]="","",TEXT(AUDITORIA[[#This Row],[DATA VERIFICAÇÃO]],"mmm")))</f>
        <v>ABR</v>
      </c>
      <c r="Y622" t="s">
        <v>598</v>
      </c>
      <c r="Z622" t="s">
        <v>691</v>
      </c>
      <c r="AA622" t="s">
        <v>692</v>
      </c>
    </row>
    <row r="623" spans="1:27" ht="14.4" hidden="1" customHeight="1" x14ac:dyDescent="0.3">
      <c r="A623" s="4" t="s">
        <v>0</v>
      </c>
      <c r="B623" s="4" t="s">
        <v>17</v>
      </c>
      <c r="C623" s="16" t="s">
        <v>18</v>
      </c>
      <c r="D623" s="4">
        <v>10</v>
      </c>
      <c r="E623" s="4" t="s">
        <v>746</v>
      </c>
      <c r="F623" t="s">
        <v>699</v>
      </c>
      <c r="G623" t="s">
        <v>727</v>
      </c>
      <c r="J623" s="4" t="s">
        <v>55</v>
      </c>
      <c r="K623" s="4" t="s">
        <v>729</v>
      </c>
      <c r="L623" s="4" t="s">
        <v>742</v>
      </c>
      <c r="M623" s="17">
        <v>9</v>
      </c>
      <c r="N623" s="17"/>
      <c r="O623" s="18" t="s">
        <v>55</v>
      </c>
      <c r="P623" s="18"/>
      <c r="Q623" s="18">
        <v>9</v>
      </c>
      <c r="R623" s="18"/>
      <c r="S623" s="18"/>
      <c r="T623" s="18"/>
      <c r="U6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23" s="19">
        <f>IF(AUDITORIA[[#This Row],[CAT]]="",0,1)</f>
        <v>1</v>
      </c>
      <c r="W623" s="20">
        <v>46141</v>
      </c>
      <c r="X623" s="21" t="str">
        <f>UPPER(IF(AUDITORIA[[#This Row],[DATA VERIFICAÇÃO]]="","",TEXT(AUDITORIA[[#This Row],[DATA VERIFICAÇÃO]],"mmm")))</f>
        <v>ABR</v>
      </c>
      <c r="Y623" t="s">
        <v>598</v>
      </c>
      <c r="Z623" t="s">
        <v>691</v>
      </c>
      <c r="AA623" t="s">
        <v>692</v>
      </c>
    </row>
    <row r="624" spans="1:27" ht="14.4" hidden="1" customHeight="1" x14ac:dyDescent="0.3">
      <c r="A624" s="4" t="s">
        <v>0</v>
      </c>
      <c r="B624" s="4" t="s">
        <v>17</v>
      </c>
      <c r="C624" s="16" t="s">
        <v>18</v>
      </c>
      <c r="D624" s="4">
        <v>10</v>
      </c>
      <c r="E624" s="4" t="s">
        <v>746</v>
      </c>
      <c r="F624" t="s">
        <v>700</v>
      </c>
      <c r="G624" t="s">
        <v>727</v>
      </c>
      <c r="J624" s="4" t="s">
        <v>55</v>
      </c>
      <c r="K624" s="4" t="s">
        <v>731</v>
      </c>
      <c r="L624" s="4" t="s">
        <v>742</v>
      </c>
      <c r="M624" s="17">
        <v>10</v>
      </c>
      <c r="N624" s="17"/>
      <c r="O624" s="18" t="s">
        <v>55</v>
      </c>
      <c r="P624" s="18"/>
      <c r="Q624" s="18">
        <v>10</v>
      </c>
      <c r="R624" s="18"/>
      <c r="S624" s="18"/>
      <c r="T624" s="18"/>
      <c r="U6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24" s="19">
        <f>IF(AUDITORIA[[#This Row],[CAT]]="",0,1)</f>
        <v>1</v>
      </c>
      <c r="W624" s="20">
        <v>46141</v>
      </c>
      <c r="X624" s="21" t="str">
        <f>UPPER(IF(AUDITORIA[[#This Row],[DATA VERIFICAÇÃO]]="","",TEXT(AUDITORIA[[#This Row],[DATA VERIFICAÇÃO]],"mmm")))</f>
        <v>ABR</v>
      </c>
      <c r="Y624" t="s">
        <v>598</v>
      </c>
      <c r="Z624" t="s">
        <v>691</v>
      </c>
      <c r="AA624" t="s">
        <v>692</v>
      </c>
    </row>
    <row r="625" spans="1:27" ht="14.4" hidden="1" customHeight="1" x14ac:dyDescent="0.3">
      <c r="A625" s="4" t="s">
        <v>0</v>
      </c>
      <c r="B625" s="4" t="s">
        <v>17</v>
      </c>
      <c r="C625" s="16" t="s">
        <v>18</v>
      </c>
      <c r="D625" s="4">
        <v>10</v>
      </c>
      <c r="E625" s="4" t="s">
        <v>746</v>
      </c>
      <c r="F625" t="s">
        <v>697</v>
      </c>
      <c r="G625" t="s">
        <v>727</v>
      </c>
      <c r="J625" s="4" t="s">
        <v>55</v>
      </c>
      <c r="K625" s="4" t="s">
        <v>730</v>
      </c>
      <c r="L625" s="4" t="s">
        <v>743</v>
      </c>
      <c r="M625" s="17">
        <v>881</v>
      </c>
      <c r="N625" s="17"/>
      <c r="O625" s="18" t="s">
        <v>55</v>
      </c>
      <c r="P625" s="18"/>
      <c r="Q625" s="18">
        <v>881</v>
      </c>
      <c r="R625" s="18"/>
      <c r="S625" s="18"/>
      <c r="T625" s="18"/>
      <c r="U6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25" s="19">
        <f>IF(AUDITORIA[[#This Row],[CAT]]="",0,1)</f>
        <v>1</v>
      </c>
      <c r="W625" s="20">
        <v>46141</v>
      </c>
      <c r="X625" s="21" t="str">
        <f>UPPER(IF(AUDITORIA[[#This Row],[DATA VERIFICAÇÃO]]="","",TEXT(AUDITORIA[[#This Row],[DATA VERIFICAÇÃO]],"mmm")))</f>
        <v>ABR</v>
      </c>
      <c r="Y625" t="s">
        <v>598</v>
      </c>
      <c r="Z625" t="s">
        <v>691</v>
      </c>
      <c r="AA625" t="s">
        <v>692</v>
      </c>
    </row>
    <row r="626" spans="1:27" ht="14.4" hidden="1" customHeight="1" x14ac:dyDescent="0.3">
      <c r="A626" s="4" t="s">
        <v>0</v>
      </c>
      <c r="B626" s="4" t="s">
        <v>17</v>
      </c>
      <c r="C626" s="16" t="s">
        <v>18</v>
      </c>
      <c r="D626" s="4">
        <v>10</v>
      </c>
      <c r="E626" s="4" t="s">
        <v>746</v>
      </c>
      <c r="F626" t="s">
        <v>698</v>
      </c>
      <c r="G626" t="s">
        <v>727</v>
      </c>
      <c r="J626" s="4" t="s">
        <v>55</v>
      </c>
      <c r="K626" s="4" t="s">
        <v>731</v>
      </c>
      <c r="L626" s="4" t="s">
        <v>743</v>
      </c>
      <c r="M626" s="17">
        <v>466</v>
      </c>
      <c r="N626" s="17"/>
      <c r="O626" s="18" t="s">
        <v>55</v>
      </c>
      <c r="P626" s="18"/>
      <c r="Q626" s="18">
        <v>466</v>
      </c>
      <c r="R626" s="18"/>
      <c r="S626" s="18"/>
      <c r="T626" s="18"/>
      <c r="U6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26" s="19">
        <f>IF(AUDITORIA[[#This Row],[CAT]]="",0,1)</f>
        <v>1</v>
      </c>
      <c r="W626" s="20">
        <v>46141</v>
      </c>
      <c r="X626" s="21" t="str">
        <f>UPPER(IF(AUDITORIA[[#This Row],[DATA VERIFICAÇÃO]]="","",TEXT(AUDITORIA[[#This Row],[DATA VERIFICAÇÃO]],"mmm")))</f>
        <v>ABR</v>
      </c>
      <c r="Y626" t="s">
        <v>598</v>
      </c>
      <c r="Z626" t="s">
        <v>691</v>
      </c>
      <c r="AA626" t="s">
        <v>692</v>
      </c>
    </row>
    <row r="627" spans="1:27" ht="14.4" hidden="1" customHeight="1" x14ac:dyDescent="0.3">
      <c r="A627" s="4" t="s">
        <v>0</v>
      </c>
      <c r="B627" s="4" t="s">
        <v>17</v>
      </c>
      <c r="C627" s="16" t="s">
        <v>18</v>
      </c>
      <c r="D627" s="4">
        <v>10</v>
      </c>
      <c r="E627" s="4" t="s">
        <v>746</v>
      </c>
      <c r="F627" t="s">
        <v>723</v>
      </c>
      <c r="G627" t="s">
        <v>727</v>
      </c>
      <c r="J627" s="4" t="s">
        <v>55</v>
      </c>
      <c r="K627" s="4" t="s">
        <v>728</v>
      </c>
      <c r="L627" s="4" t="s">
        <v>743</v>
      </c>
      <c r="M627" s="17">
        <v>322</v>
      </c>
      <c r="N627" s="17"/>
      <c r="O627" s="18" t="s">
        <v>55</v>
      </c>
      <c r="P627" s="18"/>
      <c r="Q627" s="18">
        <v>322</v>
      </c>
      <c r="R627" s="18"/>
      <c r="S627" s="18"/>
      <c r="T627" s="18"/>
      <c r="U6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27" s="19">
        <f>IF(AUDITORIA[[#This Row],[CAT]]="",0,1)</f>
        <v>1</v>
      </c>
      <c r="W627" s="20">
        <v>46141</v>
      </c>
      <c r="X627" s="21" t="str">
        <f>UPPER(IF(AUDITORIA[[#This Row],[DATA VERIFICAÇÃO]]="","",TEXT(AUDITORIA[[#This Row],[DATA VERIFICAÇÃO]],"mmm")))</f>
        <v>ABR</v>
      </c>
      <c r="Y627" t="s">
        <v>598</v>
      </c>
      <c r="Z627" t="s">
        <v>691</v>
      </c>
      <c r="AA627" t="s">
        <v>692</v>
      </c>
    </row>
    <row r="628" spans="1:27" ht="14.4" hidden="1" customHeight="1" x14ac:dyDescent="0.3">
      <c r="A628" s="4" t="s">
        <v>0</v>
      </c>
      <c r="B628" s="4" t="s">
        <v>17</v>
      </c>
      <c r="C628" s="16" t="s">
        <v>18</v>
      </c>
      <c r="D628" s="4">
        <v>10</v>
      </c>
      <c r="E628" s="4" t="s">
        <v>746</v>
      </c>
      <c r="F628" t="s">
        <v>720</v>
      </c>
      <c r="G628" t="s">
        <v>725</v>
      </c>
      <c r="J628" s="4" t="s">
        <v>55</v>
      </c>
      <c r="K628" s="4" t="s">
        <v>732</v>
      </c>
      <c r="L628" s="4" t="s">
        <v>743</v>
      </c>
      <c r="M628" s="17">
        <v>95</v>
      </c>
      <c r="N628" s="17"/>
      <c r="O628" s="18" t="s">
        <v>55</v>
      </c>
      <c r="P628" s="18"/>
      <c r="Q628" s="18">
        <v>95</v>
      </c>
      <c r="R628" s="18"/>
      <c r="S628" s="18"/>
      <c r="T628" s="18"/>
      <c r="U6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28" s="19">
        <f>IF(AUDITORIA[[#This Row],[CAT]]="",0,1)</f>
        <v>1</v>
      </c>
      <c r="W628" s="20">
        <v>46141</v>
      </c>
      <c r="X628" s="21" t="str">
        <f>UPPER(IF(AUDITORIA[[#This Row],[DATA VERIFICAÇÃO]]="","",TEXT(AUDITORIA[[#This Row],[DATA VERIFICAÇÃO]],"mmm")))</f>
        <v>ABR</v>
      </c>
      <c r="Y628" t="s">
        <v>598</v>
      </c>
      <c r="Z628" t="s">
        <v>691</v>
      </c>
      <c r="AA628" t="s">
        <v>692</v>
      </c>
    </row>
    <row r="629" spans="1:27" ht="14.4" hidden="1" customHeight="1" x14ac:dyDescent="0.3">
      <c r="A629" s="4" t="s">
        <v>0</v>
      </c>
      <c r="B629" s="4" t="s">
        <v>17</v>
      </c>
      <c r="C629" s="16" t="s">
        <v>18</v>
      </c>
      <c r="D629" s="4">
        <v>10</v>
      </c>
      <c r="E629" s="4" t="s">
        <v>746</v>
      </c>
      <c r="F629" t="s">
        <v>716</v>
      </c>
      <c r="G629" t="s">
        <v>725</v>
      </c>
      <c r="J629" s="4" t="s">
        <v>55</v>
      </c>
      <c r="K629" s="4" t="s">
        <v>734</v>
      </c>
      <c r="L629" s="4" t="s">
        <v>743</v>
      </c>
      <c r="M629" s="17">
        <v>73</v>
      </c>
      <c r="N629" s="17"/>
      <c r="O629" s="18" t="s">
        <v>55</v>
      </c>
      <c r="P629" s="18"/>
      <c r="Q629" s="18">
        <v>73</v>
      </c>
      <c r="R629" s="18"/>
      <c r="S629" s="18"/>
      <c r="T629" s="18"/>
      <c r="U6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29" s="19">
        <f>IF(AUDITORIA[[#This Row],[CAT]]="",0,1)</f>
        <v>1</v>
      </c>
      <c r="W629" s="20">
        <v>46141</v>
      </c>
      <c r="X629" s="21" t="str">
        <f>UPPER(IF(AUDITORIA[[#This Row],[DATA VERIFICAÇÃO]]="","",TEXT(AUDITORIA[[#This Row],[DATA VERIFICAÇÃO]],"mmm")))</f>
        <v>ABR</v>
      </c>
      <c r="Y629" t="s">
        <v>598</v>
      </c>
      <c r="Z629" t="s">
        <v>691</v>
      </c>
      <c r="AA629" t="s">
        <v>692</v>
      </c>
    </row>
    <row r="630" spans="1:27" ht="14.4" hidden="1" customHeight="1" x14ac:dyDescent="0.3">
      <c r="A630" s="4" t="s">
        <v>0</v>
      </c>
      <c r="B630" s="4" t="s">
        <v>17</v>
      </c>
      <c r="C630" s="16" t="s">
        <v>18</v>
      </c>
      <c r="D630" s="4">
        <v>10</v>
      </c>
      <c r="E630" s="4" t="s">
        <v>746</v>
      </c>
      <c r="F630" t="s">
        <v>721</v>
      </c>
      <c r="G630" t="s">
        <v>725</v>
      </c>
      <c r="J630" s="4" t="s">
        <v>55</v>
      </c>
      <c r="K630" s="4" t="s">
        <v>732</v>
      </c>
      <c r="L630" s="4" t="s">
        <v>743</v>
      </c>
      <c r="M630" s="17">
        <v>125</v>
      </c>
      <c r="N630" s="17"/>
      <c r="O630" s="18" t="s">
        <v>55</v>
      </c>
      <c r="P630" s="18"/>
      <c r="Q630" s="18">
        <v>125</v>
      </c>
      <c r="R630" s="18"/>
      <c r="S630" s="18"/>
      <c r="T630" s="18"/>
      <c r="U6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30" s="19">
        <f>IF(AUDITORIA[[#This Row],[CAT]]="",0,1)</f>
        <v>1</v>
      </c>
      <c r="W630" s="20">
        <v>46141</v>
      </c>
      <c r="X630" s="21" t="str">
        <f>UPPER(IF(AUDITORIA[[#This Row],[DATA VERIFICAÇÃO]]="","",TEXT(AUDITORIA[[#This Row],[DATA VERIFICAÇÃO]],"mmm")))</f>
        <v>ABR</v>
      </c>
      <c r="Y630" t="s">
        <v>598</v>
      </c>
      <c r="Z630" t="s">
        <v>691</v>
      </c>
      <c r="AA630" t="s">
        <v>692</v>
      </c>
    </row>
    <row r="631" spans="1:27" ht="14.4" hidden="1" customHeight="1" x14ac:dyDescent="0.3">
      <c r="A631" s="4" t="s">
        <v>0</v>
      </c>
      <c r="B631" s="4" t="s">
        <v>17</v>
      </c>
      <c r="C631" s="16" t="s">
        <v>18</v>
      </c>
      <c r="D631" s="4">
        <v>10</v>
      </c>
      <c r="E631" s="4" t="s">
        <v>746</v>
      </c>
      <c r="F631" t="s">
        <v>717</v>
      </c>
      <c r="G631" t="s">
        <v>725</v>
      </c>
      <c r="J631" s="4" t="s">
        <v>55</v>
      </c>
      <c r="K631" s="4" t="s">
        <v>739</v>
      </c>
      <c r="L631" s="4" t="s">
        <v>743</v>
      </c>
      <c r="M631" s="17">
        <v>417</v>
      </c>
      <c r="N631" s="17"/>
      <c r="O631" s="18" t="s">
        <v>55</v>
      </c>
      <c r="P631" s="18"/>
      <c r="Q631" s="18">
        <v>417</v>
      </c>
      <c r="R631" s="18"/>
      <c r="S631" s="18"/>
      <c r="T631" s="18"/>
      <c r="U6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31" s="19">
        <f>IF(AUDITORIA[[#This Row],[CAT]]="",0,1)</f>
        <v>1</v>
      </c>
      <c r="W631" s="20">
        <v>46141</v>
      </c>
      <c r="X631" s="21" t="str">
        <f>UPPER(IF(AUDITORIA[[#This Row],[DATA VERIFICAÇÃO]]="","",TEXT(AUDITORIA[[#This Row],[DATA VERIFICAÇÃO]],"mmm")))</f>
        <v>ABR</v>
      </c>
      <c r="Y631" t="s">
        <v>598</v>
      </c>
      <c r="Z631" t="s">
        <v>691</v>
      </c>
      <c r="AA631" t="s">
        <v>692</v>
      </c>
    </row>
    <row r="632" spans="1:27" ht="14.4" hidden="1" customHeight="1" x14ac:dyDescent="0.3">
      <c r="A632" s="4" t="s">
        <v>0</v>
      </c>
      <c r="B632" s="4" t="s">
        <v>17</v>
      </c>
      <c r="C632" s="16" t="s">
        <v>18</v>
      </c>
      <c r="D632" s="4">
        <v>10</v>
      </c>
      <c r="E632" s="4" t="s">
        <v>746</v>
      </c>
      <c r="F632" t="s">
        <v>715</v>
      </c>
      <c r="G632" t="s">
        <v>725</v>
      </c>
      <c r="J632" s="4" t="s">
        <v>55</v>
      </c>
      <c r="K632" s="4" t="s">
        <v>732</v>
      </c>
      <c r="L632" s="4" t="s">
        <v>743</v>
      </c>
      <c r="M632" s="17">
        <v>130</v>
      </c>
      <c r="N632" s="17"/>
      <c r="O632" s="18" t="s">
        <v>55</v>
      </c>
      <c r="P632" s="18"/>
      <c r="Q632" s="18">
        <v>130</v>
      </c>
      <c r="R632" s="18"/>
      <c r="S632" s="18"/>
      <c r="T632" s="18"/>
      <c r="U6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32" s="19">
        <f>IF(AUDITORIA[[#This Row],[CAT]]="",0,1)</f>
        <v>1</v>
      </c>
      <c r="W632" s="20">
        <v>46141</v>
      </c>
      <c r="X632" s="21" t="str">
        <f>UPPER(IF(AUDITORIA[[#This Row],[DATA VERIFICAÇÃO]]="","",TEXT(AUDITORIA[[#This Row],[DATA VERIFICAÇÃO]],"mmm")))</f>
        <v>ABR</v>
      </c>
      <c r="Y632" t="s">
        <v>598</v>
      </c>
      <c r="Z632" t="s">
        <v>691</v>
      </c>
      <c r="AA632" t="s">
        <v>692</v>
      </c>
    </row>
    <row r="633" spans="1:27" ht="14.4" hidden="1" customHeight="1" x14ac:dyDescent="0.3">
      <c r="A633" s="4" t="s">
        <v>0</v>
      </c>
      <c r="B633" s="4" t="s">
        <v>17</v>
      </c>
      <c r="C633" s="16" t="s">
        <v>18</v>
      </c>
      <c r="D633" s="4">
        <v>10</v>
      </c>
      <c r="E633" s="4" t="s">
        <v>746</v>
      </c>
      <c r="F633" t="s">
        <v>718</v>
      </c>
      <c r="G633" t="s">
        <v>725</v>
      </c>
      <c r="J633" s="4" t="s">
        <v>55</v>
      </c>
      <c r="K633" s="4" t="s">
        <v>729</v>
      </c>
      <c r="L633" s="4" t="s">
        <v>743</v>
      </c>
      <c r="M633" s="17">
        <v>97</v>
      </c>
      <c r="N633" s="17"/>
      <c r="O633" s="18" t="s">
        <v>55</v>
      </c>
      <c r="P633" s="18"/>
      <c r="Q633" s="18">
        <v>97</v>
      </c>
      <c r="R633" s="18"/>
      <c r="S633" s="18"/>
      <c r="T633" s="18"/>
      <c r="U6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33" s="19">
        <f>IF(AUDITORIA[[#This Row],[CAT]]="",0,1)</f>
        <v>1</v>
      </c>
      <c r="W633" s="20">
        <v>46141</v>
      </c>
      <c r="X633" s="21" t="str">
        <f>UPPER(IF(AUDITORIA[[#This Row],[DATA VERIFICAÇÃO]]="","",TEXT(AUDITORIA[[#This Row],[DATA VERIFICAÇÃO]],"mmm")))</f>
        <v>ABR</v>
      </c>
      <c r="Y633" t="s">
        <v>598</v>
      </c>
      <c r="Z633" t="s">
        <v>691</v>
      </c>
      <c r="AA633" t="s">
        <v>692</v>
      </c>
    </row>
    <row r="634" spans="1:27" ht="14.4" hidden="1" customHeight="1" x14ac:dyDescent="0.3">
      <c r="A634" s="4" t="s">
        <v>0</v>
      </c>
      <c r="B634" s="4" t="s">
        <v>17</v>
      </c>
      <c r="C634" s="16" t="s">
        <v>18</v>
      </c>
      <c r="D634" s="4">
        <v>10</v>
      </c>
      <c r="E634" s="4" t="s">
        <v>746</v>
      </c>
      <c r="F634" t="s">
        <v>693</v>
      </c>
      <c r="G634" t="s">
        <v>725</v>
      </c>
      <c r="J634" s="4" t="s">
        <v>55</v>
      </c>
      <c r="K634" s="4" t="s">
        <v>728</v>
      </c>
      <c r="L634" s="4" t="s">
        <v>743</v>
      </c>
      <c r="M634" s="17">
        <v>254</v>
      </c>
      <c r="N634" s="17"/>
      <c r="O634" s="18" t="s">
        <v>55</v>
      </c>
      <c r="P634" s="18"/>
      <c r="Q634" s="18">
        <v>254</v>
      </c>
      <c r="R634" s="18"/>
      <c r="S634" s="18"/>
      <c r="T634" s="18"/>
      <c r="U6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34" s="19">
        <f>IF(AUDITORIA[[#This Row],[CAT]]="",0,1)</f>
        <v>1</v>
      </c>
      <c r="W634" s="20">
        <v>46141</v>
      </c>
      <c r="X634" s="21" t="str">
        <f>UPPER(IF(AUDITORIA[[#This Row],[DATA VERIFICAÇÃO]]="","",TEXT(AUDITORIA[[#This Row],[DATA VERIFICAÇÃO]],"mmm")))</f>
        <v>ABR</v>
      </c>
      <c r="Y634" t="s">
        <v>598</v>
      </c>
      <c r="Z634" t="s">
        <v>691</v>
      </c>
      <c r="AA634" t="s">
        <v>692</v>
      </c>
    </row>
    <row r="635" spans="1:27" ht="14.4" hidden="1" customHeight="1" x14ac:dyDescent="0.3">
      <c r="A635" s="4" t="s">
        <v>0</v>
      </c>
      <c r="B635" s="4" t="s">
        <v>17</v>
      </c>
      <c r="C635" s="16" t="s">
        <v>18</v>
      </c>
      <c r="D635" s="4">
        <v>10</v>
      </c>
      <c r="E635" s="4" t="s">
        <v>746</v>
      </c>
      <c r="F635" t="s">
        <v>694</v>
      </c>
      <c r="G635" t="s">
        <v>725</v>
      </c>
      <c r="J635" s="4" t="s">
        <v>55</v>
      </c>
      <c r="K635" s="4" t="s">
        <v>729</v>
      </c>
      <c r="L635" s="4" t="s">
        <v>743</v>
      </c>
      <c r="M635" s="17">
        <v>456</v>
      </c>
      <c r="N635" s="17"/>
      <c r="O635" s="18" t="s">
        <v>55</v>
      </c>
      <c r="P635" s="18"/>
      <c r="Q635" s="18">
        <v>456</v>
      </c>
      <c r="R635" s="18"/>
      <c r="S635" s="18"/>
      <c r="T635" s="18"/>
      <c r="U6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35" s="19">
        <f>IF(AUDITORIA[[#This Row],[CAT]]="",0,1)</f>
        <v>1</v>
      </c>
      <c r="W635" s="20">
        <v>46141</v>
      </c>
      <c r="X635" s="21" t="str">
        <f>UPPER(IF(AUDITORIA[[#This Row],[DATA VERIFICAÇÃO]]="","",TEXT(AUDITORIA[[#This Row],[DATA VERIFICAÇÃO]],"mmm")))</f>
        <v>ABR</v>
      </c>
      <c r="Y635" t="s">
        <v>598</v>
      </c>
      <c r="Z635" t="s">
        <v>691</v>
      </c>
      <c r="AA635" t="s">
        <v>692</v>
      </c>
    </row>
    <row r="636" spans="1:27" ht="14.4" hidden="1" customHeight="1" x14ac:dyDescent="0.3">
      <c r="A636" s="4" t="s">
        <v>0</v>
      </c>
      <c r="B636" s="4" t="s">
        <v>17</v>
      </c>
      <c r="C636" s="16" t="s">
        <v>18</v>
      </c>
      <c r="D636" s="4">
        <v>10</v>
      </c>
      <c r="E636" s="4" t="s">
        <v>745</v>
      </c>
      <c r="F636" t="s">
        <v>752</v>
      </c>
      <c r="G636" t="s">
        <v>749</v>
      </c>
      <c r="J636" s="4" t="s">
        <v>31</v>
      </c>
      <c r="K636" s="4" t="s">
        <v>20</v>
      </c>
      <c r="L636" s="4" t="s">
        <v>742</v>
      </c>
      <c r="M636" s="17">
        <v>30</v>
      </c>
      <c r="N636" s="17">
        <v>752</v>
      </c>
      <c r="O636" s="18" t="s">
        <v>31</v>
      </c>
      <c r="P636" s="18">
        <v>752</v>
      </c>
      <c r="Q636" s="18">
        <v>30</v>
      </c>
      <c r="R636" s="18" t="s">
        <v>817</v>
      </c>
      <c r="S636" s="18" t="s">
        <v>807</v>
      </c>
      <c r="T636" s="18" t="s">
        <v>780</v>
      </c>
      <c r="U6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36" s="19">
        <f>IF(AUDITORIA[[#This Row],[CAT]]="",0,1)</f>
        <v>1</v>
      </c>
      <c r="W636" s="20">
        <v>46163</v>
      </c>
      <c r="X636" s="21" t="str">
        <f>UPPER(IF(AUDITORIA[[#This Row],[DATA VERIFICAÇÃO]]="","",TEXT(AUDITORIA[[#This Row],[DATA VERIFICAÇÃO]],"mmm")))</f>
        <v>MAI</v>
      </c>
      <c r="Y636" t="s">
        <v>598</v>
      </c>
      <c r="Z636" t="s">
        <v>831</v>
      </c>
      <c r="AA636" t="s">
        <v>832</v>
      </c>
    </row>
    <row r="637" spans="1:27" ht="14.4" hidden="1" customHeight="1" x14ac:dyDescent="0.3">
      <c r="A637" s="4" t="s">
        <v>0</v>
      </c>
      <c r="B637" s="4" t="s">
        <v>17</v>
      </c>
      <c r="C637" s="16" t="s">
        <v>18</v>
      </c>
      <c r="D637" s="4">
        <v>10</v>
      </c>
      <c r="E637" s="4" t="s">
        <v>745</v>
      </c>
      <c r="F637" t="s">
        <v>750</v>
      </c>
      <c r="G637" t="s">
        <v>749</v>
      </c>
      <c r="J637" s="4" t="s">
        <v>31</v>
      </c>
      <c r="K637" s="4" t="s">
        <v>20</v>
      </c>
      <c r="L637" s="4" t="s">
        <v>742</v>
      </c>
      <c r="M637" s="17">
        <v>8</v>
      </c>
      <c r="N637" s="17">
        <v>746</v>
      </c>
      <c r="O637" s="18" t="s">
        <v>31</v>
      </c>
      <c r="P637" s="18">
        <v>746</v>
      </c>
      <c r="Q637" s="18">
        <v>8</v>
      </c>
      <c r="R637" s="18" t="s">
        <v>817</v>
      </c>
      <c r="S637" s="18" t="s">
        <v>800</v>
      </c>
      <c r="T637" s="18" t="s">
        <v>780</v>
      </c>
      <c r="U6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37" s="19">
        <f>IF(AUDITORIA[[#This Row],[CAT]]="",0,1)</f>
        <v>1</v>
      </c>
      <c r="W637" s="20">
        <v>46163</v>
      </c>
      <c r="X637" s="21" t="str">
        <f>UPPER(IF(AUDITORIA[[#This Row],[DATA VERIFICAÇÃO]]="","",TEXT(AUDITORIA[[#This Row],[DATA VERIFICAÇÃO]],"mmm")))</f>
        <v>MAI</v>
      </c>
      <c r="Y637" t="s">
        <v>598</v>
      </c>
      <c r="Z637" t="s">
        <v>831</v>
      </c>
      <c r="AA637" t="s">
        <v>832</v>
      </c>
    </row>
    <row r="638" spans="1:27" ht="14.4" hidden="1" customHeight="1" x14ac:dyDescent="0.3">
      <c r="A638" s="4" t="s">
        <v>0</v>
      </c>
      <c r="B638" s="4" t="s">
        <v>17</v>
      </c>
      <c r="C638" s="16" t="s">
        <v>18</v>
      </c>
      <c r="D638" s="4">
        <v>10</v>
      </c>
      <c r="E638" s="4" t="s">
        <v>745</v>
      </c>
      <c r="F638" t="s">
        <v>753</v>
      </c>
      <c r="G638" t="s">
        <v>749</v>
      </c>
      <c r="J638" s="4" t="s">
        <v>31</v>
      </c>
      <c r="K638" s="4" t="s">
        <v>21</v>
      </c>
      <c r="L638" s="4" t="s">
        <v>742</v>
      </c>
      <c r="M638" s="17">
        <v>30</v>
      </c>
      <c r="N638" s="17">
        <v>888</v>
      </c>
      <c r="O638" s="18" t="s">
        <v>31</v>
      </c>
      <c r="P638" s="18">
        <v>888</v>
      </c>
      <c r="Q638" s="18">
        <v>30</v>
      </c>
      <c r="R638" s="18" t="s">
        <v>817</v>
      </c>
      <c r="S638" s="18" t="s">
        <v>807</v>
      </c>
      <c r="T638" s="18" t="s">
        <v>782</v>
      </c>
      <c r="U6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38" s="19">
        <f>IF(AUDITORIA[[#This Row],[CAT]]="",0,1)</f>
        <v>1</v>
      </c>
      <c r="W638" s="20">
        <v>46163</v>
      </c>
      <c r="X638" s="21" t="str">
        <f>UPPER(IF(AUDITORIA[[#This Row],[DATA VERIFICAÇÃO]]="","",TEXT(AUDITORIA[[#This Row],[DATA VERIFICAÇÃO]],"mmm")))</f>
        <v>MAI</v>
      </c>
      <c r="Y638" t="s">
        <v>598</v>
      </c>
      <c r="Z638" t="s">
        <v>831</v>
      </c>
      <c r="AA638" t="s">
        <v>832</v>
      </c>
    </row>
    <row r="639" spans="1:27" ht="14.4" hidden="1" customHeight="1" x14ac:dyDescent="0.3">
      <c r="A639" s="4" t="s">
        <v>0</v>
      </c>
      <c r="B639" s="4" t="s">
        <v>17</v>
      </c>
      <c r="C639" s="16" t="s">
        <v>18</v>
      </c>
      <c r="D639" s="4">
        <v>10</v>
      </c>
      <c r="E639" s="4" t="s">
        <v>745</v>
      </c>
      <c r="F639" t="s">
        <v>751</v>
      </c>
      <c r="G639" t="s">
        <v>749</v>
      </c>
      <c r="J639" s="4" t="s">
        <v>31</v>
      </c>
      <c r="K639" s="4" t="s">
        <v>21</v>
      </c>
      <c r="L639" s="4" t="s">
        <v>742</v>
      </c>
      <c r="M639" s="17">
        <v>30</v>
      </c>
      <c r="N639" s="17">
        <v>889</v>
      </c>
      <c r="O639" s="18" t="s">
        <v>31</v>
      </c>
      <c r="P639" s="18">
        <v>889</v>
      </c>
      <c r="Q639" s="18">
        <v>30</v>
      </c>
      <c r="R639" s="18" t="s">
        <v>817</v>
      </c>
      <c r="S639" s="18" t="s">
        <v>807</v>
      </c>
      <c r="T639" s="18" t="s">
        <v>781</v>
      </c>
      <c r="U6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39" s="19">
        <f>IF(AUDITORIA[[#This Row],[CAT]]="",0,1)</f>
        <v>1</v>
      </c>
      <c r="W639" s="20">
        <v>46163</v>
      </c>
      <c r="X639" s="21" t="str">
        <f>UPPER(IF(AUDITORIA[[#This Row],[DATA VERIFICAÇÃO]]="","",TEXT(AUDITORIA[[#This Row],[DATA VERIFICAÇÃO]],"mmm")))</f>
        <v>MAI</v>
      </c>
      <c r="Y639" t="s">
        <v>598</v>
      </c>
      <c r="Z639" t="s">
        <v>831</v>
      </c>
      <c r="AA639" t="s">
        <v>832</v>
      </c>
    </row>
    <row r="640" spans="1:27" ht="14.4" hidden="1" customHeight="1" x14ac:dyDescent="0.3">
      <c r="A640" s="4" t="s">
        <v>0</v>
      </c>
      <c r="B640" s="4" t="s">
        <v>17</v>
      </c>
      <c r="C640" s="16" t="s">
        <v>18</v>
      </c>
      <c r="D640" s="4">
        <v>10</v>
      </c>
      <c r="E640" s="4" t="s">
        <v>745</v>
      </c>
      <c r="F640" t="s">
        <v>748</v>
      </c>
      <c r="G640" t="s">
        <v>749</v>
      </c>
      <c r="J640" s="4" t="s">
        <v>31</v>
      </c>
      <c r="K640" s="4" t="s">
        <v>21</v>
      </c>
      <c r="L640" s="4" t="s">
        <v>742</v>
      </c>
      <c r="M640" s="17">
        <v>10</v>
      </c>
      <c r="N640" s="17">
        <v>878</v>
      </c>
      <c r="O640" s="18" t="s">
        <v>31</v>
      </c>
      <c r="P640" s="18">
        <v>878</v>
      </c>
      <c r="Q640" s="18">
        <v>10</v>
      </c>
      <c r="R640" s="18" t="s">
        <v>817</v>
      </c>
      <c r="S640" s="18" t="s">
        <v>800</v>
      </c>
      <c r="T640" s="18" t="s">
        <v>781</v>
      </c>
      <c r="U6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40" s="19">
        <f>IF(AUDITORIA[[#This Row],[CAT]]="",0,1)</f>
        <v>1</v>
      </c>
      <c r="W640" s="20">
        <v>46163</v>
      </c>
      <c r="X640" s="21" t="str">
        <f>UPPER(IF(AUDITORIA[[#This Row],[DATA VERIFICAÇÃO]]="","",TEXT(AUDITORIA[[#This Row],[DATA VERIFICAÇÃO]],"mmm")))</f>
        <v>MAI</v>
      </c>
      <c r="Y640" t="s">
        <v>598</v>
      </c>
      <c r="Z640" t="s">
        <v>831</v>
      </c>
      <c r="AA640" t="s">
        <v>832</v>
      </c>
    </row>
    <row r="641" spans="1:27" ht="14.4" hidden="1" customHeight="1" x14ac:dyDescent="0.3">
      <c r="A641" s="4" t="s">
        <v>0</v>
      </c>
      <c r="B641" s="4" t="s">
        <v>17</v>
      </c>
      <c r="C641" s="16" t="s">
        <v>18</v>
      </c>
      <c r="D641" s="4">
        <v>10</v>
      </c>
      <c r="E641" s="4" t="s">
        <v>745</v>
      </c>
      <c r="F641" t="s">
        <v>216</v>
      </c>
      <c r="G641" t="s">
        <v>106</v>
      </c>
      <c r="J641" s="4" t="s">
        <v>19</v>
      </c>
      <c r="K641" s="4" t="s">
        <v>20</v>
      </c>
      <c r="L641" s="4" t="s">
        <v>742</v>
      </c>
      <c r="M641" s="17">
        <v>30</v>
      </c>
      <c r="N641" s="17">
        <v>814</v>
      </c>
      <c r="O641" s="18" t="s">
        <v>19</v>
      </c>
      <c r="P641" s="18">
        <v>814</v>
      </c>
      <c r="Q641" s="18">
        <v>30</v>
      </c>
      <c r="R641" s="18" t="s">
        <v>817</v>
      </c>
      <c r="S641" s="18" t="s">
        <v>791</v>
      </c>
      <c r="T641" s="18" t="s">
        <v>780</v>
      </c>
      <c r="U6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41" s="19">
        <f>IF(AUDITORIA[[#This Row],[CAT]]="",0,1)</f>
        <v>1</v>
      </c>
      <c r="W641" s="20">
        <v>46163</v>
      </c>
      <c r="X641" s="21" t="str">
        <f>UPPER(IF(AUDITORIA[[#This Row],[DATA VERIFICAÇÃO]]="","",TEXT(AUDITORIA[[#This Row],[DATA VERIFICAÇÃO]],"mmm")))</f>
        <v>MAI</v>
      </c>
      <c r="Y641" t="s">
        <v>598</v>
      </c>
      <c r="Z641" t="s">
        <v>831</v>
      </c>
      <c r="AA641" t="s">
        <v>832</v>
      </c>
    </row>
    <row r="642" spans="1:27" ht="14.4" hidden="1" customHeight="1" x14ac:dyDescent="0.3">
      <c r="A642" s="4" t="s">
        <v>0</v>
      </c>
      <c r="B642" s="4" t="s">
        <v>17</v>
      </c>
      <c r="C642" s="16" t="s">
        <v>18</v>
      </c>
      <c r="D642" s="4">
        <v>10</v>
      </c>
      <c r="E642" s="4" t="s">
        <v>745</v>
      </c>
      <c r="F642" t="s">
        <v>213</v>
      </c>
      <c r="G642" t="s">
        <v>106</v>
      </c>
      <c r="J642" s="4" t="s">
        <v>19</v>
      </c>
      <c r="K642" s="4" t="s">
        <v>20</v>
      </c>
      <c r="L642" s="4" t="s">
        <v>742</v>
      </c>
      <c r="M642" s="17">
        <v>30</v>
      </c>
      <c r="N642" s="17">
        <v>824</v>
      </c>
      <c r="O642" s="18" t="s">
        <v>19</v>
      </c>
      <c r="P642" s="18">
        <v>824</v>
      </c>
      <c r="Q642" s="18">
        <v>30</v>
      </c>
      <c r="R642" s="18" t="s">
        <v>817</v>
      </c>
      <c r="S642" s="18" t="s">
        <v>791</v>
      </c>
      <c r="T642" s="18" t="s">
        <v>781</v>
      </c>
      <c r="U6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42" s="19">
        <f>IF(AUDITORIA[[#This Row],[CAT]]="",0,1)</f>
        <v>1</v>
      </c>
      <c r="W642" s="20">
        <v>46163</v>
      </c>
      <c r="X642" s="21" t="str">
        <f>UPPER(IF(AUDITORIA[[#This Row],[DATA VERIFICAÇÃO]]="","",TEXT(AUDITORIA[[#This Row],[DATA VERIFICAÇÃO]],"mmm")))</f>
        <v>MAI</v>
      </c>
      <c r="Y642" t="s">
        <v>598</v>
      </c>
      <c r="Z642" t="s">
        <v>831</v>
      </c>
      <c r="AA642" t="s">
        <v>832</v>
      </c>
    </row>
    <row r="643" spans="1:27" ht="14.4" hidden="1" customHeight="1" x14ac:dyDescent="0.3">
      <c r="A643" s="4" t="s">
        <v>0</v>
      </c>
      <c r="B643" s="4" t="s">
        <v>17</v>
      </c>
      <c r="C643" s="16" t="s">
        <v>18</v>
      </c>
      <c r="D643" s="4">
        <v>10</v>
      </c>
      <c r="E643" s="4" t="s">
        <v>745</v>
      </c>
      <c r="F643" t="s">
        <v>210</v>
      </c>
      <c r="G643" t="s">
        <v>106</v>
      </c>
      <c r="J643" s="4" t="s">
        <v>19</v>
      </c>
      <c r="K643" s="4" t="s">
        <v>20</v>
      </c>
      <c r="L643" s="4" t="s">
        <v>742</v>
      </c>
      <c r="M643" s="17">
        <v>30</v>
      </c>
      <c r="N643" s="17">
        <v>810</v>
      </c>
      <c r="O643" s="18" t="s">
        <v>19</v>
      </c>
      <c r="P643" s="18">
        <v>810</v>
      </c>
      <c r="Q643" s="18">
        <v>30</v>
      </c>
      <c r="R643" s="18" t="s">
        <v>817</v>
      </c>
      <c r="S643" s="18" t="s">
        <v>791</v>
      </c>
      <c r="T643" s="18" t="s">
        <v>782</v>
      </c>
      <c r="U6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43" s="19">
        <f>IF(AUDITORIA[[#This Row],[CAT]]="",0,1)</f>
        <v>1</v>
      </c>
      <c r="W643" s="20">
        <v>46163</v>
      </c>
      <c r="X643" s="21" t="str">
        <f>UPPER(IF(AUDITORIA[[#This Row],[DATA VERIFICAÇÃO]]="","",TEXT(AUDITORIA[[#This Row],[DATA VERIFICAÇÃO]],"mmm")))</f>
        <v>MAI</v>
      </c>
      <c r="Y643" t="s">
        <v>598</v>
      </c>
      <c r="Z643" t="s">
        <v>831</v>
      </c>
      <c r="AA643" t="s">
        <v>832</v>
      </c>
    </row>
    <row r="644" spans="1:27" ht="14.4" hidden="1" customHeight="1" x14ac:dyDescent="0.3">
      <c r="A644" s="4" t="s">
        <v>0</v>
      </c>
      <c r="B644" s="4" t="s">
        <v>17</v>
      </c>
      <c r="C644" s="16" t="s">
        <v>18</v>
      </c>
      <c r="D644" s="4">
        <v>10</v>
      </c>
      <c r="E644" s="4" t="s">
        <v>745</v>
      </c>
      <c r="F644" t="s">
        <v>207</v>
      </c>
      <c r="G644" t="s">
        <v>106</v>
      </c>
      <c r="J644" s="4" t="s">
        <v>19</v>
      </c>
      <c r="K644" s="4" t="s">
        <v>20</v>
      </c>
      <c r="L644" s="4" t="s">
        <v>742</v>
      </c>
      <c r="M644" s="17">
        <v>30</v>
      </c>
      <c r="N644" s="17">
        <v>819</v>
      </c>
      <c r="O644" s="18" t="s">
        <v>19</v>
      </c>
      <c r="P644" s="18">
        <v>819</v>
      </c>
      <c r="Q644" s="18">
        <v>30</v>
      </c>
      <c r="R644" s="18" t="s">
        <v>817</v>
      </c>
      <c r="S644" s="18" t="s">
        <v>791</v>
      </c>
      <c r="T644" s="18" t="s">
        <v>794</v>
      </c>
      <c r="U6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44" s="19">
        <f>IF(AUDITORIA[[#This Row],[CAT]]="",0,1)</f>
        <v>1</v>
      </c>
      <c r="W644" s="20">
        <v>46163</v>
      </c>
      <c r="X644" s="21" t="str">
        <f>UPPER(IF(AUDITORIA[[#This Row],[DATA VERIFICAÇÃO]]="","",TEXT(AUDITORIA[[#This Row],[DATA VERIFICAÇÃO]],"mmm")))</f>
        <v>MAI</v>
      </c>
      <c r="Y644" t="s">
        <v>598</v>
      </c>
      <c r="Z644" t="s">
        <v>831</v>
      </c>
      <c r="AA644" t="s">
        <v>832</v>
      </c>
    </row>
    <row r="645" spans="1:27" ht="14.4" hidden="1" customHeight="1" x14ac:dyDescent="0.3">
      <c r="A645" s="4" t="s">
        <v>0</v>
      </c>
      <c r="B645" s="4" t="s">
        <v>17</v>
      </c>
      <c r="C645" s="16" t="s">
        <v>18</v>
      </c>
      <c r="D645" s="4">
        <v>10</v>
      </c>
      <c r="E645" s="4" t="s">
        <v>745</v>
      </c>
      <c r="F645" t="s">
        <v>204</v>
      </c>
      <c r="G645" t="s">
        <v>106</v>
      </c>
      <c r="J645" s="4" t="s">
        <v>19</v>
      </c>
      <c r="K645" s="4" t="s">
        <v>20</v>
      </c>
      <c r="L645" s="4" t="s">
        <v>742</v>
      </c>
      <c r="M645" s="17">
        <v>30</v>
      </c>
      <c r="N645" s="17">
        <v>823</v>
      </c>
      <c r="O645" s="18" t="s">
        <v>19</v>
      </c>
      <c r="P645" s="18">
        <v>823</v>
      </c>
      <c r="Q645" s="18">
        <v>30</v>
      </c>
      <c r="R645" s="18" t="s">
        <v>817</v>
      </c>
      <c r="S645" s="18" t="s">
        <v>812</v>
      </c>
      <c r="T645" s="18" t="s">
        <v>780</v>
      </c>
      <c r="U6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45" s="19">
        <f>IF(AUDITORIA[[#This Row],[CAT]]="",0,1)</f>
        <v>1</v>
      </c>
      <c r="W645" s="20">
        <v>46163</v>
      </c>
      <c r="X645" s="21" t="str">
        <f>UPPER(IF(AUDITORIA[[#This Row],[DATA VERIFICAÇÃO]]="","",TEXT(AUDITORIA[[#This Row],[DATA VERIFICAÇÃO]],"mmm")))</f>
        <v>MAI</v>
      </c>
      <c r="Y645" t="s">
        <v>598</v>
      </c>
      <c r="Z645" t="s">
        <v>831</v>
      </c>
      <c r="AA645" t="s">
        <v>832</v>
      </c>
    </row>
    <row r="646" spans="1:27" ht="14.4" hidden="1" customHeight="1" x14ac:dyDescent="0.3">
      <c r="A646" s="4" t="s">
        <v>0</v>
      </c>
      <c r="B646" s="4" t="s">
        <v>17</v>
      </c>
      <c r="C646" s="16" t="s">
        <v>18</v>
      </c>
      <c r="D646" s="4">
        <v>10</v>
      </c>
      <c r="E646" s="4" t="s">
        <v>745</v>
      </c>
      <c r="F646" t="s">
        <v>201</v>
      </c>
      <c r="G646" t="s">
        <v>106</v>
      </c>
      <c r="J646" s="4" t="s">
        <v>19</v>
      </c>
      <c r="K646" s="4" t="s">
        <v>20</v>
      </c>
      <c r="L646" s="4" t="s">
        <v>742</v>
      </c>
      <c r="M646" s="17">
        <v>30</v>
      </c>
      <c r="N646" s="17">
        <v>804</v>
      </c>
      <c r="O646" s="18" t="s">
        <v>19</v>
      </c>
      <c r="P646" s="18">
        <v>804</v>
      </c>
      <c r="Q646" s="18">
        <v>30</v>
      </c>
      <c r="R646" s="18" t="s">
        <v>817</v>
      </c>
      <c r="S646" s="18" t="s">
        <v>812</v>
      </c>
      <c r="T646" s="18" t="s">
        <v>781</v>
      </c>
      <c r="U6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46" s="19">
        <f>IF(AUDITORIA[[#This Row],[CAT]]="",0,1)</f>
        <v>1</v>
      </c>
      <c r="W646" s="20">
        <v>46163</v>
      </c>
      <c r="X646" s="21" t="str">
        <f>UPPER(IF(AUDITORIA[[#This Row],[DATA VERIFICAÇÃO]]="","",TEXT(AUDITORIA[[#This Row],[DATA VERIFICAÇÃO]],"mmm")))</f>
        <v>MAI</v>
      </c>
      <c r="Y646" t="s">
        <v>598</v>
      </c>
      <c r="Z646" t="s">
        <v>831</v>
      </c>
      <c r="AA646" t="s">
        <v>832</v>
      </c>
    </row>
    <row r="647" spans="1:27" ht="14.4" hidden="1" customHeight="1" x14ac:dyDescent="0.3">
      <c r="A647" s="4" t="s">
        <v>0</v>
      </c>
      <c r="B647" s="4" t="s">
        <v>17</v>
      </c>
      <c r="C647" s="16" t="s">
        <v>18</v>
      </c>
      <c r="D647" s="4">
        <v>10</v>
      </c>
      <c r="E647" s="4" t="s">
        <v>745</v>
      </c>
      <c r="F647" t="s">
        <v>197</v>
      </c>
      <c r="G647" t="s">
        <v>106</v>
      </c>
      <c r="J647" s="4" t="s">
        <v>19</v>
      </c>
      <c r="K647" s="4" t="s">
        <v>20</v>
      </c>
      <c r="L647" s="4" t="s">
        <v>742</v>
      </c>
      <c r="M647" s="17">
        <v>30</v>
      </c>
      <c r="N647" s="17">
        <v>814</v>
      </c>
      <c r="O647" s="18" t="s">
        <v>19</v>
      </c>
      <c r="P647" s="18">
        <v>814</v>
      </c>
      <c r="Q647" s="18">
        <v>30</v>
      </c>
      <c r="R647" s="18" t="s">
        <v>817</v>
      </c>
      <c r="S647" s="18" t="s">
        <v>812</v>
      </c>
      <c r="T647" s="18" t="s">
        <v>782</v>
      </c>
      <c r="U6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47" s="19">
        <f>IF(AUDITORIA[[#This Row],[CAT]]="",0,1)</f>
        <v>1</v>
      </c>
      <c r="W647" s="20">
        <v>46163</v>
      </c>
      <c r="X647" s="21" t="str">
        <f>UPPER(IF(AUDITORIA[[#This Row],[DATA VERIFICAÇÃO]]="","",TEXT(AUDITORIA[[#This Row],[DATA VERIFICAÇÃO]],"mmm")))</f>
        <v>MAI</v>
      </c>
      <c r="Y647" t="s">
        <v>598</v>
      </c>
      <c r="Z647" t="s">
        <v>831</v>
      </c>
      <c r="AA647" t="s">
        <v>832</v>
      </c>
    </row>
    <row r="648" spans="1:27" ht="14.4" hidden="1" customHeight="1" x14ac:dyDescent="0.3">
      <c r="A648" s="4" t="s">
        <v>0</v>
      </c>
      <c r="B648" s="4" t="s">
        <v>17</v>
      </c>
      <c r="C648" s="16" t="s">
        <v>18</v>
      </c>
      <c r="D648" s="4">
        <v>10</v>
      </c>
      <c r="E648" s="4" t="s">
        <v>745</v>
      </c>
      <c r="F648" t="s">
        <v>193</v>
      </c>
      <c r="G648" t="s">
        <v>106</v>
      </c>
      <c r="J648" s="4" t="s">
        <v>19</v>
      </c>
      <c r="K648" s="4" t="s">
        <v>20</v>
      </c>
      <c r="L648" s="4" t="s">
        <v>742</v>
      </c>
      <c r="M648" s="17">
        <v>30</v>
      </c>
      <c r="N648" s="17">
        <v>793</v>
      </c>
      <c r="O648" s="18" t="s">
        <v>19</v>
      </c>
      <c r="P648" s="18">
        <v>793</v>
      </c>
      <c r="Q648" s="18">
        <v>30</v>
      </c>
      <c r="R648" s="18" t="s">
        <v>817</v>
      </c>
      <c r="S648" s="18" t="s">
        <v>812</v>
      </c>
      <c r="T648" s="18" t="s">
        <v>794</v>
      </c>
      <c r="U6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48" s="19">
        <f>IF(AUDITORIA[[#This Row],[CAT]]="",0,1)</f>
        <v>1</v>
      </c>
      <c r="W648" s="20">
        <v>46163</v>
      </c>
      <c r="X648" s="21" t="str">
        <f>UPPER(IF(AUDITORIA[[#This Row],[DATA VERIFICAÇÃO]]="","",TEXT(AUDITORIA[[#This Row],[DATA VERIFICAÇÃO]],"mmm")))</f>
        <v>MAI</v>
      </c>
      <c r="Y648" t="s">
        <v>598</v>
      </c>
      <c r="Z648" t="s">
        <v>831</v>
      </c>
      <c r="AA648" t="s">
        <v>832</v>
      </c>
    </row>
    <row r="649" spans="1:27" ht="14.4" hidden="1" customHeight="1" x14ac:dyDescent="0.3">
      <c r="A649" s="4" t="s">
        <v>0</v>
      </c>
      <c r="B649" s="4" t="s">
        <v>17</v>
      </c>
      <c r="C649" s="16" t="s">
        <v>18</v>
      </c>
      <c r="D649" s="4">
        <v>10</v>
      </c>
      <c r="E649" s="4" t="s">
        <v>745</v>
      </c>
      <c r="F649" t="s">
        <v>190</v>
      </c>
      <c r="G649" t="s">
        <v>106</v>
      </c>
      <c r="J649" s="4" t="s">
        <v>31</v>
      </c>
      <c r="K649" s="4" t="s">
        <v>20</v>
      </c>
      <c r="L649" s="4" t="s">
        <v>742</v>
      </c>
      <c r="M649" s="17">
        <v>30</v>
      </c>
      <c r="N649" s="17">
        <v>825</v>
      </c>
      <c r="O649" s="18" t="s">
        <v>31</v>
      </c>
      <c r="P649" s="18">
        <v>825</v>
      </c>
      <c r="Q649" s="18">
        <v>30</v>
      </c>
      <c r="R649" s="18" t="s">
        <v>817</v>
      </c>
      <c r="S649" s="18" t="s">
        <v>799</v>
      </c>
      <c r="T649" s="18" t="s">
        <v>780</v>
      </c>
      <c r="U6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49" s="19">
        <f>IF(AUDITORIA[[#This Row],[CAT]]="",0,1)</f>
        <v>1</v>
      </c>
      <c r="W649" s="20">
        <v>46163</v>
      </c>
      <c r="X649" s="21" t="str">
        <f>UPPER(IF(AUDITORIA[[#This Row],[DATA VERIFICAÇÃO]]="","",TEXT(AUDITORIA[[#This Row],[DATA VERIFICAÇÃO]],"mmm")))</f>
        <v>MAI</v>
      </c>
      <c r="Y649" t="s">
        <v>598</v>
      </c>
      <c r="Z649" t="s">
        <v>831</v>
      </c>
      <c r="AA649" t="s">
        <v>832</v>
      </c>
    </row>
    <row r="650" spans="1:27" ht="14.4" hidden="1" customHeight="1" x14ac:dyDescent="0.3">
      <c r="A650" s="4" t="s">
        <v>0</v>
      </c>
      <c r="B650" s="4" t="s">
        <v>17</v>
      </c>
      <c r="C650" s="16" t="s">
        <v>18</v>
      </c>
      <c r="D650" s="4">
        <v>10</v>
      </c>
      <c r="E650" s="4" t="s">
        <v>745</v>
      </c>
      <c r="F650" t="s">
        <v>188</v>
      </c>
      <c r="G650" t="s">
        <v>106</v>
      </c>
      <c r="J650" s="4" t="s">
        <v>31</v>
      </c>
      <c r="K650" s="4" t="s">
        <v>20</v>
      </c>
      <c r="L650" s="4" t="s">
        <v>742</v>
      </c>
      <c r="M650" s="17">
        <v>12</v>
      </c>
      <c r="N650" s="17">
        <v>804</v>
      </c>
      <c r="O650" s="18" t="s">
        <v>31</v>
      </c>
      <c r="P650" s="18">
        <v>804</v>
      </c>
      <c r="Q650" s="18">
        <v>12</v>
      </c>
      <c r="R650" s="18" t="s">
        <v>817</v>
      </c>
      <c r="S650" s="18" t="s">
        <v>799</v>
      </c>
      <c r="T650" s="18" t="s">
        <v>781</v>
      </c>
      <c r="U6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50" s="19">
        <f>IF(AUDITORIA[[#This Row],[CAT]]="",0,1)</f>
        <v>1</v>
      </c>
      <c r="W650" s="20">
        <v>46163</v>
      </c>
      <c r="X650" s="21" t="str">
        <f>UPPER(IF(AUDITORIA[[#This Row],[DATA VERIFICAÇÃO]]="","",TEXT(AUDITORIA[[#This Row],[DATA VERIFICAÇÃO]],"mmm")))</f>
        <v>MAI</v>
      </c>
      <c r="Y650" t="s">
        <v>598</v>
      </c>
      <c r="Z650" t="s">
        <v>831</v>
      </c>
      <c r="AA650" t="s">
        <v>832</v>
      </c>
    </row>
    <row r="651" spans="1:27" ht="14.4" hidden="1" customHeight="1" x14ac:dyDescent="0.3">
      <c r="A651" s="4" t="s">
        <v>0</v>
      </c>
      <c r="B651" s="4" t="s">
        <v>17</v>
      </c>
      <c r="C651" s="16" t="s">
        <v>18</v>
      </c>
      <c r="D651" s="4">
        <v>10</v>
      </c>
      <c r="E651" s="4" t="s">
        <v>745</v>
      </c>
      <c r="F651" t="s">
        <v>122</v>
      </c>
      <c r="G651" t="s">
        <v>106</v>
      </c>
      <c r="J651" s="4" t="s">
        <v>31</v>
      </c>
      <c r="K651" s="4" t="s">
        <v>20</v>
      </c>
      <c r="L651" s="4" t="s">
        <v>742</v>
      </c>
      <c r="M651" s="17">
        <v>30</v>
      </c>
      <c r="N651" s="17">
        <v>828</v>
      </c>
      <c r="O651" s="18" t="s">
        <v>31</v>
      </c>
      <c r="P651" s="18">
        <v>828</v>
      </c>
      <c r="Q651" s="18">
        <v>30</v>
      </c>
      <c r="R651" s="18" t="s">
        <v>817</v>
      </c>
      <c r="S651" s="18" t="s">
        <v>813</v>
      </c>
      <c r="T651" s="18" t="s">
        <v>781</v>
      </c>
      <c r="U6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51" s="19">
        <f>IF(AUDITORIA[[#This Row],[CAT]]="",0,1)</f>
        <v>1</v>
      </c>
      <c r="W651" s="20">
        <v>46163</v>
      </c>
      <c r="X651" s="21" t="str">
        <f>UPPER(IF(AUDITORIA[[#This Row],[DATA VERIFICAÇÃO]]="","",TEXT(AUDITORIA[[#This Row],[DATA VERIFICAÇÃO]],"mmm")))</f>
        <v>MAI</v>
      </c>
      <c r="Y651" t="s">
        <v>598</v>
      </c>
      <c r="Z651" t="s">
        <v>831</v>
      </c>
      <c r="AA651" t="s">
        <v>832</v>
      </c>
    </row>
    <row r="652" spans="1:27" ht="14.4" hidden="1" customHeight="1" x14ac:dyDescent="0.3">
      <c r="A652" s="4" t="s">
        <v>0</v>
      </c>
      <c r="B652" s="4" t="s">
        <v>17</v>
      </c>
      <c r="C652" s="16" t="s">
        <v>18</v>
      </c>
      <c r="D652" s="4">
        <v>10</v>
      </c>
      <c r="E652" s="4" t="s">
        <v>745</v>
      </c>
      <c r="F652" t="s">
        <v>117</v>
      </c>
      <c r="G652" t="s">
        <v>106</v>
      </c>
      <c r="J652" s="4" t="s">
        <v>19</v>
      </c>
      <c r="K652" s="4" t="s">
        <v>20</v>
      </c>
      <c r="L652" s="4" t="s">
        <v>742</v>
      </c>
      <c r="M652" s="17">
        <v>30</v>
      </c>
      <c r="N652" s="17">
        <v>804</v>
      </c>
      <c r="O652" s="18" t="s">
        <v>19</v>
      </c>
      <c r="P652" s="18">
        <v>804</v>
      </c>
      <c r="Q652" s="18">
        <v>30</v>
      </c>
      <c r="R652" s="18" t="s">
        <v>817</v>
      </c>
      <c r="S652" s="18" t="s">
        <v>813</v>
      </c>
      <c r="T652" s="18" t="s">
        <v>780</v>
      </c>
      <c r="U6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52" s="19">
        <f>IF(AUDITORIA[[#This Row],[CAT]]="",0,1)</f>
        <v>1</v>
      </c>
      <c r="W652" s="20">
        <v>46163</v>
      </c>
      <c r="X652" s="21" t="str">
        <f>UPPER(IF(AUDITORIA[[#This Row],[DATA VERIFICAÇÃO]]="","",TEXT(AUDITORIA[[#This Row],[DATA VERIFICAÇÃO]],"mmm")))</f>
        <v>MAI</v>
      </c>
      <c r="Y652" t="s">
        <v>598</v>
      </c>
      <c r="Z652" t="s">
        <v>831</v>
      </c>
      <c r="AA652" t="s">
        <v>832</v>
      </c>
    </row>
    <row r="653" spans="1:27" ht="14.4" hidden="1" customHeight="1" x14ac:dyDescent="0.3">
      <c r="A653" s="4" t="s">
        <v>0</v>
      </c>
      <c r="B653" s="4" t="s">
        <v>17</v>
      </c>
      <c r="C653" s="16" t="s">
        <v>18</v>
      </c>
      <c r="D653" s="4">
        <v>10</v>
      </c>
      <c r="E653" s="4" t="s">
        <v>745</v>
      </c>
      <c r="F653" t="s">
        <v>111</v>
      </c>
      <c r="G653" t="s">
        <v>106</v>
      </c>
      <c r="J653" s="4" t="s">
        <v>19</v>
      </c>
      <c r="K653" s="4" t="s">
        <v>20</v>
      </c>
      <c r="L653" s="4" t="s">
        <v>742</v>
      </c>
      <c r="M653" s="17">
        <v>30</v>
      </c>
      <c r="N653" s="17">
        <v>823</v>
      </c>
      <c r="O653" s="18" t="s">
        <v>19</v>
      </c>
      <c r="P653" s="18">
        <v>823</v>
      </c>
      <c r="Q653" s="18">
        <v>30</v>
      </c>
      <c r="R653" s="18" t="s">
        <v>817</v>
      </c>
      <c r="S653" s="18" t="s">
        <v>813</v>
      </c>
      <c r="T653" s="18" t="s">
        <v>782</v>
      </c>
      <c r="U6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53" s="19">
        <f>IF(AUDITORIA[[#This Row],[CAT]]="",0,1)</f>
        <v>1</v>
      </c>
      <c r="W653" s="20">
        <v>46163</v>
      </c>
      <c r="X653" s="21" t="str">
        <f>UPPER(IF(AUDITORIA[[#This Row],[DATA VERIFICAÇÃO]]="","",TEXT(AUDITORIA[[#This Row],[DATA VERIFICAÇÃO]],"mmm")))</f>
        <v>MAI</v>
      </c>
      <c r="Y653" t="s">
        <v>598</v>
      </c>
      <c r="Z653" t="s">
        <v>831</v>
      </c>
      <c r="AA653" t="s">
        <v>832</v>
      </c>
    </row>
    <row r="654" spans="1:27" ht="14.4" hidden="1" customHeight="1" x14ac:dyDescent="0.3">
      <c r="A654" s="4" t="s">
        <v>0</v>
      </c>
      <c r="B654" s="4" t="s">
        <v>17</v>
      </c>
      <c r="C654" s="16" t="s">
        <v>18</v>
      </c>
      <c r="D654" s="4">
        <v>10</v>
      </c>
      <c r="E654" s="4" t="s">
        <v>745</v>
      </c>
      <c r="F654" t="s">
        <v>109</v>
      </c>
      <c r="G654" t="s">
        <v>106</v>
      </c>
      <c r="J654" s="4" t="s">
        <v>19</v>
      </c>
      <c r="K654" s="4" t="s">
        <v>20</v>
      </c>
      <c r="L654" s="4" t="s">
        <v>742</v>
      </c>
      <c r="M654" s="17">
        <v>20</v>
      </c>
      <c r="N654" s="17">
        <v>817</v>
      </c>
      <c r="O654" s="18" t="s">
        <v>19</v>
      </c>
      <c r="P654" s="18">
        <v>817</v>
      </c>
      <c r="Q654" s="18">
        <v>20</v>
      </c>
      <c r="R654" s="18" t="s">
        <v>817</v>
      </c>
      <c r="S654" s="18" t="s">
        <v>806</v>
      </c>
      <c r="T654" s="18" t="s">
        <v>780</v>
      </c>
      <c r="U6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54" s="19">
        <f>IF(AUDITORIA[[#This Row],[CAT]]="",0,1)</f>
        <v>1</v>
      </c>
      <c r="W654" s="20">
        <v>46163</v>
      </c>
      <c r="X654" s="21" t="str">
        <f>UPPER(IF(AUDITORIA[[#This Row],[DATA VERIFICAÇÃO]]="","",TEXT(AUDITORIA[[#This Row],[DATA VERIFICAÇÃO]],"mmm")))</f>
        <v>MAI</v>
      </c>
      <c r="Y654" t="s">
        <v>598</v>
      </c>
      <c r="Z654" t="s">
        <v>831</v>
      </c>
      <c r="AA654" t="s">
        <v>832</v>
      </c>
    </row>
    <row r="655" spans="1:27" ht="14.4" hidden="1" customHeight="1" x14ac:dyDescent="0.3">
      <c r="A655" s="4" t="s">
        <v>0</v>
      </c>
      <c r="B655" s="4" t="s">
        <v>17</v>
      </c>
      <c r="C655" s="16" t="s">
        <v>18</v>
      </c>
      <c r="D655" s="4">
        <v>10</v>
      </c>
      <c r="E655" s="4" t="s">
        <v>745</v>
      </c>
      <c r="F655" t="s">
        <v>218</v>
      </c>
      <c r="G655" t="s">
        <v>106</v>
      </c>
      <c r="J655" s="4" t="s">
        <v>19</v>
      </c>
      <c r="K655" s="4" t="s">
        <v>21</v>
      </c>
      <c r="L655" s="4" t="s">
        <v>742</v>
      </c>
      <c r="M655" s="17">
        <v>24</v>
      </c>
      <c r="N655" s="17">
        <v>1033</v>
      </c>
      <c r="O655" s="18" t="s">
        <v>19</v>
      </c>
      <c r="P655" s="18">
        <v>1033</v>
      </c>
      <c r="Q655" s="18">
        <v>24</v>
      </c>
      <c r="R655" s="18" t="s">
        <v>817</v>
      </c>
      <c r="S655" s="18" t="s">
        <v>790</v>
      </c>
      <c r="T655" s="18" t="s">
        <v>780</v>
      </c>
      <c r="U6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55" s="19">
        <f>IF(AUDITORIA[[#This Row],[CAT]]="",0,1)</f>
        <v>1</v>
      </c>
      <c r="W655" s="20">
        <v>46163</v>
      </c>
      <c r="X655" s="21" t="str">
        <f>UPPER(IF(AUDITORIA[[#This Row],[DATA VERIFICAÇÃO]]="","",TEXT(AUDITORIA[[#This Row],[DATA VERIFICAÇÃO]],"mmm")))</f>
        <v>MAI</v>
      </c>
      <c r="Y655" t="s">
        <v>598</v>
      </c>
      <c r="Z655" t="s">
        <v>831</v>
      </c>
      <c r="AA655" t="s">
        <v>832</v>
      </c>
    </row>
    <row r="656" spans="1:27" ht="14.4" hidden="1" customHeight="1" x14ac:dyDescent="0.3">
      <c r="A656" s="4" t="s">
        <v>0</v>
      </c>
      <c r="B656" s="4" t="s">
        <v>17</v>
      </c>
      <c r="C656" s="16" t="s">
        <v>18</v>
      </c>
      <c r="D656" s="4">
        <v>10</v>
      </c>
      <c r="E656" s="4" t="s">
        <v>745</v>
      </c>
      <c r="F656" t="s">
        <v>217</v>
      </c>
      <c r="G656" t="s">
        <v>106</v>
      </c>
      <c r="J656" s="4" t="s">
        <v>19</v>
      </c>
      <c r="K656" s="4" t="s">
        <v>21</v>
      </c>
      <c r="L656" s="4" t="s">
        <v>742</v>
      </c>
      <c r="M656" s="17">
        <v>24</v>
      </c>
      <c r="N656" s="17">
        <v>1014</v>
      </c>
      <c r="O656" s="18" t="s">
        <v>19</v>
      </c>
      <c r="P656" s="18">
        <v>1014</v>
      </c>
      <c r="Q656" s="18">
        <v>24</v>
      </c>
      <c r="R656" s="18" t="s">
        <v>817</v>
      </c>
      <c r="S656" s="18" t="s">
        <v>790</v>
      </c>
      <c r="T656" s="18" t="s">
        <v>782</v>
      </c>
      <c r="U6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56" s="19">
        <f>IF(AUDITORIA[[#This Row],[CAT]]="",0,1)</f>
        <v>1</v>
      </c>
      <c r="W656" s="20">
        <v>46163</v>
      </c>
      <c r="X656" s="21" t="str">
        <f>UPPER(IF(AUDITORIA[[#This Row],[DATA VERIFICAÇÃO]]="","",TEXT(AUDITORIA[[#This Row],[DATA VERIFICAÇÃO]],"mmm")))</f>
        <v>MAI</v>
      </c>
      <c r="Y656" t="s">
        <v>598</v>
      </c>
      <c r="Z656" t="s">
        <v>831</v>
      </c>
      <c r="AA656" t="s">
        <v>832</v>
      </c>
    </row>
    <row r="657" spans="1:27" ht="14.4" hidden="1" customHeight="1" x14ac:dyDescent="0.3">
      <c r="A657" s="4" t="s">
        <v>0</v>
      </c>
      <c r="B657" s="4" t="s">
        <v>17</v>
      </c>
      <c r="C657" s="16" t="s">
        <v>18</v>
      </c>
      <c r="D657" s="4">
        <v>10</v>
      </c>
      <c r="E657" s="4" t="s">
        <v>745</v>
      </c>
      <c r="F657" t="s">
        <v>215</v>
      </c>
      <c r="G657" t="s">
        <v>106</v>
      </c>
      <c r="J657" s="4" t="s">
        <v>19</v>
      </c>
      <c r="K657" s="4" t="s">
        <v>21</v>
      </c>
      <c r="L657" s="4" t="s">
        <v>742</v>
      </c>
      <c r="M657" s="17">
        <v>24</v>
      </c>
      <c r="N657" s="17">
        <v>1015</v>
      </c>
      <c r="O657" s="18" t="s">
        <v>19</v>
      </c>
      <c r="P657" s="18">
        <v>1015</v>
      </c>
      <c r="Q657" s="18">
        <v>24</v>
      </c>
      <c r="R657" s="18" t="s">
        <v>817</v>
      </c>
      <c r="S657" s="18" t="s">
        <v>790</v>
      </c>
      <c r="T657" s="18" t="s">
        <v>781</v>
      </c>
      <c r="U6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57" s="19">
        <f>IF(AUDITORIA[[#This Row],[CAT]]="",0,1)</f>
        <v>1</v>
      </c>
      <c r="W657" s="20">
        <v>46163</v>
      </c>
      <c r="X657" s="21" t="str">
        <f>UPPER(IF(AUDITORIA[[#This Row],[DATA VERIFICAÇÃO]]="","",TEXT(AUDITORIA[[#This Row],[DATA VERIFICAÇÃO]],"mmm")))</f>
        <v>MAI</v>
      </c>
      <c r="Y657" t="s">
        <v>598</v>
      </c>
      <c r="Z657" t="s">
        <v>831</v>
      </c>
      <c r="AA657" t="s">
        <v>832</v>
      </c>
    </row>
    <row r="658" spans="1:27" ht="14.4" hidden="1" customHeight="1" x14ac:dyDescent="0.3">
      <c r="A658" s="4" t="s">
        <v>0</v>
      </c>
      <c r="B658" s="4" t="s">
        <v>17</v>
      </c>
      <c r="C658" s="16" t="s">
        <v>18</v>
      </c>
      <c r="D658" s="4">
        <v>10</v>
      </c>
      <c r="E658" s="4" t="s">
        <v>745</v>
      </c>
      <c r="F658" t="s">
        <v>214</v>
      </c>
      <c r="G658" t="s">
        <v>106</v>
      </c>
      <c r="J658" s="4" t="s">
        <v>19</v>
      </c>
      <c r="K658" s="4" t="s">
        <v>21</v>
      </c>
      <c r="L658" s="4" t="s">
        <v>742</v>
      </c>
      <c r="M658" s="17">
        <v>27</v>
      </c>
      <c r="N658" s="17">
        <v>1000</v>
      </c>
      <c r="O658" s="18" t="s">
        <v>19</v>
      </c>
      <c r="P658" s="18">
        <v>1000</v>
      </c>
      <c r="Q658" s="18">
        <v>27</v>
      </c>
      <c r="R658" s="18" t="s">
        <v>817</v>
      </c>
      <c r="S658" s="18" t="s">
        <v>790</v>
      </c>
      <c r="T658" s="18" t="s">
        <v>794</v>
      </c>
      <c r="U6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58" s="19">
        <f>IF(AUDITORIA[[#This Row],[CAT]]="",0,1)</f>
        <v>1</v>
      </c>
      <c r="W658" s="20">
        <v>46163</v>
      </c>
      <c r="X658" s="21" t="str">
        <f>UPPER(IF(AUDITORIA[[#This Row],[DATA VERIFICAÇÃO]]="","",TEXT(AUDITORIA[[#This Row],[DATA VERIFICAÇÃO]],"mmm")))</f>
        <v>MAI</v>
      </c>
      <c r="Y658" t="s">
        <v>598</v>
      </c>
      <c r="Z658" t="s">
        <v>831</v>
      </c>
      <c r="AA658" t="s">
        <v>832</v>
      </c>
    </row>
    <row r="659" spans="1:27" ht="14.4" hidden="1" customHeight="1" x14ac:dyDescent="0.3">
      <c r="A659" s="4" t="s">
        <v>0</v>
      </c>
      <c r="B659" s="4" t="s">
        <v>17</v>
      </c>
      <c r="C659" s="16" t="s">
        <v>18</v>
      </c>
      <c r="D659" s="4">
        <v>10</v>
      </c>
      <c r="E659" s="4" t="s">
        <v>745</v>
      </c>
      <c r="F659" t="s">
        <v>212</v>
      </c>
      <c r="G659" t="s">
        <v>106</v>
      </c>
      <c r="J659" s="4" t="s">
        <v>19</v>
      </c>
      <c r="K659" s="4" t="s">
        <v>21</v>
      </c>
      <c r="L659" s="4" t="s">
        <v>742</v>
      </c>
      <c r="M659" s="17">
        <v>27</v>
      </c>
      <c r="N659" s="17">
        <v>992</v>
      </c>
      <c r="O659" s="18" t="s">
        <v>19</v>
      </c>
      <c r="P659" s="18">
        <v>992</v>
      </c>
      <c r="Q659" s="18">
        <v>27</v>
      </c>
      <c r="R659" s="18" t="s">
        <v>817</v>
      </c>
      <c r="S659" s="18" t="s">
        <v>792</v>
      </c>
      <c r="T659" s="18" t="s">
        <v>780</v>
      </c>
      <c r="U6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59" s="19">
        <f>IF(AUDITORIA[[#This Row],[CAT]]="",0,1)</f>
        <v>1</v>
      </c>
      <c r="W659" s="20">
        <v>46163</v>
      </c>
      <c r="X659" s="21" t="str">
        <f>UPPER(IF(AUDITORIA[[#This Row],[DATA VERIFICAÇÃO]]="","",TEXT(AUDITORIA[[#This Row],[DATA VERIFICAÇÃO]],"mmm")))</f>
        <v>MAI</v>
      </c>
      <c r="Y659" t="s">
        <v>598</v>
      </c>
      <c r="Z659" t="s">
        <v>831</v>
      </c>
      <c r="AA659" t="s">
        <v>832</v>
      </c>
    </row>
    <row r="660" spans="1:27" ht="14.4" hidden="1" customHeight="1" x14ac:dyDescent="0.3">
      <c r="A660" s="4" t="s">
        <v>0</v>
      </c>
      <c r="B660" s="4" t="s">
        <v>17</v>
      </c>
      <c r="C660" s="16" t="s">
        <v>18</v>
      </c>
      <c r="D660" s="4">
        <v>10</v>
      </c>
      <c r="E660" s="4" t="s">
        <v>745</v>
      </c>
      <c r="F660" t="s">
        <v>211</v>
      </c>
      <c r="G660" t="s">
        <v>106</v>
      </c>
      <c r="J660" s="4" t="s">
        <v>19</v>
      </c>
      <c r="K660" s="4" t="s">
        <v>21</v>
      </c>
      <c r="L660" s="4" t="s">
        <v>742</v>
      </c>
      <c r="M660" s="17">
        <v>24</v>
      </c>
      <c r="N660" s="17">
        <v>1018</v>
      </c>
      <c r="O660" s="18" t="s">
        <v>19</v>
      </c>
      <c r="P660" s="18">
        <v>1018</v>
      </c>
      <c r="Q660" s="18">
        <v>24</v>
      </c>
      <c r="R660" s="18" t="s">
        <v>817</v>
      </c>
      <c r="S660" s="18" t="s">
        <v>792</v>
      </c>
      <c r="T660" s="18" t="s">
        <v>782</v>
      </c>
      <c r="U6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60" s="19">
        <f>IF(AUDITORIA[[#This Row],[CAT]]="",0,1)</f>
        <v>1</v>
      </c>
      <c r="W660" s="20">
        <v>46163</v>
      </c>
      <c r="X660" s="21" t="str">
        <f>UPPER(IF(AUDITORIA[[#This Row],[DATA VERIFICAÇÃO]]="","",TEXT(AUDITORIA[[#This Row],[DATA VERIFICAÇÃO]],"mmm")))</f>
        <v>MAI</v>
      </c>
      <c r="Y660" t="s">
        <v>598</v>
      </c>
      <c r="Z660" t="s">
        <v>831</v>
      </c>
      <c r="AA660" t="s">
        <v>832</v>
      </c>
    </row>
    <row r="661" spans="1:27" ht="14.4" hidden="1" customHeight="1" x14ac:dyDescent="0.3">
      <c r="A661" s="4" t="s">
        <v>0</v>
      </c>
      <c r="B661" s="4" t="s">
        <v>17</v>
      </c>
      <c r="C661" s="16" t="s">
        <v>18</v>
      </c>
      <c r="D661" s="4">
        <v>10</v>
      </c>
      <c r="E661" s="4" t="s">
        <v>745</v>
      </c>
      <c r="F661" t="s">
        <v>209</v>
      </c>
      <c r="G661" t="s">
        <v>106</v>
      </c>
      <c r="J661" s="4" t="s">
        <v>19</v>
      </c>
      <c r="K661" s="4" t="s">
        <v>21</v>
      </c>
      <c r="L661" s="4" t="s">
        <v>742</v>
      </c>
      <c r="M661" s="17">
        <v>24</v>
      </c>
      <c r="N661" s="17">
        <v>1016</v>
      </c>
      <c r="O661" s="18" t="s">
        <v>19</v>
      </c>
      <c r="P661" s="18">
        <v>1016</v>
      </c>
      <c r="Q661" s="18">
        <v>24</v>
      </c>
      <c r="R661" s="18" t="s">
        <v>817</v>
      </c>
      <c r="S661" s="18" t="s">
        <v>792</v>
      </c>
      <c r="T661" s="18" t="s">
        <v>781</v>
      </c>
      <c r="U6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61" s="19">
        <f>IF(AUDITORIA[[#This Row],[CAT]]="",0,1)</f>
        <v>1</v>
      </c>
      <c r="W661" s="20">
        <v>46163</v>
      </c>
      <c r="X661" s="21" t="str">
        <f>UPPER(IF(AUDITORIA[[#This Row],[DATA VERIFICAÇÃO]]="","",TEXT(AUDITORIA[[#This Row],[DATA VERIFICAÇÃO]],"mmm")))</f>
        <v>MAI</v>
      </c>
      <c r="Y661" t="s">
        <v>598</v>
      </c>
      <c r="Z661" t="s">
        <v>831</v>
      </c>
      <c r="AA661" t="s">
        <v>832</v>
      </c>
    </row>
    <row r="662" spans="1:27" ht="14.4" hidden="1" customHeight="1" x14ac:dyDescent="0.3">
      <c r="A662" s="4" t="s">
        <v>0</v>
      </c>
      <c r="B662" s="4" t="s">
        <v>17</v>
      </c>
      <c r="C662" s="16" t="s">
        <v>18</v>
      </c>
      <c r="D662" s="4">
        <v>10</v>
      </c>
      <c r="E662" s="4" t="s">
        <v>745</v>
      </c>
      <c r="F662" t="s">
        <v>208</v>
      </c>
      <c r="G662" t="s">
        <v>106</v>
      </c>
      <c r="J662" s="4" t="s">
        <v>19</v>
      </c>
      <c r="K662" s="4" t="s">
        <v>21</v>
      </c>
      <c r="L662" s="4" t="s">
        <v>742</v>
      </c>
      <c r="M662" s="17">
        <v>27</v>
      </c>
      <c r="N662" s="17">
        <v>1002</v>
      </c>
      <c r="O662" s="18" t="s">
        <v>19</v>
      </c>
      <c r="P662" s="18">
        <v>1002</v>
      </c>
      <c r="Q662" s="18">
        <v>27</v>
      </c>
      <c r="R662" s="18" t="s">
        <v>817</v>
      </c>
      <c r="S662" s="18" t="s">
        <v>792</v>
      </c>
      <c r="T662" s="18" t="s">
        <v>794</v>
      </c>
      <c r="U6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62" s="19">
        <f>IF(AUDITORIA[[#This Row],[CAT]]="",0,1)</f>
        <v>1</v>
      </c>
      <c r="W662" s="20">
        <v>46163</v>
      </c>
      <c r="X662" s="21" t="str">
        <f>UPPER(IF(AUDITORIA[[#This Row],[DATA VERIFICAÇÃO]]="","",TEXT(AUDITORIA[[#This Row],[DATA VERIFICAÇÃO]],"mmm")))</f>
        <v>MAI</v>
      </c>
      <c r="Y662" t="s">
        <v>598</v>
      </c>
      <c r="Z662" t="s">
        <v>831</v>
      </c>
      <c r="AA662" t="s">
        <v>832</v>
      </c>
    </row>
    <row r="663" spans="1:27" ht="14.4" hidden="1" customHeight="1" x14ac:dyDescent="0.3">
      <c r="A663" s="4" t="s">
        <v>0</v>
      </c>
      <c r="B663" s="4" t="s">
        <v>17</v>
      </c>
      <c r="C663" s="16" t="s">
        <v>18</v>
      </c>
      <c r="D663" s="4">
        <v>10</v>
      </c>
      <c r="E663" s="4" t="s">
        <v>745</v>
      </c>
      <c r="F663" t="s">
        <v>206</v>
      </c>
      <c r="G663" t="s">
        <v>106</v>
      </c>
      <c r="J663" s="4" t="s">
        <v>19</v>
      </c>
      <c r="K663" s="4" t="s">
        <v>21</v>
      </c>
      <c r="L663" s="4" t="s">
        <v>742</v>
      </c>
      <c r="M663" s="17">
        <v>24</v>
      </c>
      <c r="N663" s="17">
        <v>1028</v>
      </c>
      <c r="O663" s="18" t="s">
        <v>19</v>
      </c>
      <c r="P663" s="18">
        <v>1028</v>
      </c>
      <c r="Q663" s="18">
        <v>24</v>
      </c>
      <c r="R663" s="18" t="s">
        <v>817</v>
      </c>
      <c r="S663" s="18" t="s">
        <v>811</v>
      </c>
      <c r="T663" s="18" t="s">
        <v>780</v>
      </c>
      <c r="U6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63" s="19">
        <f>IF(AUDITORIA[[#This Row],[CAT]]="",0,1)</f>
        <v>1</v>
      </c>
      <c r="W663" s="20">
        <v>46163</v>
      </c>
      <c r="X663" s="21" t="str">
        <f>UPPER(IF(AUDITORIA[[#This Row],[DATA VERIFICAÇÃO]]="","",TEXT(AUDITORIA[[#This Row],[DATA VERIFICAÇÃO]],"mmm")))</f>
        <v>MAI</v>
      </c>
      <c r="Y663" t="s">
        <v>598</v>
      </c>
      <c r="Z663" t="s">
        <v>831</v>
      </c>
      <c r="AA663" t="s">
        <v>832</v>
      </c>
    </row>
    <row r="664" spans="1:27" ht="14.4" hidden="1" customHeight="1" x14ac:dyDescent="0.3">
      <c r="A664" s="4" t="s">
        <v>0</v>
      </c>
      <c r="B664" s="4" t="s">
        <v>17</v>
      </c>
      <c r="C664" s="16" t="s">
        <v>18</v>
      </c>
      <c r="D664" s="4">
        <v>10</v>
      </c>
      <c r="E664" s="4" t="s">
        <v>745</v>
      </c>
      <c r="F664" t="s">
        <v>205</v>
      </c>
      <c r="G664" t="s">
        <v>106</v>
      </c>
      <c r="J664" s="4" t="s">
        <v>19</v>
      </c>
      <c r="K664" s="4" t="s">
        <v>21</v>
      </c>
      <c r="L664" s="4" t="s">
        <v>742</v>
      </c>
      <c r="M664" s="17">
        <v>27</v>
      </c>
      <c r="N664" s="17">
        <v>998</v>
      </c>
      <c r="O664" s="18" t="s">
        <v>19</v>
      </c>
      <c r="P664" s="18">
        <v>998</v>
      </c>
      <c r="Q664" s="18">
        <v>27</v>
      </c>
      <c r="R664" s="18" t="s">
        <v>817</v>
      </c>
      <c r="S664" s="18" t="s">
        <v>811</v>
      </c>
      <c r="T664" s="18" t="s">
        <v>782</v>
      </c>
      <c r="U6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64" s="19">
        <f>IF(AUDITORIA[[#This Row],[CAT]]="",0,1)</f>
        <v>1</v>
      </c>
      <c r="W664" s="20">
        <v>46163</v>
      </c>
      <c r="X664" s="21" t="str">
        <f>UPPER(IF(AUDITORIA[[#This Row],[DATA VERIFICAÇÃO]]="","",TEXT(AUDITORIA[[#This Row],[DATA VERIFICAÇÃO]],"mmm")))</f>
        <v>MAI</v>
      </c>
      <c r="Y664" t="s">
        <v>598</v>
      </c>
      <c r="Z664" t="s">
        <v>831</v>
      </c>
      <c r="AA664" t="s">
        <v>832</v>
      </c>
    </row>
    <row r="665" spans="1:27" ht="14.4" hidden="1" customHeight="1" x14ac:dyDescent="0.3">
      <c r="A665" s="4" t="s">
        <v>0</v>
      </c>
      <c r="B665" s="4" t="s">
        <v>17</v>
      </c>
      <c r="C665" s="16" t="s">
        <v>18</v>
      </c>
      <c r="D665" s="4">
        <v>10</v>
      </c>
      <c r="E665" s="4" t="s">
        <v>745</v>
      </c>
      <c r="F665" t="s">
        <v>203</v>
      </c>
      <c r="G665" t="s">
        <v>106</v>
      </c>
      <c r="J665" s="4" t="s">
        <v>19</v>
      </c>
      <c r="K665" s="4" t="s">
        <v>21</v>
      </c>
      <c r="L665" s="4" t="s">
        <v>742</v>
      </c>
      <c r="M665" s="17">
        <v>27</v>
      </c>
      <c r="N665" s="17">
        <v>993</v>
      </c>
      <c r="O665" s="18" t="s">
        <v>19</v>
      </c>
      <c r="P665" s="18">
        <v>993</v>
      </c>
      <c r="Q665" s="18">
        <v>27</v>
      </c>
      <c r="R665" s="18" t="s">
        <v>817</v>
      </c>
      <c r="S665" s="18" t="s">
        <v>811</v>
      </c>
      <c r="T665" s="18" t="s">
        <v>781</v>
      </c>
      <c r="U6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65" s="19">
        <f>IF(AUDITORIA[[#This Row],[CAT]]="",0,1)</f>
        <v>1</v>
      </c>
      <c r="W665" s="20">
        <v>46163</v>
      </c>
      <c r="X665" s="21" t="str">
        <f>UPPER(IF(AUDITORIA[[#This Row],[DATA VERIFICAÇÃO]]="","",TEXT(AUDITORIA[[#This Row],[DATA VERIFICAÇÃO]],"mmm")))</f>
        <v>MAI</v>
      </c>
      <c r="Y665" t="s">
        <v>598</v>
      </c>
      <c r="Z665" t="s">
        <v>831</v>
      </c>
      <c r="AA665" t="s">
        <v>832</v>
      </c>
    </row>
    <row r="666" spans="1:27" ht="14.4" hidden="1" customHeight="1" x14ac:dyDescent="0.3">
      <c r="A666" s="4" t="s">
        <v>0</v>
      </c>
      <c r="B666" s="4" t="s">
        <v>17</v>
      </c>
      <c r="C666" s="16" t="s">
        <v>18</v>
      </c>
      <c r="D666" s="4">
        <v>10</v>
      </c>
      <c r="E666" s="4" t="s">
        <v>745</v>
      </c>
      <c r="F666" t="s">
        <v>202</v>
      </c>
      <c r="G666" t="s">
        <v>106</v>
      </c>
      <c r="J666" s="4" t="s">
        <v>19</v>
      </c>
      <c r="K666" s="4" t="s">
        <v>21</v>
      </c>
      <c r="L666" s="4" t="s">
        <v>742</v>
      </c>
      <c r="M666" s="17">
        <v>27</v>
      </c>
      <c r="N666" s="17">
        <v>999</v>
      </c>
      <c r="O666" s="18" t="s">
        <v>19</v>
      </c>
      <c r="P666" s="18">
        <v>999</v>
      </c>
      <c r="Q666" s="18">
        <v>27</v>
      </c>
      <c r="R666" s="18" t="s">
        <v>817</v>
      </c>
      <c r="S666" s="18" t="s">
        <v>811</v>
      </c>
      <c r="T666" s="18" t="s">
        <v>794</v>
      </c>
      <c r="U6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66" s="19">
        <f>IF(AUDITORIA[[#This Row],[CAT]]="",0,1)</f>
        <v>1</v>
      </c>
      <c r="W666" s="20">
        <v>46163</v>
      </c>
      <c r="X666" s="21" t="str">
        <f>UPPER(IF(AUDITORIA[[#This Row],[DATA VERIFICAÇÃO]]="","",TEXT(AUDITORIA[[#This Row],[DATA VERIFICAÇÃO]],"mmm")))</f>
        <v>MAI</v>
      </c>
      <c r="Y666" t="s">
        <v>598</v>
      </c>
      <c r="Z666" t="s">
        <v>831</v>
      </c>
      <c r="AA666" t="s">
        <v>832</v>
      </c>
    </row>
    <row r="667" spans="1:27" ht="14.4" hidden="1" customHeight="1" x14ac:dyDescent="0.3">
      <c r="A667" s="4" t="s">
        <v>0</v>
      </c>
      <c r="B667" s="4" t="s">
        <v>17</v>
      </c>
      <c r="C667" s="16" t="s">
        <v>18</v>
      </c>
      <c r="D667" s="4">
        <v>10</v>
      </c>
      <c r="E667" s="4" t="s">
        <v>745</v>
      </c>
      <c r="F667" t="s">
        <v>200</v>
      </c>
      <c r="G667" t="s">
        <v>106</v>
      </c>
      <c r="J667" s="4" t="s">
        <v>19</v>
      </c>
      <c r="K667" s="4" t="s">
        <v>21</v>
      </c>
      <c r="L667" s="4" t="s">
        <v>742</v>
      </c>
      <c r="M667" s="17">
        <v>24</v>
      </c>
      <c r="N667" s="17">
        <v>1023</v>
      </c>
      <c r="O667" s="18" t="s">
        <v>19</v>
      </c>
      <c r="P667" s="18">
        <v>1023</v>
      </c>
      <c r="Q667" s="18">
        <v>24</v>
      </c>
      <c r="R667" s="18" t="s">
        <v>817</v>
      </c>
      <c r="S667" s="18" t="s">
        <v>796</v>
      </c>
      <c r="T667" s="18" t="s">
        <v>780</v>
      </c>
      <c r="U6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67" s="19">
        <f>IF(AUDITORIA[[#This Row],[CAT]]="",0,1)</f>
        <v>1</v>
      </c>
      <c r="W667" s="20">
        <v>46163</v>
      </c>
      <c r="X667" s="21" t="str">
        <f>UPPER(IF(AUDITORIA[[#This Row],[DATA VERIFICAÇÃO]]="","",TEXT(AUDITORIA[[#This Row],[DATA VERIFICAÇÃO]],"mmm")))</f>
        <v>MAI</v>
      </c>
      <c r="Y667" t="s">
        <v>598</v>
      </c>
      <c r="Z667" t="s">
        <v>831</v>
      </c>
      <c r="AA667" t="s">
        <v>832</v>
      </c>
    </row>
    <row r="668" spans="1:27" ht="14.4" hidden="1" customHeight="1" x14ac:dyDescent="0.3">
      <c r="A668" s="4" t="s">
        <v>0</v>
      </c>
      <c r="B668" s="4" t="s">
        <v>17</v>
      </c>
      <c r="C668" s="16" t="s">
        <v>18</v>
      </c>
      <c r="D668" s="4">
        <v>10</v>
      </c>
      <c r="E668" s="4" t="s">
        <v>745</v>
      </c>
      <c r="F668" t="s">
        <v>199</v>
      </c>
      <c r="G668" t="s">
        <v>106</v>
      </c>
      <c r="J668" s="4" t="s">
        <v>19</v>
      </c>
      <c r="K668" s="4" t="s">
        <v>21</v>
      </c>
      <c r="L668" s="4" t="s">
        <v>742</v>
      </c>
      <c r="M668" s="17">
        <v>24</v>
      </c>
      <c r="N668" s="17">
        <v>1021</v>
      </c>
      <c r="O668" s="18" t="s">
        <v>19</v>
      </c>
      <c r="P668" s="18">
        <v>1021</v>
      </c>
      <c r="Q668" s="18">
        <v>24</v>
      </c>
      <c r="R668" s="18" t="s">
        <v>817</v>
      </c>
      <c r="S668" s="18" t="s">
        <v>795</v>
      </c>
      <c r="T668" s="18" t="s">
        <v>780</v>
      </c>
      <c r="U6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68" s="19">
        <f>IF(AUDITORIA[[#This Row],[CAT]]="",0,1)</f>
        <v>1</v>
      </c>
      <c r="W668" s="20">
        <v>46163</v>
      </c>
      <c r="X668" s="21" t="str">
        <f>UPPER(IF(AUDITORIA[[#This Row],[DATA VERIFICAÇÃO]]="","",TEXT(AUDITORIA[[#This Row],[DATA VERIFICAÇÃO]],"mmm")))</f>
        <v>MAI</v>
      </c>
      <c r="Y668" t="s">
        <v>598</v>
      </c>
      <c r="Z668" t="s">
        <v>831</v>
      </c>
      <c r="AA668" t="s">
        <v>832</v>
      </c>
    </row>
    <row r="669" spans="1:27" ht="14.4" hidden="1" customHeight="1" x14ac:dyDescent="0.3">
      <c r="A669" s="4" t="s">
        <v>0</v>
      </c>
      <c r="B669" s="4" t="s">
        <v>17</v>
      </c>
      <c r="C669" s="16" t="s">
        <v>18</v>
      </c>
      <c r="D669" s="4">
        <v>10</v>
      </c>
      <c r="E669" s="4" t="s">
        <v>745</v>
      </c>
      <c r="F669" t="s">
        <v>198</v>
      </c>
      <c r="G669" t="s">
        <v>106</v>
      </c>
      <c r="J669" s="4" t="s">
        <v>19</v>
      </c>
      <c r="K669" s="4" t="s">
        <v>21</v>
      </c>
      <c r="L669" s="4" t="s">
        <v>742</v>
      </c>
      <c r="M669" s="17">
        <v>27</v>
      </c>
      <c r="N669" s="17">
        <v>977</v>
      </c>
      <c r="O669" s="18" t="s">
        <v>19</v>
      </c>
      <c r="P669" s="18">
        <v>977</v>
      </c>
      <c r="Q669" s="18">
        <v>27</v>
      </c>
      <c r="R669" s="18" t="s">
        <v>817</v>
      </c>
      <c r="S669" s="18" t="s">
        <v>795</v>
      </c>
      <c r="T669" s="18" t="s">
        <v>781</v>
      </c>
      <c r="U6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69" s="19">
        <f>IF(AUDITORIA[[#This Row],[CAT]]="",0,1)</f>
        <v>1</v>
      </c>
      <c r="W669" s="20">
        <v>46163</v>
      </c>
      <c r="X669" s="21" t="str">
        <f>UPPER(IF(AUDITORIA[[#This Row],[DATA VERIFICAÇÃO]]="","",TEXT(AUDITORIA[[#This Row],[DATA VERIFICAÇÃO]],"mmm")))</f>
        <v>MAI</v>
      </c>
      <c r="Y669" t="s">
        <v>598</v>
      </c>
      <c r="Z669" t="s">
        <v>831</v>
      </c>
      <c r="AA669" t="s">
        <v>832</v>
      </c>
    </row>
    <row r="670" spans="1:27" ht="14.4" hidden="1" customHeight="1" x14ac:dyDescent="0.3">
      <c r="A670" s="4" t="s">
        <v>0</v>
      </c>
      <c r="B670" s="4" t="s">
        <v>17</v>
      </c>
      <c r="C670" s="16" t="s">
        <v>18</v>
      </c>
      <c r="D670" s="4">
        <v>10</v>
      </c>
      <c r="E670" s="4" t="s">
        <v>745</v>
      </c>
      <c r="F670" t="s">
        <v>196</v>
      </c>
      <c r="G670" t="s">
        <v>106</v>
      </c>
      <c r="J670" s="4" t="s">
        <v>19</v>
      </c>
      <c r="K670" s="4" t="s">
        <v>21</v>
      </c>
      <c r="L670" s="4" t="s">
        <v>742</v>
      </c>
      <c r="M670" s="17">
        <v>27</v>
      </c>
      <c r="N670" s="17">
        <v>981</v>
      </c>
      <c r="O670" s="18" t="s">
        <v>19</v>
      </c>
      <c r="P670" s="18">
        <v>981</v>
      </c>
      <c r="Q670" s="18">
        <v>27</v>
      </c>
      <c r="R670" s="18" t="s">
        <v>817</v>
      </c>
      <c r="S670" s="18" t="s">
        <v>795</v>
      </c>
      <c r="T670" s="18" t="s">
        <v>782</v>
      </c>
      <c r="U6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70" s="19">
        <f>IF(AUDITORIA[[#This Row],[CAT]]="",0,1)</f>
        <v>1</v>
      </c>
      <c r="W670" s="20">
        <v>46163</v>
      </c>
      <c r="X670" s="21" t="str">
        <f>UPPER(IF(AUDITORIA[[#This Row],[DATA VERIFICAÇÃO]]="","",TEXT(AUDITORIA[[#This Row],[DATA VERIFICAÇÃO]],"mmm")))</f>
        <v>MAI</v>
      </c>
      <c r="Y670" t="s">
        <v>598</v>
      </c>
      <c r="Z670" t="s">
        <v>831</v>
      </c>
      <c r="AA670" t="s">
        <v>832</v>
      </c>
    </row>
    <row r="671" spans="1:27" ht="14.4" hidden="1" customHeight="1" x14ac:dyDescent="0.3">
      <c r="A671" s="4" t="s">
        <v>0</v>
      </c>
      <c r="B671" s="4" t="s">
        <v>17</v>
      </c>
      <c r="C671" s="16" t="s">
        <v>18</v>
      </c>
      <c r="D671" s="4">
        <v>10</v>
      </c>
      <c r="E671" s="4" t="s">
        <v>745</v>
      </c>
      <c r="F671" t="s">
        <v>195</v>
      </c>
      <c r="G671" t="s">
        <v>106</v>
      </c>
      <c r="J671" s="4" t="s">
        <v>19</v>
      </c>
      <c r="K671" s="4" t="s">
        <v>21</v>
      </c>
      <c r="L671" s="4" t="s">
        <v>742</v>
      </c>
      <c r="M671" s="17">
        <v>27</v>
      </c>
      <c r="N671" s="17">
        <v>996</v>
      </c>
      <c r="O671" s="18" t="s">
        <v>19</v>
      </c>
      <c r="P671" s="18">
        <v>996</v>
      </c>
      <c r="Q671" s="18">
        <v>27</v>
      </c>
      <c r="R671" s="18" t="s">
        <v>817</v>
      </c>
      <c r="S671" s="18" t="s">
        <v>796</v>
      </c>
      <c r="T671" s="18" t="s">
        <v>781</v>
      </c>
      <c r="U6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71" s="19">
        <f>IF(AUDITORIA[[#This Row],[CAT]]="",0,1)</f>
        <v>1</v>
      </c>
      <c r="W671" s="20">
        <v>46163</v>
      </c>
      <c r="X671" s="21" t="str">
        <f>UPPER(IF(AUDITORIA[[#This Row],[DATA VERIFICAÇÃO]]="","",TEXT(AUDITORIA[[#This Row],[DATA VERIFICAÇÃO]],"mmm")))</f>
        <v>MAI</v>
      </c>
      <c r="Y671" t="s">
        <v>598</v>
      </c>
      <c r="Z671" t="s">
        <v>831</v>
      </c>
      <c r="AA671" t="s">
        <v>832</v>
      </c>
    </row>
    <row r="672" spans="1:27" ht="14.4" hidden="1" customHeight="1" x14ac:dyDescent="0.3">
      <c r="A672" s="4" t="s">
        <v>0</v>
      </c>
      <c r="B672" s="4" t="s">
        <v>17</v>
      </c>
      <c r="C672" s="16" t="s">
        <v>18</v>
      </c>
      <c r="D672" s="4">
        <v>10</v>
      </c>
      <c r="E672" s="4" t="s">
        <v>745</v>
      </c>
      <c r="F672" t="s">
        <v>194</v>
      </c>
      <c r="G672" t="s">
        <v>106</v>
      </c>
      <c r="J672" s="4" t="s">
        <v>19</v>
      </c>
      <c r="K672" s="4" t="s">
        <v>21</v>
      </c>
      <c r="L672" s="4" t="s">
        <v>742</v>
      </c>
      <c r="M672" s="17">
        <v>27</v>
      </c>
      <c r="N672" s="17">
        <v>995</v>
      </c>
      <c r="O672" s="18" t="s">
        <v>19</v>
      </c>
      <c r="P672" s="18">
        <v>995</v>
      </c>
      <c r="Q672" s="18">
        <v>27</v>
      </c>
      <c r="R672" s="18" t="s">
        <v>817</v>
      </c>
      <c r="S672" s="18" t="s">
        <v>796</v>
      </c>
      <c r="T672" s="18" t="s">
        <v>782</v>
      </c>
      <c r="U6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72" s="19">
        <f>IF(AUDITORIA[[#This Row],[CAT]]="",0,1)</f>
        <v>1</v>
      </c>
      <c r="W672" s="20">
        <v>46163</v>
      </c>
      <c r="X672" s="21" t="str">
        <f>UPPER(IF(AUDITORIA[[#This Row],[DATA VERIFICAÇÃO]]="","",TEXT(AUDITORIA[[#This Row],[DATA VERIFICAÇÃO]],"mmm")))</f>
        <v>MAI</v>
      </c>
      <c r="Y672" t="s">
        <v>598</v>
      </c>
      <c r="Z672" t="s">
        <v>831</v>
      </c>
      <c r="AA672" t="s">
        <v>832</v>
      </c>
    </row>
    <row r="673" spans="1:27" ht="14.4" hidden="1" customHeight="1" x14ac:dyDescent="0.3">
      <c r="A673" s="4" t="s">
        <v>0</v>
      </c>
      <c r="B673" s="4" t="s">
        <v>17</v>
      </c>
      <c r="C673" s="16" t="s">
        <v>18</v>
      </c>
      <c r="D673" s="4">
        <v>10</v>
      </c>
      <c r="E673" s="4" t="s">
        <v>745</v>
      </c>
      <c r="F673" t="s">
        <v>192</v>
      </c>
      <c r="G673" t="s">
        <v>106</v>
      </c>
      <c r="J673" s="4" t="s">
        <v>31</v>
      </c>
      <c r="K673" s="4" t="s">
        <v>21</v>
      </c>
      <c r="L673" s="4" t="s">
        <v>742</v>
      </c>
      <c r="M673" s="17">
        <v>24</v>
      </c>
      <c r="N673" s="17">
        <v>1037</v>
      </c>
      <c r="O673" s="18" t="s">
        <v>31</v>
      </c>
      <c r="P673" s="18">
        <v>1037</v>
      </c>
      <c r="Q673" s="18">
        <v>24</v>
      </c>
      <c r="R673" s="18" t="s">
        <v>817</v>
      </c>
      <c r="S673" s="18" t="s">
        <v>797</v>
      </c>
      <c r="T673" s="18" t="s">
        <v>780</v>
      </c>
      <c r="U6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73" s="19">
        <f>IF(AUDITORIA[[#This Row],[CAT]]="",0,1)</f>
        <v>1</v>
      </c>
      <c r="W673" s="20">
        <v>46163</v>
      </c>
      <c r="X673" s="21" t="str">
        <f>UPPER(IF(AUDITORIA[[#This Row],[DATA VERIFICAÇÃO]]="","",TEXT(AUDITORIA[[#This Row],[DATA VERIFICAÇÃO]],"mmm")))</f>
        <v>MAI</v>
      </c>
      <c r="Y673" t="s">
        <v>598</v>
      </c>
      <c r="Z673" t="s">
        <v>831</v>
      </c>
      <c r="AA673" t="s">
        <v>832</v>
      </c>
    </row>
    <row r="674" spans="1:27" ht="14.4" hidden="1" customHeight="1" x14ac:dyDescent="0.3">
      <c r="A674" s="4" t="s">
        <v>0</v>
      </c>
      <c r="B674" s="4" t="s">
        <v>17</v>
      </c>
      <c r="C674" s="16" t="s">
        <v>18</v>
      </c>
      <c r="D674" s="4">
        <v>10</v>
      </c>
      <c r="E674" s="4" t="s">
        <v>745</v>
      </c>
      <c r="F674" t="s">
        <v>191</v>
      </c>
      <c r="G674" t="s">
        <v>106</v>
      </c>
      <c r="J674" s="4" t="s">
        <v>31</v>
      </c>
      <c r="K674" s="4" t="s">
        <v>21</v>
      </c>
      <c r="L674" s="4" t="s">
        <v>742</v>
      </c>
      <c r="M674" s="17">
        <v>24</v>
      </c>
      <c r="N674" s="17">
        <v>1024</v>
      </c>
      <c r="O674" s="18" t="s">
        <v>31</v>
      </c>
      <c r="P674" s="18">
        <v>1024</v>
      </c>
      <c r="Q674" s="18">
        <v>24</v>
      </c>
      <c r="R674" s="18" t="s">
        <v>817</v>
      </c>
      <c r="S674" s="18" t="s">
        <v>797</v>
      </c>
      <c r="T674" s="18" t="s">
        <v>781</v>
      </c>
      <c r="U6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74" s="19">
        <f>IF(AUDITORIA[[#This Row],[CAT]]="",0,1)</f>
        <v>1</v>
      </c>
      <c r="W674" s="20">
        <v>46163</v>
      </c>
      <c r="X674" s="21" t="str">
        <f>UPPER(IF(AUDITORIA[[#This Row],[DATA VERIFICAÇÃO]]="","",TEXT(AUDITORIA[[#This Row],[DATA VERIFICAÇÃO]],"mmm")))</f>
        <v>MAI</v>
      </c>
      <c r="Y674" t="s">
        <v>598</v>
      </c>
      <c r="Z674" t="s">
        <v>831</v>
      </c>
      <c r="AA674" t="s">
        <v>832</v>
      </c>
    </row>
    <row r="675" spans="1:27" ht="14.4" hidden="1" customHeight="1" x14ac:dyDescent="0.3">
      <c r="A675" s="4" t="s">
        <v>0</v>
      </c>
      <c r="B675" s="4" t="s">
        <v>17</v>
      </c>
      <c r="C675" s="16" t="s">
        <v>18</v>
      </c>
      <c r="D675" s="4">
        <v>10</v>
      </c>
      <c r="E675" s="4" t="s">
        <v>745</v>
      </c>
      <c r="F675" t="s">
        <v>189</v>
      </c>
      <c r="G675" t="s">
        <v>106</v>
      </c>
      <c r="J675" s="4" t="s">
        <v>31</v>
      </c>
      <c r="K675" s="4" t="s">
        <v>21</v>
      </c>
      <c r="L675" s="4" t="s">
        <v>742</v>
      </c>
      <c r="M675" s="17">
        <v>24</v>
      </c>
      <c r="N675" s="17">
        <v>1009</v>
      </c>
      <c r="O675" s="18" t="s">
        <v>31</v>
      </c>
      <c r="P675" s="18">
        <v>1009</v>
      </c>
      <c r="Q675" s="18">
        <v>24</v>
      </c>
      <c r="R675" s="18" t="s">
        <v>817</v>
      </c>
      <c r="S675" s="18" t="s">
        <v>797</v>
      </c>
      <c r="T675" s="18" t="s">
        <v>782</v>
      </c>
      <c r="U6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75" s="19">
        <f>IF(AUDITORIA[[#This Row],[CAT]]="",0,1)</f>
        <v>1</v>
      </c>
      <c r="W675" s="20">
        <v>46163</v>
      </c>
      <c r="X675" s="21" t="str">
        <f>UPPER(IF(AUDITORIA[[#This Row],[DATA VERIFICAÇÃO]]="","",TEXT(AUDITORIA[[#This Row],[DATA VERIFICAÇÃO]],"mmm")))</f>
        <v>MAI</v>
      </c>
      <c r="Y675" t="s">
        <v>598</v>
      </c>
      <c r="Z675" t="s">
        <v>831</v>
      </c>
      <c r="AA675" t="s">
        <v>832</v>
      </c>
    </row>
    <row r="676" spans="1:27" ht="14.4" hidden="1" customHeight="1" x14ac:dyDescent="0.3">
      <c r="A676" s="4" t="s">
        <v>0</v>
      </c>
      <c r="B676" s="4" t="s">
        <v>17</v>
      </c>
      <c r="C676" s="16" t="s">
        <v>18</v>
      </c>
      <c r="D676" s="4">
        <v>10</v>
      </c>
      <c r="E676" s="4" t="s">
        <v>745</v>
      </c>
      <c r="F676" t="s">
        <v>187</v>
      </c>
      <c r="G676" t="s">
        <v>106</v>
      </c>
      <c r="J676" s="4" t="s">
        <v>31</v>
      </c>
      <c r="K676" s="4" t="s">
        <v>21</v>
      </c>
      <c r="L676" s="4" t="s">
        <v>742</v>
      </c>
      <c r="M676" s="17">
        <v>12</v>
      </c>
      <c r="N676" s="17">
        <v>1006</v>
      </c>
      <c r="O676" s="18" t="s">
        <v>31</v>
      </c>
      <c r="P676" s="18">
        <v>1006</v>
      </c>
      <c r="Q676" s="18">
        <v>12</v>
      </c>
      <c r="R676" s="18" t="s">
        <v>817</v>
      </c>
      <c r="S676" s="18" t="s">
        <v>799</v>
      </c>
      <c r="T676" s="18" t="s">
        <v>782</v>
      </c>
      <c r="U6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76" s="19">
        <f>IF(AUDITORIA[[#This Row],[CAT]]="",0,1)</f>
        <v>1</v>
      </c>
      <c r="W676" s="20">
        <v>46163</v>
      </c>
      <c r="X676" s="21" t="str">
        <f>UPPER(IF(AUDITORIA[[#This Row],[DATA VERIFICAÇÃO]]="","",TEXT(AUDITORIA[[#This Row],[DATA VERIFICAÇÃO]],"mmm")))</f>
        <v>MAI</v>
      </c>
      <c r="Y676" t="s">
        <v>598</v>
      </c>
      <c r="Z676" t="s">
        <v>831</v>
      </c>
      <c r="AA676" t="s">
        <v>832</v>
      </c>
    </row>
    <row r="677" spans="1:27" ht="14.4" hidden="1" customHeight="1" x14ac:dyDescent="0.3">
      <c r="A677" s="4" t="s">
        <v>0</v>
      </c>
      <c r="B677" s="4" t="s">
        <v>17</v>
      </c>
      <c r="C677" s="16" t="s">
        <v>18</v>
      </c>
      <c r="D677" s="4">
        <v>10</v>
      </c>
      <c r="E677" s="4" t="s">
        <v>745</v>
      </c>
      <c r="F677" t="s">
        <v>125</v>
      </c>
      <c r="G677" t="s">
        <v>106</v>
      </c>
      <c r="J677" s="4" t="s">
        <v>31</v>
      </c>
      <c r="K677" s="4" t="s">
        <v>21</v>
      </c>
      <c r="L677" s="4" t="s">
        <v>742</v>
      </c>
      <c r="M677" s="17">
        <v>24</v>
      </c>
      <c r="N677" s="17">
        <v>1045</v>
      </c>
      <c r="O677" s="18" t="s">
        <v>31</v>
      </c>
      <c r="P677" s="18">
        <v>1045</v>
      </c>
      <c r="Q677" s="18">
        <v>24</v>
      </c>
      <c r="R677" s="18" t="s">
        <v>778</v>
      </c>
      <c r="S677" s="18" t="s">
        <v>791</v>
      </c>
      <c r="T677" s="18" t="s">
        <v>780</v>
      </c>
      <c r="U6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77" s="19">
        <f>IF(AUDITORIA[[#This Row],[CAT]]="",0,1)</f>
        <v>1</v>
      </c>
      <c r="W677" s="20">
        <v>46163</v>
      </c>
      <c r="X677" s="21" t="str">
        <f>UPPER(IF(AUDITORIA[[#This Row],[DATA VERIFICAÇÃO]]="","",TEXT(AUDITORIA[[#This Row],[DATA VERIFICAÇÃO]],"mmm")))</f>
        <v>MAI</v>
      </c>
      <c r="Y677" t="s">
        <v>598</v>
      </c>
      <c r="Z677" t="s">
        <v>831</v>
      </c>
      <c r="AA677" t="s">
        <v>832</v>
      </c>
    </row>
    <row r="678" spans="1:27" ht="14.4" hidden="1" customHeight="1" x14ac:dyDescent="0.3">
      <c r="A678" s="4" t="s">
        <v>0</v>
      </c>
      <c r="B678" s="4" t="s">
        <v>17</v>
      </c>
      <c r="C678" s="16" t="s">
        <v>18</v>
      </c>
      <c r="D678" s="4">
        <v>10</v>
      </c>
      <c r="E678" s="4" t="s">
        <v>745</v>
      </c>
      <c r="F678" t="s">
        <v>124</v>
      </c>
      <c r="G678" t="s">
        <v>106</v>
      </c>
      <c r="J678" s="4" t="s">
        <v>31</v>
      </c>
      <c r="K678" s="4" t="s">
        <v>21</v>
      </c>
      <c r="L678" s="4" t="s">
        <v>742</v>
      </c>
      <c r="M678" s="17">
        <v>24</v>
      </c>
      <c r="N678" s="17">
        <v>1075</v>
      </c>
      <c r="O678" s="18" t="s">
        <v>31</v>
      </c>
      <c r="P678" s="18">
        <v>1075</v>
      </c>
      <c r="Q678" s="18">
        <v>24</v>
      </c>
      <c r="R678" s="18" t="s">
        <v>778</v>
      </c>
      <c r="S678" s="18" t="s">
        <v>792</v>
      </c>
      <c r="T678" s="18" t="s">
        <v>781</v>
      </c>
      <c r="U6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78" s="19">
        <f>IF(AUDITORIA[[#This Row],[CAT]]="",0,1)</f>
        <v>1</v>
      </c>
      <c r="W678" s="20">
        <v>46163</v>
      </c>
      <c r="X678" s="21" t="str">
        <f>UPPER(IF(AUDITORIA[[#This Row],[DATA VERIFICAÇÃO]]="","",TEXT(AUDITORIA[[#This Row],[DATA VERIFICAÇÃO]],"mmm")))</f>
        <v>MAI</v>
      </c>
      <c r="Y678" t="s">
        <v>598</v>
      </c>
      <c r="Z678" t="s">
        <v>831</v>
      </c>
      <c r="AA678" t="s">
        <v>832</v>
      </c>
    </row>
    <row r="679" spans="1:27" ht="14.4" hidden="1" customHeight="1" x14ac:dyDescent="0.3">
      <c r="A679" s="4" t="s">
        <v>0</v>
      </c>
      <c r="B679" s="4" t="s">
        <v>17</v>
      </c>
      <c r="C679" s="16" t="s">
        <v>18</v>
      </c>
      <c r="D679" s="4">
        <v>10</v>
      </c>
      <c r="E679" s="4" t="s">
        <v>745</v>
      </c>
      <c r="F679" t="s">
        <v>123</v>
      </c>
      <c r="G679" t="s">
        <v>106</v>
      </c>
      <c r="J679" s="4" t="s">
        <v>19</v>
      </c>
      <c r="K679" s="4" t="s">
        <v>21</v>
      </c>
      <c r="L679" s="4" t="s">
        <v>742</v>
      </c>
      <c r="M679" s="17">
        <v>24</v>
      </c>
      <c r="N679" s="17">
        <v>1061</v>
      </c>
      <c r="O679" s="18" t="s">
        <v>19</v>
      </c>
      <c r="P679" s="18">
        <v>1061</v>
      </c>
      <c r="Q679" s="18">
        <v>24</v>
      </c>
      <c r="R679" s="18" t="s">
        <v>778</v>
      </c>
      <c r="S679" s="18" t="s">
        <v>792</v>
      </c>
      <c r="T679" s="18" t="s">
        <v>780</v>
      </c>
      <c r="U6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79" s="19">
        <f>IF(AUDITORIA[[#This Row],[CAT]]="",0,1)</f>
        <v>1</v>
      </c>
      <c r="W679" s="20">
        <v>46163</v>
      </c>
      <c r="X679" s="21" t="str">
        <f>UPPER(IF(AUDITORIA[[#This Row],[DATA VERIFICAÇÃO]]="","",TEXT(AUDITORIA[[#This Row],[DATA VERIFICAÇÃO]],"mmm")))</f>
        <v>MAI</v>
      </c>
      <c r="Y679" t="s">
        <v>598</v>
      </c>
      <c r="Z679" t="s">
        <v>831</v>
      </c>
      <c r="AA679" t="s">
        <v>832</v>
      </c>
    </row>
    <row r="680" spans="1:27" ht="14.4" hidden="1" customHeight="1" x14ac:dyDescent="0.3">
      <c r="A680" s="4" t="s">
        <v>0</v>
      </c>
      <c r="B680" s="4" t="s">
        <v>17</v>
      </c>
      <c r="C680" s="16" t="s">
        <v>18</v>
      </c>
      <c r="D680" s="4">
        <v>10</v>
      </c>
      <c r="E680" s="4" t="s">
        <v>745</v>
      </c>
      <c r="F680" t="s">
        <v>121</v>
      </c>
      <c r="G680" t="s">
        <v>106</v>
      </c>
      <c r="J680" s="4" t="s">
        <v>19</v>
      </c>
      <c r="K680" s="4" t="s">
        <v>21</v>
      </c>
      <c r="L680" s="4" t="s">
        <v>742</v>
      </c>
      <c r="M680" s="17">
        <v>27</v>
      </c>
      <c r="N680" s="17">
        <v>995</v>
      </c>
      <c r="O680" s="18" t="s">
        <v>19</v>
      </c>
      <c r="P680" s="18">
        <v>995</v>
      </c>
      <c r="Q680" s="18">
        <v>27</v>
      </c>
      <c r="R680" s="18" t="s">
        <v>778</v>
      </c>
      <c r="S680" s="18" t="s">
        <v>791</v>
      </c>
      <c r="T680" s="18" t="s">
        <v>781</v>
      </c>
      <c r="U6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80" s="19">
        <f>IF(AUDITORIA[[#This Row],[CAT]]="",0,1)</f>
        <v>1</v>
      </c>
      <c r="W680" s="20">
        <v>46163</v>
      </c>
      <c r="X680" s="21" t="str">
        <f>UPPER(IF(AUDITORIA[[#This Row],[DATA VERIFICAÇÃO]]="","",TEXT(AUDITORIA[[#This Row],[DATA VERIFICAÇÃO]],"mmm")))</f>
        <v>MAI</v>
      </c>
      <c r="Y680" t="s">
        <v>598</v>
      </c>
      <c r="Z680" t="s">
        <v>831</v>
      </c>
      <c r="AA680" t="s">
        <v>832</v>
      </c>
    </row>
    <row r="681" spans="1:27" ht="14.4" hidden="1" customHeight="1" x14ac:dyDescent="0.3">
      <c r="A681" s="4" t="s">
        <v>0</v>
      </c>
      <c r="B681" s="4" t="s">
        <v>17</v>
      </c>
      <c r="C681" s="16" t="s">
        <v>18</v>
      </c>
      <c r="D681" s="4">
        <v>10</v>
      </c>
      <c r="E681" s="4" t="s">
        <v>745</v>
      </c>
      <c r="F681" t="s">
        <v>120</v>
      </c>
      <c r="G681" t="s">
        <v>106</v>
      </c>
      <c r="J681" s="4" t="s">
        <v>19</v>
      </c>
      <c r="K681" s="4" t="s">
        <v>21</v>
      </c>
      <c r="L681" s="4" t="s">
        <v>742</v>
      </c>
      <c r="M681" s="17">
        <v>24</v>
      </c>
      <c r="N681" s="17">
        <v>1049</v>
      </c>
      <c r="O681" s="18" t="s">
        <v>19</v>
      </c>
      <c r="P681" s="18">
        <v>1049</v>
      </c>
      <c r="Q681" s="18">
        <v>24</v>
      </c>
      <c r="R681" s="18" t="s">
        <v>778</v>
      </c>
      <c r="S681" s="18" t="s">
        <v>791</v>
      </c>
      <c r="T681" s="18" t="s">
        <v>782</v>
      </c>
      <c r="U6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81" s="19">
        <f>IF(AUDITORIA[[#This Row],[CAT]]="",0,1)</f>
        <v>1</v>
      </c>
      <c r="W681" s="20">
        <v>46163</v>
      </c>
      <c r="X681" s="21" t="str">
        <f>UPPER(IF(AUDITORIA[[#This Row],[DATA VERIFICAÇÃO]]="","",TEXT(AUDITORIA[[#This Row],[DATA VERIFICAÇÃO]],"mmm")))</f>
        <v>MAI</v>
      </c>
      <c r="Y681" t="s">
        <v>598</v>
      </c>
      <c r="Z681" t="s">
        <v>831</v>
      </c>
      <c r="AA681" t="s">
        <v>832</v>
      </c>
    </row>
    <row r="682" spans="1:27" ht="14.4" hidden="1" customHeight="1" x14ac:dyDescent="0.3">
      <c r="A682" s="4" t="s">
        <v>0</v>
      </c>
      <c r="B682" s="4" t="s">
        <v>17</v>
      </c>
      <c r="C682" s="16" t="s">
        <v>18</v>
      </c>
      <c r="D682" s="4">
        <v>10</v>
      </c>
      <c r="E682" s="4" t="s">
        <v>745</v>
      </c>
      <c r="F682" t="s">
        <v>119</v>
      </c>
      <c r="G682" t="s">
        <v>106</v>
      </c>
      <c r="J682" s="4" t="s">
        <v>19</v>
      </c>
      <c r="K682" s="4" t="s">
        <v>21</v>
      </c>
      <c r="L682" s="4" t="s">
        <v>742</v>
      </c>
      <c r="M682" s="17">
        <v>24</v>
      </c>
      <c r="N682" s="17">
        <v>1050</v>
      </c>
      <c r="O682" s="18" t="s">
        <v>19</v>
      </c>
      <c r="P682" s="18">
        <v>1050</v>
      </c>
      <c r="Q682" s="18">
        <v>24</v>
      </c>
      <c r="R682" s="18" t="s">
        <v>778</v>
      </c>
      <c r="S682" s="18" t="s">
        <v>792</v>
      </c>
      <c r="T682" s="18" t="s">
        <v>782</v>
      </c>
      <c r="U6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82" s="19">
        <f>IF(AUDITORIA[[#This Row],[CAT]]="",0,1)</f>
        <v>1</v>
      </c>
      <c r="W682" s="20">
        <v>46163</v>
      </c>
      <c r="X682" s="21" t="str">
        <f>UPPER(IF(AUDITORIA[[#This Row],[DATA VERIFICAÇÃO]]="","",TEXT(AUDITORIA[[#This Row],[DATA VERIFICAÇÃO]],"mmm")))</f>
        <v>MAI</v>
      </c>
      <c r="Y682" t="s">
        <v>598</v>
      </c>
      <c r="Z682" t="s">
        <v>831</v>
      </c>
      <c r="AA682" t="s">
        <v>832</v>
      </c>
    </row>
    <row r="683" spans="1:27" ht="14.4" hidden="1" customHeight="1" x14ac:dyDescent="0.3">
      <c r="A683" s="4" t="s">
        <v>0</v>
      </c>
      <c r="B683" s="4" t="s">
        <v>17</v>
      </c>
      <c r="C683" s="16" t="s">
        <v>18</v>
      </c>
      <c r="D683" s="4">
        <v>10</v>
      </c>
      <c r="E683" s="4" t="s">
        <v>745</v>
      </c>
      <c r="F683" t="s">
        <v>118</v>
      </c>
      <c r="G683" t="s">
        <v>106</v>
      </c>
      <c r="J683" s="4" t="s">
        <v>19</v>
      </c>
      <c r="K683" s="4" t="s">
        <v>21</v>
      </c>
      <c r="L683" s="4" t="s">
        <v>742</v>
      </c>
      <c r="M683" s="17">
        <v>24</v>
      </c>
      <c r="N683" s="17">
        <v>1062</v>
      </c>
      <c r="O683" s="18" t="s">
        <v>19</v>
      </c>
      <c r="P683" s="18">
        <v>1062</v>
      </c>
      <c r="Q683" s="18">
        <v>24</v>
      </c>
      <c r="R683" s="18" t="s">
        <v>778</v>
      </c>
      <c r="S683" s="18" t="s">
        <v>790</v>
      </c>
      <c r="T683" s="18" t="s">
        <v>780</v>
      </c>
      <c r="U6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83" s="19">
        <f>IF(AUDITORIA[[#This Row],[CAT]]="",0,1)</f>
        <v>1</v>
      </c>
      <c r="W683" s="20">
        <v>46163</v>
      </c>
      <c r="X683" s="21" t="str">
        <f>UPPER(IF(AUDITORIA[[#This Row],[DATA VERIFICAÇÃO]]="","",TEXT(AUDITORIA[[#This Row],[DATA VERIFICAÇÃO]],"mmm")))</f>
        <v>MAI</v>
      </c>
      <c r="Y683" t="s">
        <v>598</v>
      </c>
      <c r="Z683" t="s">
        <v>831</v>
      </c>
      <c r="AA683" t="s">
        <v>832</v>
      </c>
    </row>
    <row r="684" spans="1:27" ht="14.4" hidden="1" customHeight="1" x14ac:dyDescent="0.3">
      <c r="A684" s="4" t="s">
        <v>0</v>
      </c>
      <c r="B684" s="4" t="s">
        <v>17</v>
      </c>
      <c r="C684" s="16" t="s">
        <v>18</v>
      </c>
      <c r="D684" s="4">
        <v>10</v>
      </c>
      <c r="E684" s="4" t="s">
        <v>745</v>
      </c>
      <c r="F684" t="s">
        <v>116</v>
      </c>
      <c r="G684" t="s">
        <v>106</v>
      </c>
      <c r="J684" s="4" t="s">
        <v>19</v>
      </c>
      <c r="K684" s="4" t="s">
        <v>21</v>
      </c>
      <c r="L684" s="4" t="s">
        <v>742</v>
      </c>
      <c r="M684" s="17">
        <v>24</v>
      </c>
      <c r="N684" s="17">
        <v>1032</v>
      </c>
      <c r="O684" s="18" t="s">
        <v>19</v>
      </c>
      <c r="P684" s="18">
        <v>1032</v>
      </c>
      <c r="Q684" s="18">
        <v>24</v>
      </c>
      <c r="R684" s="18" t="s">
        <v>778</v>
      </c>
      <c r="S684" s="18" t="s">
        <v>790</v>
      </c>
      <c r="T684" s="18" t="s">
        <v>781</v>
      </c>
      <c r="U6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84" s="19">
        <f>IF(AUDITORIA[[#This Row],[CAT]]="",0,1)</f>
        <v>1</v>
      </c>
      <c r="W684" s="20">
        <v>46163</v>
      </c>
      <c r="X684" s="21" t="str">
        <f>UPPER(IF(AUDITORIA[[#This Row],[DATA VERIFICAÇÃO]]="","",TEXT(AUDITORIA[[#This Row],[DATA VERIFICAÇÃO]],"mmm")))</f>
        <v>MAI</v>
      </c>
      <c r="Y684" t="s">
        <v>598</v>
      </c>
      <c r="Z684" t="s">
        <v>831</v>
      </c>
      <c r="AA684" t="s">
        <v>832</v>
      </c>
    </row>
    <row r="685" spans="1:27" ht="14.4" hidden="1" customHeight="1" x14ac:dyDescent="0.3">
      <c r="A685" s="4" t="s">
        <v>0</v>
      </c>
      <c r="B685" s="4" t="s">
        <v>17</v>
      </c>
      <c r="C685" s="16" t="s">
        <v>18</v>
      </c>
      <c r="D685" s="4">
        <v>10</v>
      </c>
      <c r="E685" s="4" t="s">
        <v>745</v>
      </c>
      <c r="F685" t="s">
        <v>115</v>
      </c>
      <c r="G685" t="s">
        <v>106</v>
      </c>
      <c r="J685" s="4" t="s">
        <v>19</v>
      </c>
      <c r="K685" s="4" t="s">
        <v>21</v>
      </c>
      <c r="L685" s="4" t="s">
        <v>742</v>
      </c>
      <c r="M685" s="17">
        <v>24</v>
      </c>
      <c r="N685" s="17">
        <v>1048</v>
      </c>
      <c r="O685" s="18" t="s">
        <v>19</v>
      </c>
      <c r="P685" s="18">
        <v>1048</v>
      </c>
      <c r="Q685" s="18">
        <v>24</v>
      </c>
      <c r="R685" s="18" t="s">
        <v>778</v>
      </c>
      <c r="S685" s="18" t="s">
        <v>790</v>
      </c>
      <c r="T685" s="18" t="s">
        <v>782</v>
      </c>
      <c r="U6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85" s="19">
        <f>IF(AUDITORIA[[#This Row],[CAT]]="",0,1)</f>
        <v>1</v>
      </c>
      <c r="W685" s="20">
        <v>46163</v>
      </c>
      <c r="X685" s="21" t="str">
        <f>UPPER(IF(AUDITORIA[[#This Row],[DATA VERIFICAÇÃO]]="","",TEXT(AUDITORIA[[#This Row],[DATA VERIFICAÇÃO]],"mmm")))</f>
        <v>MAI</v>
      </c>
      <c r="Y685" t="s">
        <v>598</v>
      </c>
      <c r="Z685" t="s">
        <v>831</v>
      </c>
      <c r="AA685" t="s">
        <v>832</v>
      </c>
    </row>
    <row r="686" spans="1:27" ht="14.4" hidden="1" customHeight="1" x14ac:dyDescent="0.3">
      <c r="A686" s="4" t="s">
        <v>0</v>
      </c>
      <c r="B686" s="4" t="s">
        <v>17</v>
      </c>
      <c r="C686" s="16" t="s">
        <v>18</v>
      </c>
      <c r="D686" s="4">
        <v>10</v>
      </c>
      <c r="E686" s="4" t="s">
        <v>745</v>
      </c>
      <c r="F686" t="s">
        <v>114</v>
      </c>
      <c r="G686" t="s">
        <v>106</v>
      </c>
      <c r="J686" s="4" t="s">
        <v>19</v>
      </c>
      <c r="K686" s="4" t="s">
        <v>21</v>
      </c>
      <c r="L686" s="4" t="s">
        <v>742</v>
      </c>
      <c r="M686" s="17">
        <v>24</v>
      </c>
      <c r="N686" s="17">
        <v>1064</v>
      </c>
      <c r="O686" s="18" t="s">
        <v>19</v>
      </c>
      <c r="P686" s="18">
        <v>1064</v>
      </c>
      <c r="Q686" s="18">
        <v>24</v>
      </c>
      <c r="R686" s="18" t="s">
        <v>778</v>
      </c>
      <c r="S686" s="18" t="s">
        <v>789</v>
      </c>
      <c r="T686" s="18" t="s">
        <v>780</v>
      </c>
      <c r="U6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86" s="19">
        <f>IF(AUDITORIA[[#This Row],[CAT]]="",0,1)</f>
        <v>1</v>
      </c>
      <c r="W686" s="20">
        <v>46163</v>
      </c>
      <c r="X686" s="21" t="str">
        <f>UPPER(IF(AUDITORIA[[#This Row],[DATA VERIFICAÇÃO]]="","",TEXT(AUDITORIA[[#This Row],[DATA VERIFICAÇÃO]],"mmm")))</f>
        <v>MAI</v>
      </c>
      <c r="Y686" t="s">
        <v>598</v>
      </c>
      <c r="Z686" t="s">
        <v>831</v>
      </c>
      <c r="AA686" t="s">
        <v>832</v>
      </c>
    </row>
    <row r="687" spans="1:27" ht="14.4" hidden="1" customHeight="1" x14ac:dyDescent="0.3">
      <c r="A687" s="4" t="s">
        <v>0</v>
      </c>
      <c r="B687" s="4" t="s">
        <v>17</v>
      </c>
      <c r="C687" s="16" t="s">
        <v>18</v>
      </c>
      <c r="D687" s="4">
        <v>10</v>
      </c>
      <c r="E687" s="4" t="s">
        <v>745</v>
      </c>
      <c r="F687" t="s">
        <v>113</v>
      </c>
      <c r="G687" t="s">
        <v>106</v>
      </c>
      <c r="J687" s="4" t="s">
        <v>19</v>
      </c>
      <c r="K687" s="4" t="s">
        <v>21</v>
      </c>
      <c r="L687" s="4" t="s">
        <v>742</v>
      </c>
      <c r="M687" s="17">
        <v>24</v>
      </c>
      <c r="N687" s="17">
        <v>1078</v>
      </c>
      <c r="O687" s="18" t="s">
        <v>19</v>
      </c>
      <c r="P687" s="18">
        <v>1078</v>
      </c>
      <c r="Q687" s="18">
        <v>24</v>
      </c>
      <c r="R687" s="18" t="s">
        <v>778</v>
      </c>
      <c r="S687" s="18" t="s">
        <v>789</v>
      </c>
      <c r="T687" s="18" t="s">
        <v>781</v>
      </c>
      <c r="U6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87" s="19">
        <f>IF(AUDITORIA[[#This Row],[CAT]]="",0,1)</f>
        <v>1</v>
      </c>
      <c r="W687" s="20">
        <v>46163</v>
      </c>
      <c r="X687" s="21" t="str">
        <f>UPPER(IF(AUDITORIA[[#This Row],[DATA VERIFICAÇÃO]]="","",TEXT(AUDITORIA[[#This Row],[DATA VERIFICAÇÃO]],"mmm")))</f>
        <v>MAI</v>
      </c>
      <c r="Y687" t="s">
        <v>598</v>
      </c>
      <c r="Z687" t="s">
        <v>831</v>
      </c>
      <c r="AA687" t="s">
        <v>832</v>
      </c>
    </row>
    <row r="688" spans="1:27" ht="14.4" hidden="1" customHeight="1" x14ac:dyDescent="0.3">
      <c r="A688" s="4" t="s">
        <v>0</v>
      </c>
      <c r="B688" s="4" t="s">
        <v>17</v>
      </c>
      <c r="C688" s="16" t="s">
        <v>18</v>
      </c>
      <c r="D688" s="4">
        <v>10</v>
      </c>
      <c r="E688" s="4" t="s">
        <v>745</v>
      </c>
      <c r="F688" t="s">
        <v>112</v>
      </c>
      <c r="G688" t="s">
        <v>106</v>
      </c>
      <c r="J688" s="4" t="s">
        <v>19</v>
      </c>
      <c r="K688" s="4" t="s">
        <v>21</v>
      </c>
      <c r="L688" s="4" t="s">
        <v>742</v>
      </c>
      <c r="M688" s="17">
        <v>24</v>
      </c>
      <c r="N688" s="17">
        <v>1073</v>
      </c>
      <c r="O688" s="18" t="s">
        <v>19</v>
      </c>
      <c r="P688" s="18">
        <v>1073</v>
      </c>
      <c r="Q688" s="18">
        <v>24</v>
      </c>
      <c r="R688" s="18" t="s">
        <v>778</v>
      </c>
      <c r="S688" s="18" t="s">
        <v>789</v>
      </c>
      <c r="T688" s="18" t="s">
        <v>782</v>
      </c>
      <c r="U6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88" s="19">
        <f>IF(AUDITORIA[[#This Row],[CAT]]="",0,1)</f>
        <v>1</v>
      </c>
      <c r="W688" s="20">
        <v>46163</v>
      </c>
      <c r="X688" s="21" t="str">
        <f>UPPER(IF(AUDITORIA[[#This Row],[DATA VERIFICAÇÃO]]="","",TEXT(AUDITORIA[[#This Row],[DATA VERIFICAÇÃO]],"mmm")))</f>
        <v>MAI</v>
      </c>
      <c r="Y688" t="s">
        <v>598</v>
      </c>
      <c r="Z688" t="s">
        <v>831</v>
      </c>
      <c r="AA688" t="s">
        <v>832</v>
      </c>
    </row>
    <row r="689" spans="1:27" ht="14.4" hidden="1" customHeight="1" x14ac:dyDescent="0.3">
      <c r="A689" s="4" t="s">
        <v>0</v>
      </c>
      <c r="B689" s="4" t="s">
        <v>17</v>
      </c>
      <c r="C689" s="16" t="s">
        <v>18</v>
      </c>
      <c r="D689" s="4">
        <v>10</v>
      </c>
      <c r="E689" s="4" t="s">
        <v>745</v>
      </c>
      <c r="F689" t="s">
        <v>110</v>
      </c>
      <c r="G689" t="s">
        <v>106</v>
      </c>
      <c r="J689" s="4" t="s">
        <v>19</v>
      </c>
      <c r="K689" s="4" t="s">
        <v>21</v>
      </c>
      <c r="L689" s="4" t="s">
        <v>742</v>
      </c>
      <c r="M689" s="17">
        <v>24</v>
      </c>
      <c r="N689" s="17">
        <v>1065</v>
      </c>
      <c r="O689" s="18" t="s">
        <v>19</v>
      </c>
      <c r="P689" s="18">
        <v>1065</v>
      </c>
      <c r="Q689" s="18">
        <v>24</v>
      </c>
      <c r="R689" s="18" t="s">
        <v>778</v>
      </c>
      <c r="S689" s="18" t="s">
        <v>783</v>
      </c>
      <c r="T689" s="18" t="s">
        <v>781</v>
      </c>
      <c r="U6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89" s="19">
        <f>IF(AUDITORIA[[#This Row],[CAT]]="",0,1)</f>
        <v>1</v>
      </c>
      <c r="W689" s="20">
        <v>46163</v>
      </c>
      <c r="X689" s="21" t="str">
        <f>UPPER(IF(AUDITORIA[[#This Row],[DATA VERIFICAÇÃO]]="","",TEXT(AUDITORIA[[#This Row],[DATA VERIFICAÇÃO]],"mmm")))</f>
        <v>MAI</v>
      </c>
      <c r="Y689" t="s">
        <v>598</v>
      </c>
      <c r="Z689" t="s">
        <v>831</v>
      </c>
      <c r="AA689" t="s">
        <v>832</v>
      </c>
    </row>
    <row r="690" spans="1:27" ht="14.4" hidden="1" customHeight="1" x14ac:dyDescent="0.3">
      <c r="A690" s="4" t="s">
        <v>0</v>
      </c>
      <c r="B690" s="4" t="s">
        <v>17</v>
      </c>
      <c r="C690" s="16" t="s">
        <v>18</v>
      </c>
      <c r="D690" s="4">
        <v>10</v>
      </c>
      <c r="E690" s="4" t="s">
        <v>745</v>
      </c>
      <c r="F690" t="s">
        <v>105</v>
      </c>
      <c r="G690" t="s">
        <v>106</v>
      </c>
      <c r="J690" s="4" t="s">
        <v>19</v>
      </c>
      <c r="K690" s="4" t="s">
        <v>21</v>
      </c>
      <c r="L690" s="4" t="s">
        <v>742</v>
      </c>
      <c r="M690" s="17">
        <v>23</v>
      </c>
      <c r="N690" s="17">
        <v>1077</v>
      </c>
      <c r="O690" s="18" t="s">
        <v>19</v>
      </c>
      <c r="P690" s="18">
        <v>1077</v>
      </c>
      <c r="Q690" s="18">
        <v>23</v>
      </c>
      <c r="R690" s="18" t="s">
        <v>778</v>
      </c>
      <c r="S690" s="18" t="s">
        <v>783</v>
      </c>
      <c r="T690" s="18" t="s">
        <v>780</v>
      </c>
      <c r="U6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90" s="19">
        <f>IF(AUDITORIA[[#This Row],[CAT]]="",0,1)</f>
        <v>1</v>
      </c>
      <c r="W690" s="20">
        <v>46163</v>
      </c>
      <c r="X690" s="21" t="str">
        <f>UPPER(IF(AUDITORIA[[#This Row],[DATA VERIFICAÇÃO]]="","",TEXT(AUDITORIA[[#This Row],[DATA VERIFICAÇÃO]],"mmm")))</f>
        <v>MAI</v>
      </c>
      <c r="Y690" t="s">
        <v>598</v>
      </c>
      <c r="Z690" t="s">
        <v>831</v>
      </c>
      <c r="AA690" t="s">
        <v>832</v>
      </c>
    </row>
    <row r="691" spans="1:27" ht="14.4" hidden="1" customHeight="1" x14ac:dyDescent="0.3">
      <c r="A691" s="4" t="s">
        <v>0</v>
      </c>
      <c r="B691" s="4" t="s">
        <v>17</v>
      </c>
      <c r="C691" s="16" t="s">
        <v>18</v>
      </c>
      <c r="D691" s="4">
        <v>10</v>
      </c>
      <c r="E691" s="4" t="s">
        <v>745</v>
      </c>
      <c r="F691" t="s">
        <v>51</v>
      </c>
      <c r="G691" t="s">
        <v>34</v>
      </c>
      <c r="J691" s="4" t="s">
        <v>31</v>
      </c>
      <c r="K691" s="4" t="s">
        <v>20</v>
      </c>
      <c r="L691" s="4" t="s">
        <v>742</v>
      </c>
      <c r="M691" s="17">
        <v>30</v>
      </c>
      <c r="N691" s="17">
        <v>695</v>
      </c>
      <c r="O691" s="18" t="s">
        <v>31</v>
      </c>
      <c r="P691" s="18">
        <v>695</v>
      </c>
      <c r="Q691" s="18">
        <v>30</v>
      </c>
      <c r="R691" s="18" t="s">
        <v>814</v>
      </c>
      <c r="S691" s="18" t="s">
        <v>827</v>
      </c>
      <c r="T691" s="18" t="s">
        <v>780</v>
      </c>
      <c r="U6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91" s="19">
        <f>IF(AUDITORIA[[#This Row],[CAT]]="",0,1)</f>
        <v>1</v>
      </c>
      <c r="W691" s="20">
        <v>46163</v>
      </c>
      <c r="X691" s="21" t="str">
        <f>UPPER(IF(AUDITORIA[[#This Row],[DATA VERIFICAÇÃO]]="","",TEXT(AUDITORIA[[#This Row],[DATA VERIFICAÇÃO]],"mmm")))</f>
        <v>MAI</v>
      </c>
      <c r="Y691" t="s">
        <v>598</v>
      </c>
      <c r="Z691" t="s">
        <v>831</v>
      </c>
      <c r="AA691" t="s">
        <v>832</v>
      </c>
    </row>
    <row r="692" spans="1:27" ht="14.4" hidden="1" customHeight="1" x14ac:dyDescent="0.3">
      <c r="A692" s="4" t="s">
        <v>0</v>
      </c>
      <c r="B692" s="4" t="s">
        <v>17</v>
      </c>
      <c r="C692" s="16" t="s">
        <v>18</v>
      </c>
      <c r="D692" s="4">
        <v>10</v>
      </c>
      <c r="E692" s="4" t="s">
        <v>745</v>
      </c>
      <c r="F692" t="s">
        <v>50</v>
      </c>
      <c r="G692" t="s">
        <v>34</v>
      </c>
      <c r="J692" s="4" t="s">
        <v>31</v>
      </c>
      <c r="K692" s="4" t="s">
        <v>20</v>
      </c>
      <c r="L692" s="4" t="s">
        <v>742</v>
      </c>
      <c r="M692" s="17">
        <v>30</v>
      </c>
      <c r="N692" s="17">
        <v>651</v>
      </c>
      <c r="O692" s="18" t="s">
        <v>31</v>
      </c>
      <c r="P692" s="18">
        <v>651</v>
      </c>
      <c r="Q692" s="18">
        <v>30</v>
      </c>
      <c r="R692" s="18" t="s">
        <v>814</v>
      </c>
      <c r="S692" s="18" t="s">
        <v>790</v>
      </c>
      <c r="T692" s="18" t="s">
        <v>781</v>
      </c>
      <c r="U6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92" s="19">
        <f>IF(AUDITORIA[[#This Row],[CAT]]="",0,1)</f>
        <v>1</v>
      </c>
      <c r="W692" s="20">
        <v>46163</v>
      </c>
      <c r="X692" s="21" t="str">
        <f>UPPER(IF(AUDITORIA[[#This Row],[DATA VERIFICAÇÃO]]="","",TEXT(AUDITORIA[[#This Row],[DATA VERIFICAÇÃO]],"mmm")))</f>
        <v>MAI</v>
      </c>
      <c r="Y692" t="s">
        <v>598</v>
      </c>
      <c r="Z692" t="s">
        <v>831</v>
      </c>
      <c r="AA692" t="s">
        <v>832</v>
      </c>
    </row>
    <row r="693" spans="1:27" ht="14.4" hidden="1" customHeight="1" x14ac:dyDescent="0.3">
      <c r="A693" s="4" t="s">
        <v>0</v>
      </c>
      <c r="B693" s="4" t="s">
        <v>17</v>
      </c>
      <c r="C693" s="16" t="s">
        <v>18</v>
      </c>
      <c r="D693" s="4">
        <v>10</v>
      </c>
      <c r="E693" s="4" t="s">
        <v>745</v>
      </c>
      <c r="F693" t="s">
        <v>47</v>
      </c>
      <c r="G693" t="s">
        <v>34</v>
      </c>
      <c r="J693" s="4" t="s">
        <v>31</v>
      </c>
      <c r="K693" s="4" t="s">
        <v>20</v>
      </c>
      <c r="L693" s="4" t="s">
        <v>742</v>
      </c>
      <c r="M693" s="17">
        <v>30</v>
      </c>
      <c r="N693" s="17">
        <v>646</v>
      </c>
      <c r="O693" s="18" t="s">
        <v>31</v>
      </c>
      <c r="P693" s="18">
        <v>646</v>
      </c>
      <c r="Q693" s="18">
        <v>30</v>
      </c>
      <c r="R693" s="18" t="s">
        <v>814</v>
      </c>
      <c r="S693" s="18" t="s">
        <v>790</v>
      </c>
      <c r="T693" s="18" t="s">
        <v>780</v>
      </c>
      <c r="U6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93" s="19">
        <f>IF(AUDITORIA[[#This Row],[CAT]]="",0,1)</f>
        <v>1</v>
      </c>
      <c r="W693" s="20">
        <v>46163</v>
      </c>
      <c r="X693" s="21" t="str">
        <f>UPPER(IF(AUDITORIA[[#This Row],[DATA VERIFICAÇÃO]]="","",TEXT(AUDITORIA[[#This Row],[DATA VERIFICAÇÃO]],"mmm")))</f>
        <v>MAI</v>
      </c>
      <c r="Y693" t="s">
        <v>598</v>
      </c>
      <c r="Z693" t="s">
        <v>831</v>
      </c>
      <c r="AA693" t="s">
        <v>832</v>
      </c>
    </row>
    <row r="694" spans="1:27" ht="14.4" hidden="1" customHeight="1" x14ac:dyDescent="0.3">
      <c r="A694" s="4" t="s">
        <v>0</v>
      </c>
      <c r="B694" s="4" t="s">
        <v>17</v>
      </c>
      <c r="C694" s="16" t="s">
        <v>18</v>
      </c>
      <c r="D694" s="4">
        <v>10</v>
      </c>
      <c r="E694" s="4" t="s">
        <v>745</v>
      </c>
      <c r="F694" t="s">
        <v>45</v>
      </c>
      <c r="G694" t="s">
        <v>34</v>
      </c>
      <c r="J694" s="4" t="s">
        <v>31</v>
      </c>
      <c r="K694" s="4" t="s">
        <v>20</v>
      </c>
      <c r="L694" s="4" t="s">
        <v>742</v>
      </c>
      <c r="M694" s="17">
        <v>30</v>
      </c>
      <c r="N694" s="17">
        <v>648</v>
      </c>
      <c r="O694" s="18" t="s">
        <v>31</v>
      </c>
      <c r="P694" s="18">
        <v>648</v>
      </c>
      <c r="Q694" s="18">
        <v>30</v>
      </c>
      <c r="R694" s="18" t="s">
        <v>814</v>
      </c>
      <c r="S694" s="18" t="s">
        <v>790</v>
      </c>
      <c r="T694" s="18" t="s">
        <v>782</v>
      </c>
      <c r="U6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94" s="19">
        <f>IF(AUDITORIA[[#This Row],[CAT]]="",0,1)</f>
        <v>1</v>
      </c>
      <c r="W694" s="20">
        <v>46163</v>
      </c>
      <c r="X694" s="21" t="str">
        <f>UPPER(IF(AUDITORIA[[#This Row],[DATA VERIFICAÇÃO]]="","",TEXT(AUDITORIA[[#This Row],[DATA VERIFICAÇÃO]],"mmm")))</f>
        <v>MAI</v>
      </c>
      <c r="Y694" t="s">
        <v>598</v>
      </c>
      <c r="Z694" t="s">
        <v>831</v>
      </c>
      <c r="AA694" t="s">
        <v>832</v>
      </c>
    </row>
    <row r="695" spans="1:27" ht="14.4" hidden="1" customHeight="1" x14ac:dyDescent="0.3">
      <c r="A695" s="4" t="s">
        <v>0</v>
      </c>
      <c r="B695" s="4" t="s">
        <v>17</v>
      </c>
      <c r="C695" s="16" t="s">
        <v>18</v>
      </c>
      <c r="D695" s="4">
        <v>10</v>
      </c>
      <c r="E695" s="4" t="s">
        <v>745</v>
      </c>
      <c r="F695" t="s">
        <v>42</v>
      </c>
      <c r="G695" t="s">
        <v>34</v>
      </c>
      <c r="J695" s="4" t="s">
        <v>31</v>
      </c>
      <c r="K695" s="4" t="s">
        <v>20</v>
      </c>
      <c r="L695" s="4" t="s">
        <v>742</v>
      </c>
      <c r="M695" s="17">
        <v>30</v>
      </c>
      <c r="N695" s="17">
        <v>643</v>
      </c>
      <c r="O695" s="18" t="s">
        <v>31</v>
      </c>
      <c r="P695" s="18">
        <v>643</v>
      </c>
      <c r="Q695" s="18">
        <v>30</v>
      </c>
      <c r="R695" s="18" t="s">
        <v>814</v>
      </c>
      <c r="S695" s="18" t="s">
        <v>827</v>
      </c>
      <c r="T695" s="18" t="s">
        <v>781</v>
      </c>
      <c r="U6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95" s="19">
        <f>IF(AUDITORIA[[#This Row],[CAT]]="",0,1)</f>
        <v>1</v>
      </c>
      <c r="W695" s="20">
        <v>46163</v>
      </c>
      <c r="X695" s="21" t="str">
        <f>UPPER(IF(AUDITORIA[[#This Row],[DATA VERIFICAÇÃO]]="","",TEXT(AUDITORIA[[#This Row],[DATA VERIFICAÇÃO]],"mmm")))</f>
        <v>MAI</v>
      </c>
      <c r="Y695" t="s">
        <v>598</v>
      </c>
      <c r="Z695" t="s">
        <v>831</v>
      </c>
      <c r="AA695" t="s">
        <v>832</v>
      </c>
    </row>
    <row r="696" spans="1:27" ht="14.4" hidden="1" customHeight="1" x14ac:dyDescent="0.3">
      <c r="A696" s="4" t="s">
        <v>0</v>
      </c>
      <c r="B696" s="4" t="s">
        <v>17</v>
      </c>
      <c r="C696" s="16" t="s">
        <v>18</v>
      </c>
      <c r="D696" s="4">
        <v>10</v>
      </c>
      <c r="E696" s="4" t="s">
        <v>745</v>
      </c>
      <c r="F696" t="s">
        <v>40</v>
      </c>
      <c r="G696" t="s">
        <v>34</v>
      </c>
      <c r="J696" s="4" t="s">
        <v>31</v>
      </c>
      <c r="K696" s="4" t="s">
        <v>20</v>
      </c>
      <c r="L696" s="4" t="s">
        <v>742</v>
      </c>
      <c r="M696" s="17">
        <v>30</v>
      </c>
      <c r="N696" s="17">
        <v>644</v>
      </c>
      <c r="O696" s="18" t="s">
        <v>31</v>
      </c>
      <c r="P696" s="18">
        <v>644</v>
      </c>
      <c r="Q696" s="18">
        <v>30</v>
      </c>
      <c r="R696" s="18" t="s">
        <v>814</v>
      </c>
      <c r="S696" s="18" t="s">
        <v>804</v>
      </c>
      <c r="T696" s="18" t="s">
        <v>782</v>
      </c>
      <c r="U6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96" s="19">
        <f>IF(AUDITORIA[[#This Row],[CAT]]="",0,1)</f>
        <v>1</v>
      </c>
      <c r="W696" s="20">
        <v>46163</v>
      </c>
      <c r="X696" s="21" t="str">
        <f>UPPER(IF(AUDITORIA[[#This Row],[DATA VERIFICAÇÃO]]="","",TEXT(AUDITORIA[[#This Row],[DATA VERIFICAÇÃO]],"mmm")))</f>
        <v>MAI</v>
      </c>
      <c r="Y696" t="s">
        <v>598</v>
      </c>
      <c r="Z696" t="s">
        <v>831</v>
      </c>
      <c r="AA696" t="s">
        <v>832</v>
      </c>
    </row>
    <row r="697" spans="1:27" ht="14.4" hidden="1" customHeight="1" x14ac:dyDescent="0.3">
      <c r="A697" s="4" t="s">
        <v>0</v>
      </c>
      <c r="B697" s="4" t="s">
        <v>17</v>
      </c>
      <c r="C697" s="16" t="s">
        <v>18</v>
      </c>
      <c r="D697" s="4">
        <v>10</v>
      </c>
      <c r="E697" s="4" t="s">
        <v>745</v>
      </c>
      <c r="F697" t="s">
        <v>37</v>
      </c>
      <c r="G697" t="s">
        <v>34</v>
      </c>
      <c r="J697" s="4" t="s">
        <v>31</v>
      </c>
      <c r="K697" s="4" t="s">
        <v>20</v>
      </c>
      <c r="L697" s="4" t="s">
        <v>742</v>
      </c>
      <c r="M697" s="17">
        <v>30</v>
      </c>
      <c r="N697" s="17">
        <v>638</v>
      </c>
      <c r="O697" s="18" t="s">
        <v>31</v>
      </c>
      <c r="P697" s="18">
        <v>638</v>
      </c>
      <c r="Q697" s="18">
        <v>30</v>
      </c>
      <c r="R697" s="18" t="s">
        <v>814</v>
      </c>
      <c r="S697" s="18" t="s">
        <v>827</v>
      </c>
      <c r="T697" s="18" t="s">
        <v>782</v>
      </c>
      <c r="U6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97" s="19">
        <f>IF(AUDITORIA[[#This Row],[CAT]]="",0,1)</f>
        <v>1</v>
      </c>
      <c r="W697" s="20">
        <v>46163</v>
      </c>
      <c r="X697" s="21" t="str">
        <f>UPPER(IF(AUDITORIA[[#This Row],[DATA VERIFICAÇÃO]]="","",TEXT(AUDITORIA[[#This Row],[DATA VERIFICAÇÃO]],"mmm")))</f>
        <v>MAI</v>
      </c>
      <c r="Y697" t="s">
        <v>598</v>
      </c>
      <c r="Z697" t="s">
        <v>831</v>
      </c>
      <c r="AA697" t="s">
        <v>832</v>
      </c>
    </row>
    <row r="698" spans="1:27" ht="14.4" hidden="1" customHeight="1" x14ac:dyDescent="0.3">
      <c r="A698" s="4" t="s">
        <v>0</v>
      </c>
      <c r="B698" s="4" t="s">
        <v>17</v>
      </c>
      <c r="C698" s="16" t="s">
        <v>18</v>
      </c>
      <c r="D698" s="4">
        <v>10</v>
      </c>
      <c r="E698" s="4" t="s">
        <v>745</v>
      </c>
      <c r="F698" t="s">
        <v>35</v>
      </c>
      <c r="G698" t="s">
        <v>34</v>
      </c>
      <c r="J698" s="4" t="s">
        <v>31</v>
      </c>
      <c r="K698" s="4" t="s">
        <v>20</v>
      </c>
      <c r="L698" s="4" t="s">
        <v>742</v>
      </c>
      <c r="M698" s="17">
        <v>30</v>
      </c>
      <c r="N698" s="17">
        <v>636</v>
      </c>
      <c r="O698" s="18" t="s">
        <v>31</v>
      </c>
      <c r="P698" s="18">
        <v>636</v>
      </c>
      <c r="Q698" s="18">
        <v>30</v>
      </c>
      <c r="R698" s="18" t="s">
        <v>814</v>
      </c>
      <c r="S698" s="18" t="s">
        <v>827</v>
      </c>
      <c r="T698" s="18" t="s">
        <v>794</v>
      </c>
      <c r="U6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98" s="19">
        <f>IF(AUDITORIA[[#This Row],[CAT]]="",0,1)</f>
        <v>1</v>
      </c>
      <c r="W698" s="20">
        <v>46163</v>
      </c>
      <c r="X698" s="21" t="str">
        <f>UPPER(IF(AUDITORIA[[#This Row],[DATA VERIFICAÇÃO]]="","",TEXT(AUDITORIA[[#This Row],[DATA VERIFICAÇÃO]],"mmm")))</f>
        <v>MAI</v>
      </c>
      <c r="Y698" t="s">
        <v>598</v>
      </c>
      <c r="Z698" t="s">
        <v>831</v>
      </c>
      <c r="AA698" t="s">
        <v>832</v>
      </c>
    </row>
    <row r="699" spans="1:27" ht="14.4" hidden="1" customHeight="1" x14ac:dyDescent="0.3">
      <c r="A699" s="4" t="s">
        <v>0</v>
      </c>
      <c r="B699" s="4" t="s">
        <v>17</v>
      </c>
      <c r="C699" s="16" t="s">
        <v>18</v>
      </c>
      <c r="D699" s="4">
        <v>10</v>
      </c>
      <c r="E699" s="4" t="s">
        <v>745</v>
      </c>
      <c r="F699" t="s">
        <v>52</v>
      </c>
      <c r="G699" t="s">
        <v>34</v>
      </c>
      <c r="J699" s="4" t="s">
        <v>31</v>
      </c>
      <c r="K699" s="4" t="s">
        <v>21</v>
      </c>
      <c r="L699" s="4" t="s">
        <v>742</v>
      </c>
      <c r="M699" s="17">
        <v>30</v>
      </c>
      <c r="N699" s="17">
        <v>819</v>
      </c>
      <c r="O699" s="18" t="s">
        <v>31</v>
      </c>
      <c r="P699" s="18">
        <v>819</v>
      </c>
      <c r="Q699" s="18">
        <v>30</v>
      </c>
      <c r="R699" s="18" t="s">
        <v>814</v>
      </c>
      <c r="S699" s="18" t="s">
        <v>828</v>
      </c>
      <c r="T699" s="18" t="s">
        <v>782</v>
      </c>
      <c r="U6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699" s="19">
        <f>IF(AUDITORIA[[#This Row],[CAT]]="",0,1)</f>
        <v>1</v>
      </c>
      <c r="W699" s="20">
        <v>46163</v>
      </c>
      <c r="X699" s="21" t="str">
        <f>UPPER(IF(AUDITORIA[[#This Row],[DATA VERIFICAÇÃO]]="","",TEXT(AUDITORIA[[#This Row],[DATA VERIFICAÇÃO]],"mmm")))</f>
        <v>MAI</v>
      </c>
      <c r="Y699" t="s">
        <v>598</v>
      </c>
      <c r="Z699" t="s">
        <v>831</v>
      </c>
      <c r="AA699" t="s">
        <v>832</v>
      </c>
    </row>
    <row r="700" spans="1:27" ht="14.4" hidden="1" customHeight="1" x14ac:dyDescent="0.3">
      <c r="A700" s="4" t="s">
        <v>0</v>
      </c>
      <c r="B700" s="4" t="s">
        <v>17</v>
      </c>
      <c r="C700" s="16" t="s">
        <v>18</v>
      </c>
      <c r="D700" s="4">
        <v>10</v>
      </c>
      <c r="E700" s="4" t="s">
        <v>745</v>
      </c>
      <c r="F700" t="s">
        <v>49</v>
      </c>
      <c r="G700" t="s">
        <v>34</v>
      </c>
      <c r="J700" s="4" t="s">
        <v>31</v>
      </c>
      <c r="K700" s="4" t="s">
        <v>21</v>
      </c>
      <c r="L700" s="4" t="s">
        <v>742</v>
      </c>
      <c r="M700" s="17">
        <v>30</v>
      </c>
      <c r="N700" s="17">
        <v>802</v>
      </c>
      <c r="O700" s="18" t="s">
        <v>31</v>
      </c>
      <c r="P700" s="18">
        <v>802</v>
      </c>
      <c r="Q700" s="18">
        <v>30</v>
      </c>
      <c r="R700" s="18" t="s">
        <v>814</v>
      </c>
      <c r="S700" s="18" t="s">
        <v>788</v>
      </c>
      <c r="T700" s="18" t="s">
        <v>781</v>
      </c>
      <c r="U7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00" s="19">
        <f>IF(AUDITORIA[[#This Row],[CAT]]="",0,1)</f>
        <v>1</v>
      </c>
      <c r="W700" s="20">
        <v>46163</v>
      </c>
      <c r="X700" s="21" t="str">
        <f>UPPER(IF(AUDITORIA[[#This Row],[DATA VERIFICAÇÃO]]="","",TEXT(AUDITORIA[[#This Row],[DATA VERIFICAÇÃO]],"mmm")))</f>
        <v>MAI</v>
      </c>
      <c r="Y700" t="s">
        <v>598</v>
      </c>
      <c r="Z700" t="s">
        <v>831</v>
      </c>
      <c r="AA700" t="s">
        <v>832</v>
      </c>
    </row>
    <row r="701" spans="1:27" ht="14.4" hidden="1" customHeight="1" x14ac:dyDescent="0.3">
      <c r="A701" s="4" t="s">
        <v>0</v>
      </c>
      <c r="B701" s="4" t="s">
        <v>17</v>
      </c>
      <c r="C701" s="16" t="s">
        <v>18</v>
      </c>
      <c r="D701" s="4">
        <v>10</v>
      </c>
      <c r="E701" s="4" t="s">
        <v>745</v>
      </c>
      <c r="F701" t="s">
        <v>48</v>
      </c>
      <c r="G701" t="s">
        <v>34</v>
      </c>
      <c r="J701" s="4" t="s">
        <v>31</v>
      </c>
      <c r="K701" s="4" t="s">
        <v>21</v>
      </c>
      <c r="L701" s="4" t="s">
        <v>742</v>
      </c>
      <c r="M701" s="17">
        <v>30</v>
      </c>
      <c r="N701" s="17">
        <v>815</v>
      </c>
      <c r="O701" s="18" t="s">
        <v>31</v>
      </c>
      <c r="P701" s="18">
        <v>815</v>
      </c>
      <c r="Q701" s="18">
        <v>30</v>
      </c>
      <c r="R701" s="18" t="s">
        <v>814</v>
      </c>
      <c r="S701" s="18" t="s">
        <v>788</v>
      </c>
      <c r="T701" s="18" t="s">
        <v>780</v>
      </c>
      <c r="U7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01" s="19">
        <f>IF(AUDITORIA[[#This Row],[CAT]]="",0,1)</f>
        <v>1</v>
      </c>
      <c r="W701" s="20">
        <v>46163</v>
      </c>
      <c r="X701" s="21" t="str">
        <f>UPPER(IF(AUDITORIA[[#This Row],[DATA VERIFICAÇÃO]]="","",TEXT(AUDITORIA[[#This Row],[DATA VERIFICAÇÃO]],"mmm")))</f>
        <v>MAI</v>
      </c>
      <c r="Y701" t="s">
        <v>598</v>
      </c>
      <c r="Z701" t="s">
        <v>831</v>
      </c>
      <c r="AA701" t="s">
        <v>832</v>
      </c>
    </row>
    <row r="702" spans="1:27" ht="14.4" hidden="1" customHeight="1" x14ac:dyDescent="0.3">
      <c r="A702" s="4" t="s">
        <v>0</v>
      </c>
      <c r="B702" s="4" t="s">
        <v>17</v>
      </c>
      <c r="C702" s="16" t="s">
        <v>18</v>
      </c>
      <c r="D702" s="4">
        <v>10</v>
      </c>
      <c r="E702" s="4" t="s">
        <v>745</v>
      </c>
      <c r="F702" t="s">
        <v>46</v>
      </c>
      <c r="G702" t="s">
        <v>34</v>
      </c>
      <c r="J702" s="4" t="s">
        <v>31</v>
      </c>
      <c r="K702" s="4" t="s">
        <v>21</v>
      </c>
      <c r="L702" s="4" t="s">
        <v>742</v>
      </c>
      <c r="M702" s="17">
        <v>30</v>
      </c>
      <c r="N702" s="17">
        <v>796</v>
      </c>
      <c r="O702" s="18" t="s">
        <v>31</v>
      </c>
      <c r="P702" s="18">
        <v>796</v>
      </c>
      <c r="Q702" s="18">
        <v>30</v>
      </c>
      <c r="R702" s="18" t="s">
        <v>814</v>
      </c>
      <c r="S702" s="18" t="s">
        <v>791</v>
      </c>
      <c r="T702" s="18" t="s">
        <v>780</v>
      </c>
      <c r="U7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02" s="19">
        <f>IF(AUDITORIA[[#This Row],[CAT]]="",0,1)</f>
        <v>1</v>
      </c>
      <c r="W702" s="20">
        <v>46163</v>
      </c>
      <c r="X702" s="21" t="str">
        <f>UPPER(IF(AUDITORIA[[#This Row],[DATA VERIFICAÇÃO]]="","",TEXT(AUDITORIA[[#This Row],[DATA VERIFICAÇÃO]],"mmm")))</f>
        <v>MAI</v>
      </c>
      <c r="Y702" t="s">
        <v>598</v>
      </c>
      <c r="Z702" t="s">
        <v>831</v>
      </c>
      <c r="AA702" t="s">
        <v>832</v>
      </c>
    </row>
    <row r="703" spans="1:27" ht="14.4" hidden="1" customHeight="1" x14ac:dyDescent="0.3">
      <c r="A703" s="4" t="s">
        <v>0</v>
      </c>
      <c r="B703" s="4" t="s">
        <v>17</v>
      </c>
      <c r="C703" s="16" t="s">
        <v>18</v>
      </c>
      <c r="D703" s="4">
        <v>10</v>
      </c>
      <c r="E703" s="4" t="s">
        <v>745</v>
      </c>
      <c r="F703" t="s">
        <v>44</v>
      </c>
      <c r="G703" t="s">
        <v>34</v>
      </c>
      <c r="J703" s="4" t="s">
        <v>31</v>
      </c>
      <c r="K703" s="4" t="s">
        <v>21</v>
      </c>
      <c r="L703" s="4" t="s">
        <v>742</v>
      </c>
      <c r="M703" s="17">
        <v>30</v>
      </c>
      <c r="N703" s="17">
        <v>794</v>
      </c>
      <c r="O703" s="18" t="s">
        <v>31</v>
      </c>
      <c r="P703" s="18">
        <v>794</v>
      </c>
      <c r="Q703" s="18">
        <v>30</v>
      </c>
      <c r="R703" s="18" t="s">
        <v>814</v>
      </c>
      <c r="S703" s="18" t="s">
        <v>791</v>
      </c>
      <c r="T703" s="18" t="s">
        <v>781</v>
      </c>
      <c r="U7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03" s="19">
        <f>IF(AUDITORIA[[#This Row],[CAT]]="",0,1)</f>
        <v>1</v>
      </c>
      <c r="W703" s="20">
        <v>46163</v>
      </c>
      <c r="X703" s="21" t="str">
        <f>UPPER(IF(AUDITORIA[[#This Row],[DATA VERIFICAÇÃO]]="","",TEXT(AUDITORIA[[#This Row],[DATA VERIFICAÇÃO]],"mmm")))</f>
        <v>MAI</v>
      </c>
      <c r="Y703" t="s">
        <v>598</v>
      </c>
      <c r="Z703" t="s">
        <v>831</v>
      </c>
      <c r="AA703" t="s">
        <v>832</v>
      </c>
    </row>
    <row r="704" spans="1:27" ht="14.4" hidden="1" customHeight="1" x14ac:dyDescent="0.3">
      <c r="A704" s="4" t="s">
        <v>0</v>
      </c>
      <c r="B704" s="4" t="s">
        <v>17</v>
      </c>
      <c r="C704" s="16" t="s">
        <v>18</v>
      </c>
      <c r="D704" s="4">
        <v>10</v>
      </c>
      <c r="E704" s="4" t="s">
        <v>745</v>
      </c>
      <c r="F704" t="s">
        <v>43</v>
      </c>
      <c r="G704" t="s">
        <v>34</v>
      </c>
      <c r="J704" s="4" t="s">
        <v>31</v>
      </c>
      <c r="K704" s="4" t="s">
        <v>21</v>
      </c>
      <c r="L704" s="4" t="s">
        <v>742</v>
      </c>
      <c r="M704" s="17">
        <v>30</v>
      </c>
      <c r="N704" s="17">
        <v>793</v>
      </c>
      <c r="O704" s="18" t="s">
        <v>31</v>
      </c>
      <c r="P704" s="18">
        <v>793</v>
      </c>
      <c r="Q704" s="18">
        <v>30</v>
      </c>
      <c r="R704" s="18" t="s">
        <v>814</v>
      </c>
      <c r="S704" s="18" t="s">
        <v>788</v>
      </c>
      <c r="T704" s="18" t="s">
        <v>782</v>
      </c>
      <c r="U7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04" s="19">
        <f>IF(AUDITORIA[[#This Row],[CAT]]="",0,1)</f>
        <v>1</v>
      </c>
      <c r="W704" s="20">
        <v>46163</v>
      </c>
      <c r="X704" s="21" t="str">
        <f>UPPER(IF(AUDITORIA[[#This Row],[DATA VERIFICAÇÃO]]="","",TEXT(AUDITORIA[[#This Row],[DATA VERIFICAÇÃO]],"mmm")))</f>
        <v>MAI</v>
      </c>
      <c r="Y704" t="s">
        <v>598</v>
      </c>
      <c r="Z704" t="s">
        <v>831</v>
      </c>
      <c r="AA704" t="s">
        <v>832</v>
      </c>
    </row>
    <row r="705" spans="1:27" ht="14.4" hidden="1" customHeight="1" x14ac:dyDescent="0.3">
      <c r="A705" s="4" t="s">
        <v>0</v>
      </c>
      <c r="B705" s="4" t="s">
        <v>17</v>
      </c>
      <c r="C705" s="16" t="s">
        <v>18</v>
      </c>
      <c r="D705" s="4">
        <v>10</v>
      </c>
      <c r="E705" s="4" t="s">
        <v>745</v>
      </c>
      <c r="F705" t="s">
        <v>41</v>
      </c>
      <c r="G705" t="s">
        <v>34</v>
      </c>
      <c r="J705" s="4" t="s">
        <v>31</v>
      </c>
      <c r="K705" s="4" t="s">
        <v>21</v>
      </c>
      <c r="L705" s="4" t="s">
        <v>742</v>
      </c>
      <c r="M705" s="17">
        <v>30</v>
      </c>
      <c r="N705" s="17">
        <v>791</v>
      </c>
      <c r="O705" s="18" t="s">
        <v>31</v>
      </c>
      <c r="P705" s="18">
        <v>791</v>
      </c>
      <c r="Q705" s="18">
        <v>30</v>
      </c>
      <c r="R705" s="18" t="s">
        <v>814</v>
      </c>
      <c r="S705" s="18" t="s">
        <v>791</v>
      </c>
      <c r="T705" s="18" t="s">
        <v>782</v>
      </c>
      <c r="U7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05" s="19">
        <f>IF(AUDITORIA[[#This Row],[CAT]]="",0,1)</f>
        <v>1</v>
      </c>
      <c r="W705" s="20">
        <v>46163</v>
      </c>
      <c r="X705" s="21" t="str">
        <f>UPPER(IF(AUDITORIA[[#This Row],[DATA VERIFICAÇÃO]]="","",TEXT(AUDITORIA[[#This Row],[DATA VERIFICAÇÃO]],"mmm")))</f>
        <v>MAI</v>
      </c>
      <c r="Y705" t="s">
        <v>598</v>
      </c>
      <c r="Z705" t="s">
        <v>831</v>
      </c>
      <c r="AA705" t="s">
        <v>832</v>
      </c>
    </row>
    <row r="706" spans="1:27" ht="14.4" hidden="1" customHeight="1" x14ac:dyDescent="0.3">
      <c r="A706" s="4" t="s">
        <v>0</v>
      </c>
      <c r="B706" s="4" t="s">
        <v>17</v>
      </c>
      <c r="C706" s="16" t="s">
        <v>18</v>
      </c>
      <c r="D706" s="4">
        <v>10</v>
      </c>
      <c r="E706" s="4" t="s">
        <v>745</v>
      </c>
      <c r="F706" t="s">
        <v>39</v>
      </c>
      <c r="G706" t="s">
        <v>34</v>
      </c>
      <c r="J706" s="4" t="s">
        <v>31</v>
      </c>
      <c r="K706" s="4" t="s">
        <v>21</v>
      </c>
      <c r="L706" s="4" t="s">
        <v>742</v>
      </c>
      <c r="M706" s="17">
        <v>30</v>
      </c>
      <c r="N706" s="17">
        <v>804</v>
      </c>
      <c r="O706" s="18" t="s">
        <v>31</v>
      </c>
      <c r="P706" s="18">
        <v>804</v>
      </c>
      <c r="Q706" s="18">
        <v>30</v>
      </c>
      <c r="R706" s="18" t="s">
        <v>814</v>
      </c>
      <c r="S706" s="18" t="s">
        <v>828</v>
      </c>
      <c r="T706" s="18" t="s">
        <v>781</v>
      </c>
      <c r="U7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06" s="19">
        <f>IF(AUDITORIA[[#This Row],[CAT]]="",0,1)</f>
        <v>1</v>
      </c>
      <c r="W706" s="20">
        <v>46163</v>
      </c>
      <c r="X706" s="21" t="str">
        <f>UPPER(IF(AUDITORIA[[#This Row],[DATA VERIFICAÇÃO]]="","",TEXT(AUDITORIA[[#This Row],[DATA VERIFICAÇÃO]],"mmm")))</f>
        <v>MAI</v>
      </c>
      <c r="Y706" t="s">
        <v>598</v>
      </c>
      <c r="Z706" t="s">
        <v>831</v>
      </c>
      <c r="AA706" t="s">
        <v>832</v>
      </c>
    </row>
    <row r="707" spans="1:27" ht="14.4" hidden="1" customHeight="1" x14ac:dyDescent="0.3">
      <c r="A707" s="4" t="s">
        <v>0</v>
      </c>
      <c r="B707" s="4" t="s">
        <v>17</v>
      </c>
      <c r="C707" s="16" t="s">
        <v>18</v>
      </c>
      <c r="D707" s="4">
        <v>10</v>
      </c>
      <c r="E707" s="4" t="s">
        <v>745</v>
      </c>
      <c r="F707" t="s">
        <v>38</v>
      </c>
      <c r="G707" t="s">
        <v>34</v>
      </c>
      <c r="J707" s="4" t="s">
        <v>31</v>
      </c>
      <c r="K707" s="4" t="s">
        <v>21</v>
      </c>
      <c r="L707" s="4" t="s">
        <v>742</v>
      </c>
      <c r="M707" s="17">
        <v>30</v>
      </c>
      <c r="N707" s="17">
        <v>787</v>
      </c>
      <c r="O707" s="18" t="s">
        <v>31</v>
      </c>
      <c r="P707" s="18">
        <v>787</v>
      </c>
      <c r="Q707" s="18">
        <v>30</v>
      </c>
      <c r="R707" s="18" t="s">
        <v>814</v>
      </c>
      <c r="S707" s="18" t="s">
        <v>828</v>
      </c>
      <c r="T707" s="18" t="s">
        <v>794</v>
      </c>
      <c r="U7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07" s="19">
        <f>IF(AUDITORIA[[#This Row],[CAT]]="",0,1)</f>
        <v>1</v>
      </c>
      <c r="W707" s="20">
        <v>46163</v>
      </c>
      <c r="X707" s="21" t="str">
        <f>UPPER(IF(AUDITORIA[[#This Row],[DATA VERIFICAÇÃO]]="","",TEXT(AUDITORIA[[#This Row],[DATA VERIFICAÇÃO]],"mmm")))</f>
        <v>MAI</v>
      </c>
      <c r="Y707" t="s">
        <v>598</v>
      </c>
      <c r="Z707" t="s">
        <v>831</v>
      </c>
      <c r="AA707" t="s">
        <v>832</v>
      </c>
    </row>
    <row r="708" spans="1:27" ht="14.4" hidden="1" customHeight="1" x14ac:dyDescent="0.3">
      <c r="A708" s="4" t="s">
        <v>0</v>
      </c>
      <c r="B708" s="4" t="s">
        <v>17</v>
      </c>
      <c r="C708" s="16" t="s">
        <v>18</v>
      </c>
      <c r="D708" s="4">
        <v>10</v>
      </c>
      <c r="E708" s="4" t="s">
        <v>745</v>
      </c>
      <c r="F708" t="s">
        <v>36</v>
      </c>
      <c r="G708" t="s">
        <v>34</v>
      </c>
      <c r="J708" s="4" t="s">
        <v>31</v>
      </c>
      <c r="K708" s="4" t="s">
        <v>21</v>
      </c>
      <c r="L708" s="4" t="s">
        <v>742</v>
      </c>
      <c r="M708" s="17">
        <v>30</v>
      </c>
      <c r="N708" s="17">
        <v>792</v>
      </c>
      <c r="O708" s="18" t="s">
        <v>31</v>
      </c>
      <c r="P708" s="18">
        <v>792</v>
      </c>
      <c r="Q708" s="18">
        <v>30</v>
      </c>
      <c r="R708" s="18" t="s">
        <v>814</v>
      </c>
      <c r="S708" s="18" t="s">
        <v>828</v>
      </c>
      <c r="T708" s="18" t="s">
        <v>780</v>
      </c>
      <c r="U7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08" s="19">
        <f>IF(AUDITORIA[[#This Row],[CAT]]="",0,1)</f>
        <v>1</v>
      </c>
      <c r="W708" s="20">
        <v>46163</v>
      </c>
      <c r="X708" s="21" t="str">
        <f>UPPER(IF(AUDITORIA[[#This Row],[DATA VERIFICAÇÃO]]="","",TEXT(AUDITORIA[[#This Row],[DATA VERIFICAÇÃO]],"mmm")))</f>
        <v>MAI</v>
      </c>
      <c r="Y708" t="s">
        <v>598</v>
      </c>
      <c r="Z708" t="s">
        <v>831</v>
      </c>
      <c r="AA708" t="s">
        <v>832</v>
      </c>
    </row>
    <row r="709" spans="1:27" ht="14.4" hidden="1" customHeight="1" x14ac:dyDescent="0.3">
      <c r="A709" s="4" t="s">
        <v>0</v>
      </c>
      <c r="B709" s="4" t="s">
        <v>17</v>
      </c>
      <c r="C709" s="16" t="s">
        <v>18</v>
      </c>
      <c r="D709" s="4">
        <v>10</v>
      </c>
      <c r="E709" s="4" t="s">
        <v>745</v>
      </c>
      <c r="F709" t="s">
        <v>33</v>
      </c>
      <c r="G709" t="s">
        <v>34</v>
      </c>
      <c r="J709" s="4" t="s">
        <v>31</v>
      </c>
      <c r="K709" s="4" t="s">
        <v>21</v>
      </c>
      <c r="L709" s="4" t="s">
        <v>742</v>
      </c>
      <c r="M709" s="17">
        <v>17</v>
      </c>
      <c r="N709" s="17">
        <v>808</v>
      </c>
      <c r="O709" s="18" t="s">
        <v>31</v>
      </c>
      <c r="P709" s="18">
        <v>808</v>
      </c>
      <c r="Q709" s="18">
        <v>17</v>
      </c>
      <c r="R709" s="18" t="s">
        <v>814</v>
      </c>
      <c r="S709" s="18" t="s">
        <v>818</v>
      </c>
      <c r="T709" s="18" t="s">
        <v>819</v>
      </c>
      <c r="U7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09" s="19">
        <f>IF(AUDITORIA[[#This Row],[CAT]]="",0,1)</f>
        <v>1</v>
      </c>
      <c r="W709" s="20">
        <v>46163</v>
      </c>
      <c r="X709" s="21" t="str">
        <f>UPPER(IF(AUDITORIA[[#This Row],[DATA VERIFICAÇÃO]]="","",TEXT(AUDITORIA[[#This Row],[DATA VERIFICAÇÃO]],"mmm")))</f>
        <v>MAI</v>
      </c>
      <c r="Y709" t="s">
        <v>598</v>
      </c>
      <c r="Z709" t="s">
        <v>831</v>
      </c>
      <c r="AA709" t="s">
        <v>832</v>
      </c>
    </row>
    <row r="710" spans="1:27" ht="14.4" hidden="1" customHeight="1" x14ac:dyDescent="0.3">
      <c r="A710" s="4" t="s">
        <v>0</v>
      </c>
      <c r="B710" s="4" t="s">
        <v>17</v>
      </c>
      <c r="C710" s="16" t="s">
        <v>18</v>
      </c>
      <c r="D710" s="4">
        <v>10</v>
      </c>
      <c r="E710" s="4" t="s">
        <v>745</v>
      </c>
      <c r="F710" t="s">
        <v>32</v>
      </c>
      <c r="G710" t="s">
        <v>30</v>
      </c>
      <c r="J710" s="4" t="s">
        <v>31</v>
      </c>
      <c r="K710" s="4" t="s">
        <v>20</v>
      </c>
      <c r="L710" s="4" t="s">
        <v>742</v>
      </c>
      <c r="M710" s="17">
        <v>30</v>
      </c>
      <c r="N710" s="17">
        <v>730</v>
      </c>
      <c r="O710" s="18" t="s">
        <v>31</v>
      </c>
      <c r="P710" s="18">
        <v>730</v>
      </c>
      <c r="Q710" s="18">
        <v>30</v>
      </c>
      <c r="R710" s="18" t="s">
        <v>814</v>
      </c>
      <c r="S710" s="18" t="s">
        <v>815</v>
      </c>
      <c r="T710" s="18" t="s">
        <v>780</v>
      </c>
      <c r="U7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10" s="19">
        <f>IF(AUDITORIA[[#This Row],[CAT]]="",0,1)</f>
        <v>1</v>
      </c>
      <c r="W710" s="20">
        <v>46163</v>
      </c>
      <c r="X710" s="21" t="str">
        <f>UPPER(IF(AUDITORIA[[#This Row],[DATA VERIFICAÇÃO]]="","",TEXT(AUDITORIA[[#This Row],[DATA VERIFICAÇÃO]],"mmm")))</f>
        <v>MAI</v>
      </c>
      <c r="Y710" t="s">
        <v>598</v>
      </c>
      <c r="Z710" t="s">
        <v>831</v>
      </c>
      <c r="AA710" t="s">
        <v>832</v>
      </c>
    </row>
    <row r="711" spans="1:27" ht="14.4" hidden="1" customHeight="1" x14ac:dyDescent="0.3">
      <c r="A711" s="4" t="s">
        <v>0</v>
      </c>
      <c r="B711" s="4" t="s">
        <v>17</v>
      </c>
      <c r="C711" s="16" t="s">
        <v>18</v>
      </c>
      <c r="D711" s="4">
        <v>10</v>
      </c>
      <c r="E711" s="4" t="s">
        <v>745</v>
      </c>
      <c r="F711" t="s">
        <v>690</v>
      </c>
      <c r="G711" t="s">
        <v>30</v>
      </c>
      <c r="J711" s="4" t="s">
        <v>31</v>
      </c>
      <c r="K711" s="4" t="s">
        <v>20</v>
      </c>
      <c r="L711" s="4" t="s">
        <v>742</v>
      </c>
      <c r="M711" s="17">
        <v>30</v>
      </c>
      <c r="N711" s="17">
        <v>734</v>
      </c>
      <c r="O711" s="18" t="s">
        <v>31</v>
      </c>
      <c r="P711" s="18">
        <v>734</v>
      </c>
      <c r="Q711" s="18">
        <v>30</v>
      </c>
      <c r="R711" s="18" t="s">
        <v>814</v>
      </c>
      <c r="S711" s="18" t="s">
        <v>815</v>
      </c>
      <c r="T711" s="18" t="s">
        <v>781</v>
      </c>
      <c r="U7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11" s="19">
        <f>IF(AUDITORIA[[#This Row],[CAT]]="",0,1)</f>
        <v>1</v>
      </c>
      <c r="W711" s="20">
        <v>46163</v>
      </c>
      <c r="X711" s="21" t="str">
        <f>UPPER(IF(AUDITORIA[[#This Row],[DATA VERIFICAÇÃO]]="","",TEXT(AUDITORIA[[#This Row],[DATA VERIFICAÇÃO]],"mmm")))</f>
        <v>MAI</v>
      </c>
      <c r="Y711" t="s">
        <v>598</v>
      </c>
      <c r="Z711" t="s">
        <v>831</v>
      </c>
      <c r="AA711" t="s">
        <v>832</v>
      </c>
    </row>
    <row r="712" spans="1:27" ht="14.4" hidden="1" customHeight="1" x14ac:dyDescent="0.3">
      <c r="A712" s="4" t="s">
        <v>0</v>
      </c>
      <c r="B712" s="4" t="s">
        <v>17</v>
      </c>
      <c r="C712" s="16" t="s">
        <v>18</v>
      </c>
      <c r="D712" s="4">
        <v>10</v>
      </c>
      <c r="E712" s="4" t="s">
        <v>745</v>
      </c>
      <c r="F712" t="s">
        <v>29</v>
      </c>
      <c r="G712" t="s">
        <v>30</v>
      </c>
      <c r="J712" s="4" t="s">
        <v>31</v>
      </c>
      <c r="K712" s="4" t="s">
        <v>21</v>
      </c>
      <c r="L712" s="4" t="s">
        <v>742</v>
      </c>
      <c r="M712" s="17">
        <v>30</v>
      </c>
      <c r="N712" s="17">
        <v>871</v>
      </c>
      <c r="O712" s="18" t="s">
        <v>31</v>
      </c>
      <c r="P712" s="18">
        <v>871</v>
      </c>
      <c r="Q712" s="18">
        <v>30</v>
      </c>
      <c r="R712" s="18" t="s">
        <v>814</v>
      </c>
      <c r="S712" s="18" t="s">
        <v>815</v>
      </c>
      <c r="T712" s="18" t="s">
        <v>782</v>
      </c>
      <c r="U7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12" s="19">
        <f>IF(AUDITORIA[[#This Row],[CAT]]="",0,1)</f>
        <v>1</v>
      </c>
      <c r="W712" s="20">
        <v>46163</v>
      </c>
      <c r="X712" s="21" t="str">
        <f>UPPER(IF(AUDITORIA[[#This Row],[DATA VERIFICAÇÃO]]="","",TEXT(AUDITORIA[[#This Row],[DATA VERIFICAÇÃO]],"mmm")))</f>
        <v>MAI</v>
      </c>
      <c r="Y712" t="s">
        <v>598</v>
      </c>
      <c r="Z712" t="s">
        <v>831</v>
      </c>
      <c r="AA712" t="s">
        <v>832</v>
      </c>
    </row>
    <row r="713" spans="1:27" ht="14.4" hidden="1" customHeight="1" x14ac:dyDescent="0.3">
      <c r="A713" s="4" t="s">
        <v>0</v>
      </c>
      <c r="B713" s="4" t="s">
        <v>17</v>
      </c>
      <c r="C713" s="16" t="s">
        <v>18</v>
      </c>
      <c r="D713" s="4">
        <v>10</v>
      </c>
      <c r="E713" s="4" t="s">
        <v>745</v>
      </c>
      <c r="F713" t="s">
        <v>689</v>
      </c>
      <c r="G713" t="s">
        <v>30</v>
      </c>
      <c r="J713" s="4" t="s">
        <v>31</v>
      </c>
      <c r="K713" s="4" t="s">
        <v>21</v>
      </c>
      <c r="L713" s="4" t="s">
        <v>742</v>
      </c>
      <c r="M713" s="17">
        <v>12</v>
      </c>
      <c r="N713" s="17">
        <v>852</v>
      </c>
      <c r="O713" s="18" t="s">
        <v>31</v>
      </c>
      <c r="P713" s="18">
        <v>852</v>
      </c>
      <c r="Q713" s="18">
        <v>12</v>
      </c>
      <c r="R713" s="18" t="s">
        <v>814</v>
      </c>
      <c r="S713" s="18" t="s">
        <v>818</v>
      </c>
      <c r="T713" s="18" t="s">
        <v>819</v>
      </c>
      <c r="U7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13" s="19">
        <f>IF(AUDITORIA[[#This Row],[CAT]]="",0,1)</f>
        <v>1</v>
      </c>
      <c r="W713" s="20">
        <v>46163</v>
      </c>
      <c r="X713" s="21" t="str">
        <f>UPPER(IF(AUDITORIA[[#This Row],[DATA VERIFICAÇÃO]]="","",TEXT(AUDITORIA[[#This Row],[DATA VERIFICAÇÃO]],"mmm")))</f>
        <v>MAI</v>
      </c>
      <c r="Y713" t="s">
        <v>598</v>
      </c>
      <c r="Z713" t="s">
        <v>831</v>
      </c>
      <c r="AA713" t="s">
        <v>832</v>
      </c>
    </row>
    <row r="714" spans="1:27" ht="14.4" hidden="1" customHeight="1" x14ac:dyDescent="0.3">
      <c r="A714" s="4" t="s">
        <v>0</v>
      </c>
      <c r="B714" s="4" t="s">
        <v>17</v>
      </c>
      <c r="C714" s="16" t="s">
        <v>18</v>
      </c>
      <c r="D714" s="4">
        <v>10</v>
      </c>
      <c r="E714" s="4" t="s">
        <v>745</v>
      </c>
      <c r="F714" t="s">
        <v>276</v>
      </c>
      <c r="G714" t="s">
        <v>233</v>
      </c>
      <c r="J714" s="4" t="s">
        <v>88</v>
      </c>
      <c r="K714" s="4" t="s">
        <v>20</v>
      </c>
      <c r="L714" s="4" t="s">
        <v>742</v>
      </c>
      <c r="M714" s="17">
        <v>27</v>
      </c>
      <c r="N714" s="17">
        <v>923</v>
      </c>
      <c r="O714" s="18" t="s">
        <v>88</v>
      </c>
      <c r="P714" s="18">
        <v>923</v>
      </c>
      <c r="Q714" s="18">
        <v>27</v>
      </c>
      <c r="R714" s="18" t="s">
        <v>817</v>
      </c>
      <c r="S714" s="18" t="s">
        <v>825</v>
      </c>
      <c r="T714" s="18" t="s">
        <v>780</v>
      </c>
      <c r="U7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14" s="19">
        <f>IF(AUDITORIA[[#This Row],[CAT]]="",0,1)</f>
        <v>1</v>
      </c>
      <c r="W714" s="20">
        <v>46163</v>
      </c>
      <c r="X714" s="21" t="str">
        <f>UPPER(IF(AUDITORIA[[#This Row],[DATA VERIFICAÇÃO]]="","",TEXT(AUDITORIA[[#This Row],[DATA VERIFICAÇÃO]],"mmm")))</f>
        <v>MAI</v>
      </c>
      <c r="Y714" t="s">
        <v>598</v>
      </c>
      <c r="Z714" t="s">
        <v>831</v>
      </c>
      <c r="AA714" t="s">
        <v>832</v>
      </c>
    </row>
    <row r="715" spans="1:27" ht="14.4" hidden="1" customHeight="1" x14ac:dyDescent="0.3">
      <c r="A715" s="4" t="s">
        <v>0</v>
      </c>
      <c r="B715" s="4" t="s">
        <v>17</v>
      </c>
      <c r="C715" s="16" t="s">
        <v>18</v>
      </c>
      <c r="D715" s="4">
        <v>10</v>
      </c>
      <c r="E715" s="4" t="s">
        <v>745</v>
      </c>
      <c r="F715" t="s">
        <v>275</v>
      </c>
      <c r="G715" t="s">
        <v>233</v>
      </c>
      <c r="J715" s="4" t="s">
        <v>88</v>
      </c>
      <c r="K715" s="4" t="s">
        <v>20</v>
      </c>
      <c r="L715" s="4" t="s">
        <v>742</v>
      </c>
      <c r="M715" s="17">
        <v>30</v>
      </c>
      <c r="N715" s="17">
        <v>868</v>
      </c>
      <c r="O715" s="18" t="s">
        <v>88</v>
      </c>
      <c r="P715" s="18">
        <v>868</v>
      </c>
      <c r="Q715" s="18">
        <v>30</v>
      </c>
      <c r="R715" s="18" t="s">
        <v>817</v>
      </c>
      <c r="S715" s="18" t="s">
        <v>825</v>
      </c>
      <c r="T715" s="18" t="s">
        <v>781</v>
      </c>
      <c r="U7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15" s="19">
        <f>IF(AUDITORIA[[#This Row],[CAT]]="",0,1)</f>
        <v>1</v>
      </c>
      <c r="W715" s="20">
        <v>46163</v>
      </c>
      <c r="X715" s="21" t="str">
        <f>UPPER(IF(AUDITORIA[[#This Row],[DATA VERIFICAÇÃO]]="","",TEXT(AUDITORIA[[#This Row],[DATA VERIFICAÇÃO]],"mmm")))</f>
        <v>MAI</v>
      </c>
      <c r="Y715" t="s">
        <v>598</v>
      </c>
      <c r="Z715" t="s">
        <v>831</v>
      </c>
      <c r="AA715" t="s">
        <v>832</v>
      </c>
    </row>
    <row r="716" spans="1:27" ht="14.4" hidden="1" customHeight="1" x14ac:dyDescent="0.3">
      <c r="A716" s="4" t="s">
        <v>0</v>
      </c>
      <c r="B716" s="4" t="s">
        <v>17</v>
      </c>
      <c r="C716" s="16" t="s">
        <v>18</v>
      </c>
      <c r="D716" s="4">
        <v>10</v>
      </c>
      <c r="E716" s="4" t="s">
        <v>745</v>
      </c>
      <c r="F716" t="s">
        <v>274</v>
      </c>
      <c r="G716" t="s">
        <v>233</v>
      </c>
      <c r="J716" s="4" t="s">
        <v>88</v>
      </c>
      <c r="K716" s="4" t="s">
        <v>20</v>
      </c>
      <c r="L716" s="4" t="s">
        <v>742</v>
      </c>
      <c r="M716" s="17">
        <v>30</v>
      </c>
      <c r="N716" s="17">
        <v>782</v>
      </c>
      <c r="O716" s="18" t="s">
        <v>88</v>
      </c>
      <c r="P716" s="18">
        <v>782</v>
      </c>
      <c r="Q716" s="18">
        <v>30</v>
      </c>
      <c r="R716" s="18" t="s">
        <v>817</v>
      </c>
      <c r="S716" s="18" t="s">
        <v>825</v>
      </c>
      <c r="T716" s="18" t="s">
        <v>782</v>
      </c>
      <c r="U7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16" s="19">
        <f>IF(AUDITORIA[[#This Row],[CAT]]="",0,1)</f>
        <v>1</v>
      </c>
      <c r="W716" s="20">
        <v>46163</v>
      </c>
      <c r="X716" s="21" t="str">
        <f>UPPER(IF(AUDITORIA[[#This Row],[DATA VERIFICAÇÃO]]="","",TEXT(AUDITORIA[[#This Row],[DATA VERIFICAÇÃO]],"mmm")))</f>
        <v>MAI</v>
      </c>
      <c r="Y716" t="s">
        <v>598</v>
      </c>
      <c r="Z716" t="s">
        <v>831</v>
      </c>
      <c r="AA716" t="s">
        <v>832</v>
      </c>
    </row>
    <row r="717" spans="1:27" ht="14.4" hidden="1" customHeight="1" x14ac:dyDescent="0.3">
      <c r="A717" s="4" t="s">
        <v>0</v>
      </c>
      <c r="B717" s="4" t="s">
        <v>17</v>
      </c>
      <c r="C717" s="16" t="s">
        <v>18</v>
      </c>
      <c r="D717" s="4">
        <v>10</v>
      </c>
      <c r="E717" s="4" t="s">
        <v>745</v>
      </c>
      <c r="F717" t="s">
        <v>273</v>
      </c>
      <c r="G717" t="s">
        <v>233</v>
      </c>
      <c r="J717" s="4" t="s">
        <v>88</v>
      </c>
      <c r="K717" s="4" t="s">
        <v>20</v>
      </c>
      <c r="L717" s="4" t="s">
        <v>742</v>
      </c>
      <c r="M717" s="17">
        <v>30</v>
      </c>
      <c r="N717" s="17">
        <v>795</v>
      </c>
      <c r="O717" s="18" t="s">
        <v>88</v>
      </c>
      <c r="P717" s="18">
        <v>795</v>
      </c>
      <c r="Q717" s="18">
        <v>30</v>
      </c>
      <c r="R717" s="18" t="s">
        <v>817</v>
      </c>
      <c r="S717" s="18" t="s">
        <v>824</v>
      </c>
      <c r="T717" s="18" t="s">
        <v>780</v>
      </c>
      <c r="U7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17" s="19">
        <f>IF(AUDITORIA[[#This Row],[CAT]]="",0,1)</f>
        <v>1</v>
      </c>
      <c r="W717" s="20">
        <v>46163</v>
      </c>
      <c r="X717" s="21" t="str">
        <f>UPPER(IF(AUDITORIA[[#This Row],[DATA VERIFICAÇÃO]]="","",TEXT(AUDITORIA[[#This Row],[DATA VERIFICAÇÃO]],"mmm")))</f>
        <v>MAI</v>
      </c>
      <c r="Y717" t="s">
        <v>598</v>
      </c>
      <c r="Z717" t="s">
        <v>831</v>
      </c>
      <c r="AA717" t="s">
        <v>832</v>
      </c>
    </row>
    <row r="718" spans="1:27" ht="14.4" hidden="1" customHeight="1" x14ac:dyDescent="0.3">
      <c r="A718" s="4" t="s">
        <v>0</v>
      </c>
      <c r="B718" s="4" t="s">
        <v>17</v>
      </c>
      <c r="C718" s="16" t="s">
        <v>18</v>
      </c>
      <c r="D718" s="4">
        <v>10</v>
      </c>
      <c r="E718" s="4" t="s">
        <v>745</v>
      </c>
      <c r="F718" t="s">
        <v>272</v>
      </c>
      <c r="G718" t="s">
        <v>233</v>
      </c>
      <c r="J718" s="4" t="s">
        <v>88</v>
      </c>
      <c r="K718" s="4" t="s">
        <v>20</v>
      </c>
      <c r="L718" s="4" t="s">
        <v>742</v>
      </c>
      <c r="M718" s="17">
        <v>30</v>
      </c>
      <c r="N718" s="17">
        <v>790</v>
      </c>
      <c r="O718" s="18" t="s">
        <v>88</v>
      </c>
      <c r="P718" s="18">
        <v>790</v>
      </c>
      <c r="Q718" s="18">
        <v>30</v>
      </c>
      <c r="R718" s="18" t="s">
        <v>817</v>
      </c>
      <c r="S718" s="18" t="s">
        <v>824</v>
      </c>
      <c r="T718" s="18" t="s">
        <v>781</v>
      </c>
      <c r="U7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18" s="19">
        <f>IF(AUDITORIA[[#This Row],[CAT]]="",0,1)</f>
        <v>1</v>
      </c>
      <c r="W718" s="20">
        <v>46163</v>
      </c>
      <c r="X718" s="21" t="str">
        <f>UPPER(IF(AUDITORIA[[#This Row],[DATA VERIFICAÇÃO]]="","",TEXT(AUDITORIA[[#This Row],[DATA VERIFICAÇÃO]],"mmm")))</f>
        <v>MAI</v>
      </c>
      <c r="Y718" t="s">
        <v>598</v>
      </c>
      <c r="Z718" t="s">
        <v>831</v>
      </c>
      <c r="AA718" t="s">
        <v>832</v>
      </c>
    </row>
    <row r="719" spans="1:27" ht="14.4" hidden="1" customHeight="1" x14ac:dyDescent="0.3">
      <c r="A719" s="4" t="s">
        <v>0</v>
      </c>
      <c r="B719" s="4" t="s">
        <v>17</v>
      </c>
      <c r="C719" s="16" t="s">
        <v>18</v>
      </c>
      <c r="D719" s="4">
        <v>10</v>
      </c>
      <c r="E719" s="4" t="s">
        <v>745</v>
      </c>
      <c r="F719" t="s">
        <v>271</v>
      </c>
      <c r="G719" t="s">
        <v>233</v>
      </c>
      <c r="J719" s="4" t="s">
        <v>88</v>
      </c>
      <c r="K719" s="4" t="s">
        <v>20</v>
      </c>
      <c r="L719" s="4" t="s">
        <v>742</v>
      </c>
      <c r="M719" s="17">
        <v>30</v>
      </c>
      <c r="N719" s="17">
        <v>791</v>
      </c>
      <c r="O719" s="18" t="s">
        <v>88</v>
      </c>
      <c r="P719" s="18">
        <v>791</v>
      </c>
      <c r="Q719" s="18">
        <v>30</v>
      </c>
      <c r="R719" s="18" t="s">
        <v>817</v>
      </c>
      <c r="S719" s="18" t="s">
        <v>824</v>
      </c>
      <c r="T719" s="18" t="s">
        <v>782</v>
      </c>
      <c r="U7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19" s="19">
        <f>IF(AUDITORIA[[#This Row],[CAT]]="",0,1)</f>
        <v>1</v>
      </c>
      <c r="W719" s="20">
        <v>46163</v>
      </c>
      <c r="X719" s="21" t="str">
        <f>UPPER(IF(AUDITORIA[[#This Row],[DATA VERIFICAÇÃO]]="","",TEXT(AUDITORIA[[#This Row],[DATA VERIFICAÇÃO]],"mmm")))</f>
        <v>MAI</v>
      </c>
      <c r="Y719" t="s">
        <v>598</v>
      </c>
      <c r="Z719" t="s">
        <v>831</v>
      </c>
      <c r="AA719" t="s">
        <v>832</v>
      </c>
    </row>
    <row r="720" spans="1:27" ht="14.4" hidden="1" customHeight="1" x14ac:dyDescent="0.3">
      <c r="A720" s="4" t="s">
        <v>0</v>
      </c>
      <c r="B720" s="4" t="s">
        <v>17</v>
      </c>
      <c r="C720" s="16" t="s">
        <v>18</v>
      </c>
      <c r="D720" s="4">
        <v>10</v>
      </c>
      <c r="E720" s="4" t="s">
        <v>745</v>
      </c>
      <c r="F720" t="s">
        <v>270</v>
      </c>
      <c r="G720" t="s">
        <v>233</v>
      </c>
      <c r="J720" s="4" t="s">
        <v>88</v>
      </c>
      <c r="K720" s="4" t="s">
        <v>20</v>
      </c>
      <c r="L720" s="4" t="s">
        <v>742</v>
      </c>
      <c r="M720" s="17">
        <v>30</v>
      </c>
      <c r="N720" s="17">
        <v>790</v>
      </c>
      <c r="O720" s="18" t="s">
        <v>88</v>
      </c>
      <c r="P720" s="18">
        <v>790</v>
      </c>
      <c r="Q720" s="18">
        <v>30</v>
      </c>
      <c r="R720" s="18" t="s">
        <v>817</v>
      </c>
      <c r="S720" s="18" t="s">
        <v>824</v>
      </c>
      <c r="T720" s="18" t="s">
        <v>794</v>
      </c>
      <c r="U7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20" s="19">
        <f>IF(AUDITORIA[[#This Row],[CAT]]="",0,1)</f>
        <v>1</v>
      </c>
      <c r="W720" s="20">
        <v>46163</v>
      </c>
      <c r="X720" s="21" t="str">
        <f>UPPER(IF(AUDITORIA[[#This Row],[DATA VERIFICAÇÃO]]="","",TEXT(AUDITORIA[[#This Row],[DATA VERIFICAÇÃO]],"mmm")))</f>
        <v>MAI</v>
      </c>
      <c r="Y720" t="s">
        <v>598</v>
      </c>
      <c r="Z720" t="s">
        <v>831</v>
      </c>
      <c r="AA720" t="s">
        <v>832</v>
      </c>
    </row>
    <row r="721" spans="1:27" ht="14.4" hidden="1" customHeight="1" x14ac:dyDescent="0.3">
      <c r="A721" s="4" t="s">
        <v>0</v>
      </c>
      <c r="B721" s="4" t="s">
        <v>17</v>
      </c>
      <c r="C721" s="16" t="s">
        <v>18</v>
      </c>
      <c r="D721" s="4">
        <v>10</v>
      </c>
      <c r="E721" s="4" t="s">
        <v>745</v>
      </c>
      <c r="F721" t="s">
        <v>269</v>
      </c>
      <c r="G721" t="s">
        <v>233</v>
      </c>
      <c r="J721" s="4" t="s">
        <v>88</v>
      </c>
      <c r="K721" s="4" t="s">
        <v>20</v>
      </c>
      <c r="L721" s="4" t="s">
        <v>742</v>
      </c>
      <c r="M721" s="17">
        <v>30</v>
      </c>
      <c r="N721" s="17">
        <v>775</v>
      </c>
      <c r="O721" s="18" t="s">
        <v>88</v>
      </c>
      <c r="P721" s="18">
        <v>775</v>
      </c>
      <c r="Q721" s="18">
        <v>30</v>
      </c>
      <c r="R721" s="18" t="s">
        <v>817</v>
      </c>
      <c r="S721" s="18" t="s">
        <v>822</v>
      </c>
      <c r="T721" s="18" t="s">
        <v>780</v>
      </c>
      <c r="U7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21" s="19">
        <f>IF(AUDITORIA[[#This Row],[CAT]]="",0,1)</f>
        <v>1</v>
      </c>
      <c r="W721" s="20">
        <v>46163</v>
      </c>
      <c r="X721" s="21" t="str">
        <f>UPPER(IF(AUDITORIA[[#This Row],[DATA VERIFICAÇÃO]]="","",TEXT(AUDITORIA[[#This Row],[DATA VERIFICAÇÃO]],"mmm")))</f>
        <v>MAI</v>
      </c>
      <c r="Y721" t="s">
        <v>598</v>
      </c>
      <c r="Z721" t="s">
        <v>831</v>
      </c>
      <c r="AA721" t="s">
        <v>832</v>
      </c>
    </row>
    <row r="722" spans="1:27" ht="14.4" hidden="1" customHeight="1" x14ac:dyDescent="0.3">
      <c r="A722" s="4" t="s">
        <v>0</v>
      </c>
      <c r="B722" s="4" t="s">
        <v>17</v>
      </c>
      <c r="C722" s="16" t="s">
        <v>18</v>
      </c>
      <c r="D722" s="4">
        <v>10</v>
      </c>
      <c r="E722" s="4" t="s">
        <v>745</v>
      </c>
      <c r="F722" t="s">
        <v>268</v>
      </c>
      <c r="G722" t="s">
        <v>233</v>
      </c>
      <c r="J722" s="4" t="s">
        <v>88</v>
      </c>
      <c r="K722" s="4" t="s">
        <v>20</v>
      </c>
      <c r="L722" s="4" t="s">
        <v>742</v>
      </c>
      <c r="M722" s="17">
        <v>30</v>
      </c>
      <c r="N722" s="17">
        <v>800</v>
      </c>
      <c r="O722" s="18" t="s">
        <v>88</v>
      </c>
      <c r="P722" s="18">
        <v>800</v>
      </c>
      <c r="Q722" s="18">
        <v>30</v>
      </c>
      <c r="R722" s="18" t="s">
        <v>817</v>
      </c>
      <c r="S722" s="18" t="s">
        <v>825</v>
      </c>
      <c r="T722" s="18" t="s">
        <v>794</v>
      </c>
      <c r="U7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22" s="19">
        <f>IF(AUDITORIA[[#This Row],[CAT]]="",0,1)</f>
        <v>1</v>
      </c>
      <c r="W722" s="20">
        <v>46163</v>
      </c>
      <c r="X722" s="21" t="str">
        <f>UPPER(IF(AUDITORIA[[#This Row],[DATA VERIFICAÇÃO]]="","",TEXT(AUDITORIA[[#This Row],[DATA VERIFICAÇÃO]],"mmm")))</f>
        <v>MAI</v>
      </c>
      <c r="Y722" t="s">
        <v>598</v>
      </c>
      <c r="Z722" t="s">
        <v>831</v>
      </c>
      <c r="AA722" t="s">
        <v>832</v>
      </c>
    </row>
    <row r="723" spans="1:27" ht="14.4" hidden="1" customHeight="1" x14ac:dyDescent="0.3">
      <c r="A723" s="4" t="s">
        <v>0</v>
      </c>
      <c r="B723" s="4" t="s">
        <v>17</v>
      </c>
      <c r="C723" s="16" t="s">
        <v>18</v>
      </c>
      <c r="D723" s="4">
        <v>10</v>
      </c>
      <c r="E723" s="4" t="s">
        <v>745</v>
      </c>
      <c r="F723" t="s">
        <v>267</v>
      </c>
      <c r="G723" t="s">
        <v>233</v>
      </c>
      <c r="J723" s="4" t="s">
        <v>88</v>
      </c>
      <c r="K723" s="4" t="s">
        <v>20</v>
      </c>
      <c r="L723" s="4" t="s">
        <v>742</v>
      </c>
      <c r="M723" s="17">
        <v>30</v>
      </c>
      <c r="N723" s="17">
        <v>787</v>
      </c>
      <c r="O723" s="18" t="s">
        <v>88</v>
      </c>
      <c r="P723" s="18">
        <v>787</v>
      </c>
      <c r="Q723" s="18">
        <v>30</v>
      </c>
      <c r="R723" s="18" t="s">
        <v>817</v>
      </c>
      <c r="S723" s="18" t="s">
        <v>822</v>
      </c>
      <c r="T723" s="18" t="s">
        <v>781</v>
      </c>
      <c r="U7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23" s="19">
        <f>IF(AUDITORIA[[#This Row],[CAT]]="",0,1)</f>
        <v>1</v>
      </c>
      <c r="W723" s="20">
        <v>46163</v>
      </c>
      <c r="X723" s="21" t="str">
        <f>UPPER(IF(AUDITORIA[[#This Row],[DATA VERIFICAÇÃO]]="","",TEXT(AUDITORIA[[#This Row],[DATA VERIFICAÇÃO]],"mmm")))</f>
        <v>MAI</v>
      </c>
      <c r="Y723" t="s">
        <v>598</v>
      </c>
      <c r="Z723" t="s">
        <v>831</v>
      </c>
      <c r="AA723" t="s">
        <v>832</v>
      </c>
    </row>
    <row r="724" spans="1:27" ht="14.4" hidden="1" customHeight="1" x14ac:dyDescent="0.3">
      <c r="A724" s="4" t="s">
        <v>0</v>
      </c>
      <c r="B724" s="4" t="s">
        <v>17</v>
      </c>
      <c r="C724" s="16" t="s">
        <v>18</v>
      </c>
      <c r="D724" s="4">
        <v>10</v>
      </c>
      <c r="E724" s="4" t="s">
        <v>745</v>
      </c>
      <c r="F724" t="s">
        <v>266</v>
      </c>
      <c r="G724" t="s">
        <v>233</v>
      </c>
      <c r="J724" s="4" t="s">
        <v>88</v>
      </c>
      <c r="K724" s="4" t="s">
        <v>20</v>
      </c>
      <c r="L724" s="4" t="s">
        <v>742</v>
      </c>
      <c r="M724" s="17">
        <v>30</v>
      </c>
      <c r="N724" s="17">
        <v>798</v>
      </c>
      <c r="O724" s="18" t="s">
        <v>88</v>
      </c>
      <c r="P724" s="18">
        <v>798</v>
      </c>
      <c r="Q724" s="18">
        <v>30</v>
      </c>
      <c r="R724" s="18" t="s">
        <v>817</v>
      </c>
      <c r="S724" s="18" t="s">
        <v>822</v>
      </c>
      <c r="T724" s="18" t="s">
        <v>782</v>
      </c>
      <c r="U7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24" s="19">
        <f>IF(AUDITORIA[[#This Row],[CAT]]="",0,1)</f>
        <v>1</v>
      </c>
      <c r="W724" s="20">
        <v>46163</v>
      </c>
      <c r="X724" s="21" t="str">
        <f>UPPER(IF(AUDITORIA[[#This Row],[DATA VERIFICAÇÃO]]="","",TEXT(AUDITORIA[[#This Row],[DATA VERIFICAÇÃO]],"mmm")))</f>
        <v>MAI</v>
      </c>
      <c r="Y724" t="s">
        <v>598</v>
      </c>
      <c r="Z724" t="s">
        <v>831</v>
      </c>
      <c r="AA724" t="s">
        <v>832</v>
      </c>
    </row>
    <row r="725" spans="1:27" ht="14.4" hidden="1" customHeight="1" x14ac:dyDescent="0.3">
      <c r="A725" s="4" t="s">
        <v>0</v>
      </c>
      <c r="B725" s="4" t="s">
        <v>17</v>
      </c>
      <c r="C725" s="16" t="s">
        <v>18</v>
      </c>
      <c r="D725" s="4">
        <v>10</v>
      </c>
      <c r="E725" s="4" t="s">
        <v>745</v>
      </c>
      <c r="F725" t="s">
        <v>265</v>
      </c>
      <c r="G725" t="s">
        <v>233</v>
      </c>
      <c r="J725" s="4" t="s">
        <v>88</v>
      </c>
      <c r="K725" s="4" t="s">
        <v>20</v>
      </c>
      <c r="L725" s="4" t="s">
        <v>742</v>
      </c>
      <c r="M725" s="17">
        <v>30</v>
      </c>
      <c r="N725" s="17">
        <v>804</v>
      </c>
      <c r="O725" s="18" t="s">
        <v>88</v>
      </c>
      <c r="P725" s="18">
        <v>804</v>
      </c>
      <c r="Q725" s="18">
        <v>30</v>
      </c>
      <c r="R725" s="18" t="s">
        <v>817</v>
      </c>
      <c r="S725" s="18" t="s">
        <v>779</v>
      </c>
      <c r="T725" s="18" t="s">
        <v>780</v>
      </c>
      <c r="U7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25" s="19">
        <f>IF(AUDITORIA[[#This Row],[CAT]]="",0,1)</f>
        <v>1</v>
      </c>
      <c r="W725" s="20">
        <v>46163</v>
      </c>
      <c r="X725" s="21" t="str">
        <f>UPPER(IF(AUDITORIA[[#This Row],[DATA VERIFICAÇÃO]]="","",TEXT(AUDITORIA[[#This Row],[DATA VERIFICAÇÃO]],"mmm")))</f>
        <v>MAI</v>
      </c>
      <c r="Y725" t="s">
        <v>598</v>
      </c>
      <c r="Z725" t="s">
        <v>831</v>
      </c>
      <c r="AA725" t="s">
        <v>832</v>
      </c>
    </row>
    <row r="726" spans="1:27" ht="14.4" hidden="1" customHeight="1" x14ac:dyDescent="0.3">
      <c r="A726" s="4" t="s">
        <v>0</v>
      </c>
      <c r="B726" s="4" t="s">
        <v>17</v>
      </c>
      <c r="C726" s="16" t="s">
        <v>18</v>
      </c>
      <c r="D726" s="4">
        <v>10</v>
      </c>
      <c r="E726" s="4" t="s">
        <v>745</v>
      </c>
      <c r="F726" t="s">
        <v>264</v>
      </c>
      <c r="G726" t="s">
        <v>233</v>
      </c>
      <c r="J726" s="4" t="s">
        <v>88</v>
      </c>
      <c r="K726" s="4" t="s">
        <v>20</v>
      </c>
      <c r="L726" s="4" t="s">
        <v>742</v>
      </c>
      <c r="M726" s="17">
        <v>24</v>
      </c>
      <c r="N726" s="17">
        <v>825</v>
      </c>
      <c r="O726" s="18" t="s">
        <v>88</v>
      </c>
      <c r="P726" s="18">
        <v>825</v>
      </c>
      <c r="Q726" s="18">
        <v>24</v>
      </c>
      <c r="R726" s="18" t="s">
        <v>817</v>
      </c>
      <c r="S726" s="18" t="s">
        <v>822</v>
      </c>
      <c r="T726" s="18" t="s">
        <v>794</v>
      </c>
      <c r="U7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26" s="19">
        <f>IF(AUDITORIA[[#This Row],[CAT]]="",0,1)</f>
        <v>1</v>
      </c>
      <c r="W726" s="20">
        <v>46163</v>
      </c>
      <c r="X726" s="21" t="str">
        <f>UPPER(IF(AUDITORIA[[#This Row],[DATA VERIFICAÇÃO]]="","",TEXT(AUDITORIA[[#This Row],[DATA VERIFICAÇÃO]],"mmm")))</f>
        <v>MAI</v>
      </c>
      <c r="Y726" t="s">
        <v>598</v>
      </c>
      <c r="Z726" t="s">
        <v>831</v>
      </c>
      <c r="AA726" t="s">
        <v>832</v>
      </c>
    </row>
    <row r="727" spans="1:27" ht="14.4" hidden="1" customHeight="1" x14ac:dyDescent="0.3">
      <c r="A727" s="4" t="s">
        <v>0</v>
      </c>
      <c r="B727" s="4" t="s">
        <v>17</v>
      </c>
      <c r="C727" s="16" t="s">
        <v>18</v>
      </c>
      <c r="D727" s="4">
        <v>10</v>
      </c>
      <c r="E727" s="4" t="s">
        <v>745</v>
      </c>
      <c r="F727" t="s">
        <v>263</v>
      </c>
      <c r="G727" t="s">
        <v>233</v>
      </c>
      <c r="J727" s="4" t="s">
        <v>88</v>
      </c>
      <c r="K727" s="4" t="s">
        <v>20</v>
      </c>
      <c r="L727" s="4" t="s">
        <v>742</v>
      </c>
      <c r="M727" s="17">
        <v>30</v>
      </c>
      <c r="N727" s="17">
        <v>813</v>
      </c>
      <c r="O727" s="18" t="s">
        <v>88</v>
      </c>
      <c r="P727" s="18">
        <v>813</v>
      </c>
      <c r="Q727" s="18">
        <v>30</v>
      </c>
      <c r="R727" s="18" t="s">
        <v>817</v>
      </c>
      <c r="S727" s="18" t="s">
        <v>779</v>
      </c>
      <c r="T727" s="18" t="s">
        <v>781</v>
      </c>
      <c r="U7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27" s="19">
        <f>IF(AUDITORIA[[#This Row],[CAT]]="",0,1)</f>
        <v>1</v>
      </c>
      <c r="W727" s="20">
        <v>46163</v>
      </c>
      <c r="X727" s="21" t="str">
        <f>UPPER(IF(AUDITORIA[[#This Row],[DATA VERIFICAÇÃO]]="","",TEXT(AUDITORIA[[#This Row],[DATA VERIFICAÇÃO]],"mmm")))</f>
        <v>MAI</v>
      </c>
      <c r="Y727" t="s">
        <v>598</v>
      </c>
      <c r="Z727" t="s">
        <v>831</v>
      </c>
      <c r="AA727" t="s">
        <v>832</v>
      </c>
    </row>
    <row r="728" spans="1:27" ht="14.4" hidden="1" customHeight="1" x14ac:dyDescent="0.3">
      <c r="A728" s="4" t="s">
        <v>0</v>
      </c>
      <c r="B728" s="4" t="s">
        <v>17</v>
      </c>
      <c r="C728" s="16" t="s">
        <v>18</v>
      </c>
      <c r="D728" s="4">
        <v>10</v>
      </c>
      <c r="E728" s="4" t="s">
        <v>745</v>
      </c>
      <c r="F728" t="s">
        <v>262</v>
      </c>
      <c r="G728" t="s">
        <v>233</v>
      </c>
      <c r="J728" s="4" t="s">
        <v>88</v>
      </c>
      <c r="K728" s="4" t="s">
        <v>20</v>
      </c>
      <c r="L728" s="4" t="s">
        <v>742</v>
      </c>
      <c r="M728" s="17">
        <v>30</v>
      </c>
      <c r="N728" s="17">
        <v>806</v>
      </c>
      <c r="O728" s="18" t="s">
        <v>88</v>
      </c>
      <c r="P728" s="18">
        <v>806</v>
      </c>
      <c r="Q728" s="18">
        <v>30</v>
      </c>
      <c r="R728" s="18" t="s">
        <v>817</v>
      </c>
      <c r="S728" s="18" t="s">
        <v>779</v>
      </c>
      <c r="T728" s="18" t="s">
        <v>782</v>
      </c>
      <c r="U7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28" s="19">
        <f>IF(AUDITORIA[[#This Row],[CAT]]="",0,1)</f>
        <v>1</v>
      </c>
      <c r="W728" s="20">
        <v>46163</v>
      </c>
      <c r="X728" s="21" t="str">
        <f>UPPER(IF(AUDITORIA[[#This Row],[DATA VERIFICAÇÃO]]="","",TEXT(AUDITORIA[[#This Row],[DATA VERIFICAÇÃO]],"mmm")))</f>
        <v>MAI</v>
      </c>
      <c r="Y728" t="s">
        <v>598</v>
      </c>
      <c r="Z728" t="s">
        <v>831</v>
      </c>
      <c r="AA728" t="s">
        <v>832</v>
      </c>
    </row>
    <row r="729" spans="1:27" ht="14.4" hidden="1" customHeight="1" x14ac:dyDescent="0.3">
      <c r="A729" s="4" t="s">
        <v>0</v>
      </c>
      <c r="B729" s="4" t="s">
        <v>17</v>
      </c>
      <c r="C729" s="16" t="s">
        <v>18</v>
      </c>
      <c r="D729" s="4">
        <v>10</v>
      </c>
      <c r="E729" s="4" t="s">
        <v>745</v>
      </c>
      <c r="F729" t="s">
        <v>261</v>
      </c>
      <c r="G729" t="s">
        <v>233</v>
      </c>
      <c r="J729" s="4" t="s">
        <v>88</v>
      </c>
      <c r="K729" s="4" t="s">
        <v>20</v>
      </c>
      <c r="L729" s="4" t="s">
        <v>742</v>
      </c>
      <c r="M729" s="17">
        <v>30</v>
      </c>
      <c r="N729" s="17">
        <v>805</v>
      </c>
      <c r="O729" s="18" t="s">
        <v>88</v>
      </c>
      <c r="P729" s="18">
        <v>805</v>
      </c>
      <c r="Q729" s="18">
        <v>30</v>
      </c>
      <c r="R729" s="18" t="s">
        <v>817</v>
      </c>
      <c r="S729" s="18" t="s">
        <v>779</v>
      </c>
      <c r="T729" s="18" t="s">
        <v>794</v>
      </c>
      <c r="U7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29" s="19">
        <f>IF(AUDITORIA[[#This Row],[CAT]]="",0,1)</f>
        <v>1</v>
      </c>
      <c r="W729" s="20">
        <v>46163</v>
      </c>
      <c r="X729" s="21" t="str">
        <f>UPPER(IF(AUDITORIA[[#This Row],[DATA VERIFICAÇÃO]]="","",TEXT(AUDITORIA[[#This Row],[DATA VERIFICAÇÃO]],"mmm")))</f>
        <v>MAI</v>
      </c>
      <c r="Y729" t="s">
        <v>598</v>
      </c>
      <c r="Z729" t="s">
        <v>831</v>
      </c>
      <c r="AA729" t="s">
        <v>832</v>
      </c>
    </row>
    <row r="730" spans="1:27" ht="14.4" hidden="1" customHeight="1" x14ac:dyDescent="0.3">
      <c r="A730" s="4" t="s">
        <v>0</v>
      </c>
      <c r="B730" s="4" t="s">
        <v>17</v>
      </c>
      <c r="C730" s="16" t="s">
        <v>18</v>
      </c>
      <c r="D730" s="4">
        <v>10</v>
      </c>
      <c r="E730" s="4" t="s">
        <v>745</v>
      </c>
      <c r="F730" t="s">
        <v>260</v>
      </c>
      <c r="G730" t="s">
        <v>233</v>
      </c>
      <c r="J730" s="4" t="s">
        <v>88</v>
      </c>
      <c r="K730" s="4" t="s">
        <v>20</v>
      </c>
      <c r="L730" s="4" t="s">
        <v>742</v>
      </c>
      <c r="M730" s="17">
        <v>30</v>
      </c>
      <c r="N730" s="17">
        <v>803</v>
      </c>
      <c r="O730" s="18" t="s">
        <v>88</v>
      </c>
      <c r="P730" s="18">
        <v>803</v>
      </c>
      <c r="Q730" s="18">
        <v>30</v>
      </c>
      <c r="R730" s="18" t="s">
        <v>817</v>
      </c>
      <c r="S730" s="18" t="s">
        <v>786</v>
      </c>
      <c r="T730" s="18" t="s">
        <v>780</v>
      </c>
      <c r="U7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30" s="19">
        <f>IF(AUDITORIA[[#This Row],[CAT]]="",0,1)</f>
        <v>1</v>
      </c>
      <c r="W730" s="20">
        <v>46163</v>
      </c>
      <c r="X730" s="21" t="str">
        <f>UPPER(IF(AUDITORIA[[#This Row],[DATA VERIFICAÇÃO]]="","",TEXT(AUDITORIA[[#This Row],[DATA VERIFICAÇÃO]],"mmm")))</f>
        <v>MAI</v>
      </c>
      <c r="Y730" t="s">
        <v>598</v>
      </c>
      <c r="Z730" t="s">
        <v>831</v>
      </c>
      <c r="AA730" t="s">
        <v>832</v>
      </c>
    </row>
    <row r="731" spans="1:27" ht="14.4" hidden="1" customHeight="1" x14ac:dyDescent="0.3">
      <c r="A731" s="4" t="s">
        <v>0</v>
      </c>
      <c r="B731" s="4" t="s">
        <v>17</v>
      </c>
      <c r="C731" s="16" t="s">
        <v>18</v>
      </c>
      <c r="D731" s="4">
        <v>10</v>
      </c>
      <c r="E731" s="4" t="s">
        <v>745</v>
      </c>
      <c r="F731" t="s">
        <v>259</v>
      </c>
      <c r="G731" t="s">
        <v>233</v>
      </c>
      <c r="J731" s="4" t="s">
        <v>88</v>
      </c>
      <c r="K731" s="4" t="s">
        <v>20</v>
      </c>
      <c r="L731" s="4" t="s">
        <v>742</v>
      </c>
      <c r="M731" s="17">
        <v>30</v>
      </c>
      <c r="N731" s="17">
        <v>829</v>
      </c>
      <c r="O731" s="18" t="s">
        <v>88</v>
      </c>
      <c r="P731" s="18">
        <v>829</v>
      </c>
      <c r="Q731" s="18">
        <v>30</v>
      </c>
      <c r="R731" s="18" t="s">
        <v>817</v>
      </c>
      <c r="S731" s="18" t="s">
        <v>786</v>
      </c>
      <c r="T731" s="18" t="s">
        <v>781</v>
      </c>
      <c r="U7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31" s="19">
        <f>IF(AUDITORIA[[#This Row],[CAT]]="",0,1)</f>
        <v>1</v>
      </c>
      <c r="W731" s="20">
        <v>46163</v>
      </c>
      <c r="X731" s="21" t="str">
        <f>UPPER(IF(AUDITORIA[[#This Row],[DATA VERIFICAÇÃO]]="","",TEXT(AUDITORIA[[#This Row],[DATA VERIFICAÇÃO]],"mmm")))</f>
        <v>MAI</v>
      </c>
      <c r="Y731" t="s">
        <v>598</v>
      </c>
      <c r="Z731" t="s">
        <v>831</v>
      </c>
      <c r="AA731" t="s">
        <v>832</v>
      </c>
    </row>
    <row r="732" spans="1:27" ht="14.4" hidden="1" customHeight="1" x14ac:dyDescent="0.3">
      <c r="A732" s="4" t="s">
        <v>0</v>
      </c>
      <c r="B732" s="4" t="s">
        <v>17</v>
      </c>
      <c r="C732" s="16" t="s">
        <v>18</v>
      </c>
      <c r="D732" s="4">
        <v>10</v>
      </c>
      <c r="E732" s="4" t="s">
        <v>745</v>
      </c>
      <c r="F732" t="s">
        <v>258</v>
      </c>
      <c r="G732" t="s">
        <v>233</v>
      </c>
      <c r="J732" s="4" t="s">
        <v>88</v>
      </c>
      <c r="K732" s="4" t="s">
        <v>20</v>
      </c>
      <c r="L732" s="4" t="s">
        <v>742</v>
      </c>
      <c r="M732" s="17">
        <v>30</v>
      </c>
      <c r="N732" s="17">
        <v>782</v>
      </c>
      <c r="O732" s="18" t="s">
        <v>88</v>
      </c>
      <c r="P732" s="18">
        <v>782</v>
      </c>
      <c r="Q732" s="18">
        <v>30</v>
      </c>
      <c r="R732" s="18" t="s">
        <v>817</v>
      </c>
      <c r="S732" s="18" t="s">
        <v>786</v>
      </c>
      <c r="T732" s="18" t="s">
        <v>782</v>
      </c>
      <c r="U7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32" s="19">
        <f>IF(AUDITORIA[[#This Row],[CAT]]="",0,1)</f>
        <v>1</v>
      </c>
      <c r="W732" s="20">
        <v>46163</v>
      </c>
      <c r="X732" s="21" t="str">
        <f>UPPER(IF(AUDITORIA[[#This Row],[DATA VERIFICAÇÃO]]="","",TEXT(AUDITORIA[[#This Row],[DATA VERIFICAÇÃO]],"mmm")))</f>
        <v>MAI</v>
      </c>
      <c r="Y732" t="s">
        <v>598</v>
      </c>
      <c r="Z732" t="s">
        <v>831</v>
      </c>
      <c r="AA732" t="s">
        <v>832</v>
      </c>
    </row>
    <row r="733" spans="1:27" ht="14.4" hidden="1" customHeight="1" x14ac:dyDescent="0.3">
      <c r="A733" s="4" t="s">
        <v>0</v>
      </c>
      <c r="B733" s="4" t="s">
        <v>17</v>
      </c>
      <c r="C733" s="16" t="s">
        <v>18</v>
      </c>
      <c r="D733" s="4">
        <v>10</v>
      </c>
      <c r="E733" s="4" t="s">
        <v>745</v>
      </c>
      <c r="F733" t="s">
        <v>257</v>
      </c>
      <c r="G733" t="s">
        <v>233</v>
      </c>
      <c r="J733" s="4" t="s">
        <v>88</v>
      </c>
      <c r="K733" s="4" t="s">
        <v>20</v>
      </c>
      <c r="L733" s="4" t="s">
        <v>742</v>
      </c>
      <c r="M733" s="17">
        <v>30</v>
      </c>
      <c r="N733" s="17">
        <v>782</v>
      </c>
      <c r="O733" s="18" t="s">
        <v>88</v>
      </c>
      <c r="P733" s="18">
        <v>782</v>
      </c>
      <c r="Q733" s="18">
        <v>30</v>
      </c>
      <c r="R733" s="18" t="s">
        <v>817</v>
      </c>
      <c r="S733" s="18" t="s">
        <v>786</v>
      </c>
      <c r="T733" s="18" t="s">
        <v>794</v>
      </c>
      <c r="U7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33" s="19">
        <f>IF(AUDITORIA[[#This Row],[CAT]]="",0,1)</f>
        <v>1</v>
      </c>
      <c r="W733" s="20">
        <v>46163</v>
      </c>
      <c r="X733" s="21" t="str">
        <f>UPPER(IF(AUDITORIA[[#This Row],[DATA VERIFICAÇÃO]]="","",TEXT(AUDITORIA[[#This Row],[DATA VERIFICAÇÃO]],"mmm")))</f>
        <v>MAI</v>
      </c>
      <c r="Y733" t="s">
        <v>598</v>
      </c>
      <c r="Z733" t="s">
        <v>831</v>
      </c>
      <c r="AA733" t="s">
        <v>832</v>
      </c>
    </row>
    <row r="734" spans="1:27" ht="14.4" hidden="1" customHeight="1" x14ac:dyDescent="0.3">
      <c r="A734" s="4" t="s">
        <v>0</v>
      </c>
      <c r="B734" s="4" t="s">
        <v>17</v>
      </c>
      <c r="C734" s="16" t="s">
        <v>18</v>
      </c>
      <c r="D734" s="4">
        <v>10</v>
      </c>
      <c r="E734" s="4" t="s">
        <v>745</v>
      </c>
      <c r="F734" t="s">
        <v>256</v>
      </c>
      <c r="G734" t="s">
        <v>233</v>
      </c>
      <c r="J734" s="4" t="s">
        <v>88</v>
      </c>
      <c r="K734" s="4" t="s">
        <v>20</v>
      </c>
      <c r="L734" s="4" t="s">
        <v>742</v>
      </c>
      <c r="M734" s="17">
        <v>30</v>
      </c>
      <c r="N734" s="17">
        <v>793</v>
      </c>
      <c r="O734" s="18" t="s">
        <v>88</v>
      </c>
      <c r="P734" s="18">
        <v>793</v>
      </c>
      <c r="Q734" s="18">
        <v>30</v>
      </c>
      <c r="R734" s="18" t="s">
        <v>817</v>
      </c>
      <c r="S734" s="18" t="s">
        <v>788</v>
      </c>
      <c r="T734" s="18" t="s">
        <v>780</v>
      </c>
      <c r="U7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34" s="19">
        <f>IF(AUDITORIA[[#This Row],[CAT]]="",0,1)</f>
        <v>1</v>
      </c>
      <c r="W734" s="20">
        <v>46163</v>
      </c>
      <c r="X734" s="21" t="str">
        <f>UPPER(IF(AUDITORIA[[#This Row],[DATA VERIFICAÇÃO]]="","",TEXT(AUDITORIA[[#This Row],[DATA VERIFICAÇÃO]],"mmm")))</f>
        <v>MAI</v>
      </c>
      <c r="Y734" t="s">
        <v>598</v>
      </c>
      <c r="Z734" t="s">
        <v>831</v>
      </c>
      <c r="AA734" t="s">
        <v>832</v>
      </c>
    </row>
    <row r="735" spans="1:27" ht="14.4" hidden="1" customHeight="1" x14ac:dyDescent="0.3">
      <c r="A735" s="4" t="s">
        <v>0</v>
      </c>
      <c r="B735" s="4" t="s">
        <v>17</v>
      </c>
      <c r="C735" s="16" t="s">
        <v>18</v>
      </c>
      <c r="D735" s="4">
        <v>10</v>
      </c>
      <c r="E735" s="4" t="s">
        <v>745</v>
      </c>
      <c r="F735" t="s">
        <v>255</v>
      </c>
      <c r="G735" t="s">
        <v>233</v>
      </c>
      <c r="J735" s="4" t="s">
        <v>88</v>
      </c>
      <c r="K735" s="4" t="s">
        <v>20</v>
      </c>
      <c r="L735" s="4" t="s">
        <v>742</v>
      </c>
      <c r="M735" s="17">
        <v>30</v>
      </c>
      <c r="N735" s="17">
        <v>814</v>
      </c>
      <c r="O735" s="18" t="s">
        <v>88</v>
      </c>
      <c r="P735" s="18">
        <v>814</v>
      </c>
      <c r="Q735" s="18">
        <v>30</v>
      </c>
      <c r="R735" s="18" t="s">
        <v>817</v>
      </c>
      <c r="S735" s="18" t="s">
        <v>788</v>
      </c>
      <c r="T735" s="18" t="s">
        <v>781</v>
      </c>
      <c r="U7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35" s="19">
        <f>IF(AUDITORIA[[#This Row],[CAT]]="",0,1)</f>
        <v>1</v>
      </c>
      <c r="W735" s="20">
        <v>46163</v>
      </c>
      <c r="X735" s="21" t="str">
        <f>UPPER(IF(AUDITORIA[[#This Row],[DATA VERIFICAÇÃO]]="","",TEXT(AUDITORIA[[#This Row],[DATA VERIFICAÇÃO]],"mmm")))</f>
        <v>MAI</v>
      </c>
      <c r="Y735" t="s">
        <v>598</v>
      </c>
      <c r="Z735" t="s">
        <v>831</v>
      </c>
      <c r="AA735" t="s">
        <v>832</v>
      </c>
    </row>
    <row r="736" spans="1:27" ht="14.4" hidden="1" customHeight="1" x14ac:dyDescent="0.3">
      <c r="A736" s="4" t="s">
        <v>0</v>
      </c>
      <c r="B736" s="4" t="s">
        <v>17</v>
      </c>
      <c r="C736" s="16" t="s">
        <v>18</v>
      </c>
      <c r="D736" s="4">
        <v>10</v>
      </c>
      <c r="E736" s="4" t="s">
        <v>745</v>
      </c>
      <c r="F736" t="s">
        <v>232</v>
      </c>
      <c r="G736" t="s">
        <v>233</v>
      </c>
      <c r="J736" s="4" t="s">
        <v>88</v>
      </c>
      <c r="K736" s="4" t="s">
        <v>20</v>
      </c>
      <c r="L736" s="4" t="s">
        <v>742</v>
      </c>
      <c r="M736" s="17">
        <v>30</v>
      </c>
      <c r="N736" s="17">
        <v>820</v>
      </c>
      <c r="O736" s="18" t="s">
        <v>88</v>
      </c>
      <c r="P736" s="18">
        <v>820</v>
      </c>
      <c r="Q736" s="18">
        <v>30</v>
      </c>
      <c r="R736" s="18" t="s">
        <v>817</v>
      </c>
      <c r="S736" s="18" t="s">
        <v>788</v>
      </c>
      <c r="T736" s="18" t="s">
        <v>782</v>
      </c>
      <c r="U7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36" s="19">
        <f>IF(AUDITORIA[[#This Row],[CAT]]="",0,1)</f>
        <v>1</v>
      </c>
      <c r="W736" s="20">
        <v>46163</v>
      </c>
      <c r="X736" s="21" t="str">
        <f>UPPER(IF(AUDITORIA[[#This Row],[DATA VERIFICAÇÃO]]="","",TEXT(AUDITORIA[[#This Row],[DATA VERIFICAÇÃO]],"mmm")))</f>
        <v>MAI</v>
      </c>
      <c r="Y736" t="s">
        <v>598</v>
      </c>
      <c r="Z736" t="s">
        <v>831</v>
      </c>
      <c r="AA736" t="s">
        <v>832</v>
      </c>
    </row>
    <row r="737" spans="1:27" ht="14.4" hidden="1" customHeight="1" x14ac:dyDescent="0.3">
      <c r="A737" s="4" t="s">
        <v>0</v>
      </c>
      <c r="B737" s="4" t="s">
        <v>17</v>
      </c>
      <c r="C737" s="16" t="s">
        <v>18</v>
      </c>
      <c r="D737" s="4">
        <v>10</v>
      </c>
      <c r="E737" s="4" t="s">
        <v>745</v>
      </c>
      <c r="F737" t="s">
        <v>767</v>
      </c>
      <c r="G737" t="s">
        <v>233</v>
      </c>
      <c r="J737" s="4" t="s">
        <v>88</v>
      </c>
      <c r="K737" s="4" t="s">
        <v>20</v>
      </c>
      <c r="L737" s="4" t="s">
        <v>742</v>
      </c>
      <c r="M737" s="17">
        <v>30</v>
      </c>
      <c r="N737" s="17">
        <v>824</v>
      </c>
      <c r="O737" s="18" t="s">
        <v>88</v>
      </c>
      <c r="P737" s="18">
        <v>824</v>
      </c>
      <c r="Q737" s="18">
        <v>30</v>
      </c>
      <c r="R737" s="18" t="s">
        <v>817</v>
      </c>
      <c r="S737" s="18" t="s">
        <v>793</v>
      </c>
      <c r="T737" s="18" t="s">
        <v>780</v>
      </c>
      <c r="U7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37" s="19">
        <f>IF(AUDITORIA[[#This Row],[CAT]]="",0,1)</f>
        <v>1</v>
      </c>
      <c r="W737" s="20">
        <v>46163</v>
      </c>
      <c r="X737" s="21" t="str">
        <f>UPPER(IF(AUDITORIA[[#This Row],[DATA VERIFICAÇÃO]]="","",TEXT(AUDITORIA[[#This Row],[DATA VERIFICAÇÃO]],"mmm")))</f>
        <v>MAI</v>
      </c>
      <c r="Y737" t="s">
        <v>598</v>
      </c>
      <c r="Z737" t="s">
        <v>831</v>
      </c>
      <c r="AA737" t="s">
        <v>832</v>
      </c>
    </row>
    <row r="738" spans="1:27" ht="14.4" hidden="1" customHeight="1" x14ac:dyDescent="0.3">
      <c r="A738" s="4" t="s">
        <v>0</v>
      </c>
      <c r="B738" s="4" t="s">
        <v>17</v>
      </c>
      <c r="C738" s="16" t="s">
        <v>18</v>
      </c>
      <c r="D738" s="4">
        <v>10</v>
      </c>
      <c r="E738" s="4" t="s">
        <v>745</v>
      </c>
      <c r="F738" t="s">
        <v>763</v>
      </c>
      <c r="G738" t="s">
        <v>233</v>
      </c>
      <c r="J738" s="4" t="s">
        <v>88</v>
      </c>
      <c r="K738" s="4" t="s">
        <v>20</v>
      </c>
      <c r="L738" s="4" t="s">
        <v>742</v>
      </c>
      <c r="M738" s="17">
        <v>30</v>
      </c>
      <c r="N738" s="17">
        <v>818</v>
      </c>
      <c r="O738" s="18" t="s">
        <v>88</v>
      </c>
      <c r="P738" s="18">
        <v>818</v>
      </c>
      <c r="Q738" s="18">
        <v>30</v>
      </c>
      <c r="R738" s="18" t="s">
        <v>817</v>
      </c>
      <c r="S738" s="18" t="s">
        <v>784</v>
      </c>
      <c r="T738" s="18" t="s">
        <v>780</v>
      </c>
      <c r="U7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38" s="19">
        <f>IF(AUDITORIA[[#This Row],[CAT]]="",0,1)</f>
        <v>1</v>
      </c>
      <c r="W738" s="20">
        <v>46163</v>
      </c>
      <c r="X738" s="21" t="str">
        <f>UPPER(IF(AUDITORIA[[#This Row],[DATA VERIFICAÇÃO]]="","",TEXT(AUDITORIA[[#This Row],[DATA VERIFICAÇÃO]],"mmm")))</f>
        <v>MAI</v>
      </c>
      <c r="Y738" t="s">
        <v>598</v>
      </c>
      <c r="Z738" t="s">
        <v>831</v>
      </c>
      <c r="AA738" t="s">
        <v>832</v>
      </c>
    </row>
    <row r="739" spans="1:27" ht="14.4" hidden="1" customHeight="1" x14ac:dyDescent="0.3">
      <c r="A739" s="4" t="s">
        <v>0</v>
      </c>
      <c r="B739" s="4" t="s">
        <v>17</v>
      </c>
      <c r="C739" s="16" t="s">
        <v>18</v>
      </c>
      <c r="D739" s="4">
        <v>10</v>
      </c>
      <c r="E739" s="4" t="s">
        <v>745</v>
      </c>
      <c r="F739" t="s">
        <v>761</v>
      </c>
      <c r="G739" t="s">
        <v>233</v>
      </c>
      <c r="J739" s="4" t="s">
        <v>88</v>
      </c>
      <c r="K739" s="4" t="s">
        <v>20</v>
      </c>
      <c r="L739" s="4" t="s">
        <v>742</v>
      </c>
      <c r="M739" s="17">
        <v>30</v>
      </c>
      <c r="N739" s="17">
        <v>827</v>
      </c>
      <c r="O739" s="18" t="s">
        <v>88</v>
      </c>
      <c r="P739" s="18">
        <v>827</v>
      </c>
      <c r="Q739" s="18">
        <v>30</v>
      </c>
      <c r="R739" s="18" t="s">
        <v>817</v>
      </c>
      <c r="S739" s="18" t="s">
        <v>804</v>
      </c>
      <c r="T739" s="18" t="s">
        <v>780</v>
      </c>
      <c r="U7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39" s="19">
        <f>IF(AUDITORIA[[#This Row],[CAT]]="",0,1)</f>
        <v>1</v>
      </c>
      <c r="W739" s="20">
        <v>46163</v>
      </c>
      <c r="X739" s="21" t="str">
        <f>UPPER(IF(AUDITORIA[[#This Row],[DATA VERIFICAÇÃO]]="","",TEXT(AUDITORIA[[#This Row],[DATA VERIFICAÇÃO]],"mmm")))</f>
        <v>MAI</v>
      </c>
      <c r="Y739" t="s">
        <v>598</v>
      </c>
      <c r="Z739" t="s">
        <v>831</v>
      </c>
      <c r="AA739" t="s">
        <v>832</v>
      </c>
    </row>
    <row r="740" spans="1:27" ht="14.4" hidden="1" customHeight="1" x14ac:dyDescent="0.3">
      <c r="A740" s="4" t="s">
        <v>0</v>
      </c>
      <c r="B740" s="4" t="s">
        <v>17</v>
      </c>
      <c r="C740" s="16" t="s">
        <v>18</v>
      </c>
      <c r="D740" s="4">
        <v>10</v>
      </c>
      <c r="E740" s="4" t="s">
        <v>745</v>
      </c>
      <c r="F740" t="s">
        <v>759</v>
      </c>
      <c r="G740" t="s">
        <v>233</v>
      </c>
      <c r="J740" s="4" t="s">
        <v>88</v>
      </c>
      <c r="K740" s="4" t="s">
        <v>20</v>
      </c>
      <c r="L740" s="4" t="s">
        <v>742</v>
      </c>
      <c r="M740" s="17">
        <v>30</v>
      </c>
      <c r="N740" s="17">
        <v>822</v>
      </c>
      <c r="O740" s="18" t="s">
        <v>88</v>
      </c>
      <c r="P740" s="18">
        <v>822</v>
      </c>
      <c r="Q740" s="18">
        <v>30</v>
      </c>
      <c r="R740" s="18" t="s">
        <v>817</v>
      </c>
      <c r="S740" s="18" t="s">
        <v>804</v>
      </c>
      <c r="T740" s="18" t="s">
        <v>781</v>
      </c>
      <c r="U7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40" s="19">
        <f>IF(AUDITORIA[[#This Row],[CAT]]="",0,1)</f>
        <v>1</v>
      </c>
      <c r="W740" s="20">
        <v>46163</v>
      </c>
      <c r="X740" s="21" t="str">
        <f>UPPER(IF(AUDITORIA[[#This Row],[DATA VERIFICAÇÃO]]="","",TEXT(AUDITORIA[[#This Row],[DATA VERIFICAÇÃO]],"mmm")))</f>
        <v>MAI</v>
      </c>
      <c r="Y740" t="s">
        <v>598</v>
      </c>
      <c r="Z740" t="s">
        <v>831</v>
      </c>
      <c r="AA740" t="s">
        <v>832</v>
      </c>
    </row>
    <row r="741" spans="1:27" ht="14.4" hidden="1" customHeight="1" x14ac:dyDescent="0.3">
      <c r="A741" s="4" t="s">
        <v>0</v>
      </c>
      <c r="B741" s="4" t="s">
        <v>17</v>
      </c>
      <c r="C741" s="16" t="s">
        <v>18</v>
      </c>
      <c r="D741" s="4">
        <v>10</v>
      </c>
      <c r="E741" s="4" t="s">
        <v>745</v>
      </c>
      <c r="F741" t="s">
        <v>755</v>
      </c>
      <c r="G741" t="s">
        <v>233</v>
      </c>
      <c r="J741" s="4" t="s">
        <v>774</v>
      </c>
      <c r="K741" s="4" t="s">
        <v>20</v>
      </c>
      <c r="L741" s="4" t="s">
        <v>742</v>
      </c>
      <c r="M741" s="17">
        <v>20</v>
      </c>
      <c r="N741" s="17">
        <v>828</v>
      </c>
      <c r="O741" s="18" t="s">
        <v>774</v>
      </c>
      <c r="P741" s="18">
        <v>828</v>
      </c>
      <c r="Q741" s="18">
        <v>20</v>
      </c>
      <c r="R741" s="18" t="s">
        <v>817</v>
      </c>
      <c r="S741" s="18" t="s">
        <v>809</v>
      </c>
      <c r="T741" s="18" t="s">
        <v>780</v>
      </c>
      <c r="U7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41" s="19">
        <f>IF(AUDITORIA[[#This Row],[CAT]]="",0,1)</f>
        <v>1</v>
      </c>
      <c r="W741" s="20">
        <v>46163</v>
      </c>
      <c r="X741" s="21" t="str">
        <f>UPPER(IF(AUDITORIA[[#This Row],[DATA VERIFICAÇÃO]]="","",TEXT(AUDITORIA[[#This Row],[DATA VERIFICAÇÃO]],"mmm")))</f>
        <v>MAI</v>
      </c>
      <c r="Y741" t="s">
        <v>598</v>
      </c>
      <c r="Z741" t="s">
        <v>831</v>
      </c>
      <c r="AA741" t="s">
        <v>832</v>
      </c>
    </row>
    <row r="742" spans="1:27" ht="14.4" hidden="1" customHeight="1" x14ac:dyDescent="0.3">
      <c r="A742" s="4" t="s">
        <v>0</v>
      </c>
      <c r="B742" s="4" t="s">
        <v>17</v>
      </c>
      <c r="C742" s="16" t="s">
        <v>18</v>
      </c>
      <c r="D742" s="4">
        <v>10</v>
      </c>
      <c r="E742" s="4" t="s">
        <v>745</v>
      </c>
      <c r="F742" t="s">
        <v>254</v>
      </c>
      <c r="G742" t="s">
        <v>233</v>
      </c>
      <c r="J742" s="4" t="s">
        <v>88</v>
      </c>
      <c r="K742" s="4" t="s">
        <v>21</v>
      </c>
      <c r="L742" s="4" t="s">
        <v>742</v>
      </c>
      <c r="M742" s="17">
        <v>9</v>
      </c>
      <c r="N742" s="17">
        <v>1127</v>
      </c>
      <c r="O742" s="18" t="s">
        <v>88</v>
      </c>
      <c r="P742" s="18">
        <v>1127</v>
      </c>
      <c r="Q742" s="18">
        <v>9</v>
      </c>
      <c r="R742" s="18" t="s">
        <v>817</v>
      </c>
      <c r="S742" s="18" t="s">
        <v>827</v>
      </c>
      <c r="T742" s="18" t="s">
        <v>780</v>
      </c>
      <c r="U7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42" s="19">
        <f>IF(AUDITORIA[[#This Row],[CAT]]="",0,1)</f>
        <v>1</v>
      </c>
      <c r="W742" s="20">
        <v>46163</v>
      </c>
      <c r="X742" s="21" t="str">
        <f>UPPER(IF(AUDITORIA[[#This Row],[DATA VERIFICAÇÃO]]="","",TEXT(AUDITORIA[[#This Row],[DATA VERIFICAÇÃO]],"mmm")))</f>
        <v>MAI</v>
      </c>
      <c r="Y742" t="s">
        <v>598</v>
      </c>
      <c r="Z742" t="s">
        <v>831</v>
      </c>
      <c r="AA742" t="s">
        <v>832</v>
      </c>
    </row>
    <row r="743" spans="1:27" ht="14.4" hidden="1" customHeight="1" x14ac:dyDescent="0.3">
      <c r="A743" s="4" t="s">
        <v>0</v>
      </c>
      <c r="B743" s="4" t="s">
        <v>17</v>
      </c>
      <c r="C743" s="16" t="s">
        <v>18</v>
      </c>
      <c r="D743" s="4">
        <v>10</v>
      </c>
      <c r="E743" s="4" t="s">
        <v>745</v>
      </c>
      <c r="F743" t="s">
        <v>253</v>
      </c>
      <c r="G743" t="s">
        <v>233</v>
      </c>
      <c r="J743" s="4" t="s">
        <v>88</v>
      </c>
      <c r="K743" s="4" t="s">
        <v>21</v>
      </c>
      <c r="L743" s="4" t="s">
        <v>742</v>
      </c>
      <c r="M743" s="17">
        <v>27</v>
      </c>
      <c r="N743" s="17">
        <v>964</v>
      </c>
      <c r="O743" s="18" t="s">
        <v>88</v>
      </c>
      <c r="P743" s="18">
        <v>964</v>
      </c>
      <c r="Q743" s="18">
        <v>27</v>
      </c>
      <c r="R743" s="18" t="s">
        <v>817</v>
      </c>
      <c r="S743" s="18" t="s">
        <v>823</v>
      </c>
      <c r="T743" s="18" t="s">
        <v>780</v>
      </c>
      <c r="U7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43" s="19">
        <f>IF(AUDITORIA[[#This Row],[CAT]]="",0,1)</f>
        <v>1</v>
      </c>
      <c r="W743" s="20">
        <v>46163</v>
      </c>
      <c r="X743" s="21" t="str">
        <f>UPPER(IF(AUDITORIA[[#This Row],[DATA VERIFICAÇÃO]]="","",TEXT(AUDITORIA[[#This Row],[DATA VERIFICAÇÃO]],"mmm")))</f>
        <v>MAI</v>
      </c>
      <c r="Y743" t="s">
        <v>598</v>
      </c>
      <c r="Z743" t="s">
        <v>831</v>
      </c>
      <c r="AA743" t="s">
        <v>832</v>
      </c>
    </row>
    <row r="744" spans="1:27" ht="14.4" hidden="1" customHeight="1" x14ac:dyDescent="0.3">
      <c r="A744" s="4" t="s">
        <v>0</v>
      </c>
      <c r="B744" s="4" t="s">
        <v>17</v>
      </c>
      <c r="C744" s="16" t="s">
        <v>18</v>
      </c>
      <c r="D744" s="4">
        <v>10</v>
      </c>
      <c r="E744" s="4" t="s">
        <v>745</v>
      </c>
      <c r="F744" t="s">
        <v>252</v>
      </c>
      <c r="G744" t="s">
        <v>233</v>
      </c>
      <c r="J744" s="4" t="s">
        <v>88</v>
      </c>
      <c r="K744" s="4" t="s">
        <v>21</v>
      </c>
      <c r="L744" s="4" t="s">
        <v>742</v>
      </c>
      <c r="M744" s="17">
        <v>27</v>
      </c>
      <c r="N744" s="17">
        <v>946</v>
      </c>
      <c r="O744" s="18" t="s">
        <v>88</v>
      </c>
      <c r="P744" s="18">
        <v>946</v>
      </c>
      <c r="Q744" s="18">
        <v>27</v>
      </c>
      <c r="R744" s="18" t="s">
        <v>817</v>
      </c>
      <c r="S744" s="18" t="s">
        <v>823</v>
      </c>
      <c r="T744" s="18" t="s">
        <v>781</v>
      </c>
      <c r="U7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44" s="19">
        <f>IF(AUDITORIA[[#This Row],[CAT]]="",0,1)</f>
        <v>1</v>
      </c>
      <c r="W744" s="20">
        <v>46163</v>
      </c>
      <c r="X744" s="21" t="str">
        <f>UPPER(IF(AUDITORIA[[#This Row],[DATA VERIFICAÇÃO]]="","",TEXT(AUDITORIA[[#This Row],[DATA VERIFICAÇÃO]],"mmm")))</f>
        <v>MAI</v>
      </c>
      <c r="Y744" t="s">
        <v>598</v>
      </c>
      <c r="Z744" t="s">
        <v>831</v>
      </c>
      <c r="AA744" t="s">
        <v>832</v>
      </c>
    </row>
    <row r="745" spans="1:27" ht="14.4" hidden="1" customHeight="1" x14ac:dyDescent="0.3">
      <c r="A745" s="4" t="s">
        <v>0</v>
      </c>
      <c r="B745" s="4" t="s">
        <v>17</v>
      </c>
      <c r="C745" s="16" t="s">
        <v>18</v>
      </c>
      <c r="D745" s="4">
        <v>10</v>
      </c>
      <c r="E745" s="4" t="s">
        <v>745</v>
      </c>
      <c r="F745" t="s">
        <v>251</v>
      </c>
      <c r="G745" t="s">
        <v>233</v>
      </c>
      <c r="J745" s="4" t="s">
        <v>88</v>
      </c>
      <c r="K745" s="4" t="s">
        <v>21</v>
      </c>
      <c r="L745" s="4" t="s">
        <v>742</v>
      </c>
      <c r="M745" s="17">
        <v>27</v>
      </c>
      <c r="N745" s="17">
        <v>955</v>
      </c>
      <c r="O745" s="18" t="s">
        <v>88</v>
      </c>
      <c r="P745" s="18">
        <v>955</v>
      </c>
      <c r="Q745" s="18">
        <v>27</v>
      </c>
      <c r="R745" s="18" t="s">
        <v>817</v>
      </c>
      <c r="S745" s="18" t="s">
        <v>823</v>
      </c>
      <c r="T745" s="18" t="s">
        <v>782</v>
      </c>
      <c r="U7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45" s="19">
        <f>IF(AUDITORIA[[#This Row],[CAT]]="",0,1)</f>
        <v>1</v>
      </c>
      <c r="W745" s="20">
        <v>46163</v>
      </c>
      <c r="X745" s="21" t="str">
        <f>UPPER(IF(AUDITORIA[[#This Row],[DATA VERIFICAÇÃO]]="","",TEXT(AUDITORIA[[#This Row],[DATA VERIFICAÇÃO]],"mmm")))</f>
        <v>MAI</v>
      </c>
      <c r="Y745" t="s">
        <v>598</v>
      </c>
      <c r="Z745" t="s">
        <v>831</v>
      </c>
      <c r="AA745" t="s">
        <v>832</v>
      </c>
    </row>
    <row r="746" spans="1:27" ht="14.4" hidden="1" customHeight="1" x14ac:dyDescent="0.3">
      <c r="A746" s="4" t="s">
        <v>0</v>
      </c>
      <c r="B746" s="4" t="s">
        <v>17</v>
      </c>
      <c r="C746" s="16" t="s">
        <v>18</v>
      </c>
      <c r="D746" s="4">
        <v>10</v>
      </c>
      <c r="E746" s="4" t="s">
        <v>745</v>
      </c>
      <c r="F746" t="s">
        <v>250</v>
      </c>
      <c r="G746" t="s">
        <v>233</v>
      </c>
      <c r="J746" s="4" t="s">
        <v>88</v>
      </c>
      <c r="K746" s="4" t="s">
        <v>21</v>
      </c>
      <c r="L746" s="4" t="s">
        <v>742</v>
      </c>
      <c r="M746" s="17">
        <v>27</v>
      </c>
      <c r="N746" s="17">
        <v>964</v>
      </c>
      <c r="O746" s="18" t="s">
        <v>88</v>
      </c>
      <c r="P746" s="18">
        <v>964</v>
      </c>
      <c r="Q746" s="18">
        <v>27</v>
      </c>
      <c r="R746" s="18" t="s">
        <v>817</v>
      </c>
      <c r="S746" s="18" t="s">
        <v>823</v>
      </c>
      <c r="T746" s="18" t="s">
        <v>794</v>
      </c>
      <c r="U7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46" s="19">
        <f>IF(AUDITORIA[[#This Row],[CAT]]="",0,1)</f>
        <v>1</v>
      </c>
      <c r="W746" s="20">
        <v>46163</v>
      </c>
      <c r="X746" s="21" t="str">
        <f>UPPER(IF(AUDITORIA[[#This Row],[DATA VERIFICAÇÃO]]="","",TEXT(AUDITORIA[[#This Row],[DATA VERIFICAÇÃO]],"mmm")))</f>
        <v>MAI</v>
      </c>
      <c r="Y746" t="s">
        <v>598</v>
      </c>
      <c r="Z746" t="s">
        <v>831</v>
      </c>
      <c r="AA746" t="s">
        <v>832</v>
      </c>
    </row>
    <row r="747" spans="1:27" ht="14.4" hidden="1" customHeight="1" x14ac:dyDescent="0.3">
      <c r="A747" s="4" t="s">
        <v>0</v>
      </c>
      <c r="B747" s="4" t="s">
        <v>17</v>
      </c>
      <c r="C747" s="16" t="s">
        <v>18</v>
      </c>
      <c r="D747" s="4">
        <v>10</v>
      </c>
      <c r="E747" s="4" t="s">
        <v>745</v>
      </c>
      <c r="F747" t="s">
        <v>249</v>
      </c>
      <c r="G747" t="s">
        <v>233</v>
      </c>
      <c r="J747" s="4" t="s">
        <v>88</v>
      </c>
      <c r="K747" s="4" t="s">
        <v>21</v>
      </c>
      <c r="L747" s="4" t="s">
        <v>742</v>
      </c>
      <c r="M747" s="17">
        <v>27</v>
      </c>
      <c r="N747" s="17">
        <v>949</v>
      </c>
      <c r="O747" s="18" t="s">
        <v>88</v>
      </c>
      <c r="P747" s="18">
        <v>949</v>
      </c>
      <c r="Q747" s="18">
        <v>27</v>
      </c>
      <c r="R747" s="18" t="s">
        <v>817</v>
      </c>
      <c r="S747" s="18" t="s">
        <v>821</v>
      </c>
      <c r="T747" s="18" t="s">
        <v>780</v>
      </c>
      <c r="U7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47" s="19">
        <f>IF(AUDITORIA[[#This Row],[CAT]]="",0,1)</f>
        <v>1</v>
      </c>
      <c r="W747" s="20">
        <v>46163</v>
      </c>
      <c r="X747" s="21" t="str">
        <f>UPPER(IF(AUDITORIA[[#This Row],[DATA VERIFICAÇÃO]]="","",TEXT(AUDITORIA[[#This Row],[DATA VERIFICAÇÃO]],"mmm")))</f>
        <v>MAI</v>
      </c>
      <c r="Y747" t="s">
        <v>598</v>
      </c>
      <c r="Z747" t="s">
        <v>831</v>
      </c>
      <c r="AA747" t="s">
        <v>832</v>
      </c>
    </row>
    <row r="748" spans="1:27" ht="14.4" hidden="1" customHeight="1" x14ac:dyDescent="0.3">
      <c r="A748" s="4" t="s">
        <v>0</v>
      </c>
      <c r="B748" s="4" t="s">
        <v>17</v>
      </c>
      <c r="C748" s="16" t="s">
        <v>18</v>
      </c>
      <c r="D748" s="4">
        <v>10</v>
      </c>
      <c r="E748" s="4" t="s">
        <v>745</v>
      </c>
      <c r="F748" t="s">
        <v>248</v>
      </c>
      <c r="G748" t="s">
        <v>233</v>
      </c>
      <c r="J748" s="4" t="s">
        <v>88</v>
      </c>
      <c r="K748" s="4" t="s">
        <v>21</v>
      </c>
      <c r="L748" s="4" t="s">
        <v>742</v>
      </c>
      <c r="M748" s="17">
        <v>27</v>
      </c>
      <c r="N748" s="17">
        <v>973</v>
      </c>
      <c r="O748" s="18" t="s">
        <v>88</v>
      </c>
      <c r="P748" s="18">
        <v>973</v>
      </c>
      <c r="Q748" s="18">
        <v>27</v>
      </c>
      <c r="R748" s="18" t="s">
        <v>817</v>
      </c>
      <c r="S748" s="18" t="s">
        <v>821</v>
      </c>
      <c r="T748" s="18" t="s">
        <v>781</v>
      </c>
      <c r="U7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48" s="19">
        <f>IF(AUDITORIA[[#This Row],[CAT]]="",0,1)</f>
        <v>1</v>
      </c>
      <c r="W748" s="20">
        <v>46163</v>
      </c>
      <c r="X748" s="21" t="str">
        <f>UPPER(IF(AUDITORIA[[#This Row],[DATA VERIFICAÇÃO]]="","",TEXT(AUDITORIA[[#This Row],[DATA VERIFICAÇÃO]],"mmm")))</f>
        <v>MAI</v>
      </c>
      <c r="Y748" t="s">
        <v>598</v>
      </c>
      <c r="Z748" t="s">
        <v>831</v>
      </c>
      <c r="AA748" t="s">
        <v>832</v>
      </c>
    </row>
    <row r="749" spans="1:27" ht="14.4" hidden="1" customHeight="1" x14ac:dyDescent="0.3">
      <c r="A749" s="4" t="s">
        <v>0</v>
      </c>
      <c r="B749" s="4" t="s">
        <v>17</v>
      </c>
      <c r="C749" s="16" t="s">
        <v>18</v>
      </c>
      <c r="D749" s="4">
        <v>10</v>
      </c>
      <c r="E749" s="4" t="s">
        <v>745</v>
      </c>
      <c r="F749" t="s">
        <v>247</v>
      </c>
      <c r="G749" t="s">
        <v>233</v>
      </c>
      <c r="J749" s="4" t="s">
        <v>88</v>
      </c>
      <c r="K749" s="4" t="s">
        <v>21</v>
      </c>
      <c r="L749" s="4" t="s">
        <v>742</v>
      </c>
      <c r="M749" s="17">
        <v>27</v>
      </c>
      <c r="N749" s="17">
        <v>998</v>
      </c>
      <c r="O749" s="18" t="s">
        <v>88</v>
      </c>
      <c r="P749" s="18">
        <v>998</v>
      </c>
      <c r="Q749" s="18">
        <v>27</v>
      </c>
      <c r="R749" s="18" t="s">
        <v>817</v>
      </c>
      <c r="S749" s="18" t="s">
        <v>821</v>
      </c>
      <c r="T749" s="18" t="s">
        <v>794</v>
      </c>
      <c r="U7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49" s="19">
        <f>IF(AUDITORIA[[#This Row],[CAT]]="",0,1)</f>
        <v>1</v>
      </c>
      <c r="W749" s="20">
        <v>46163</v>
      </c>
      <c r="X749" s="21" t="str">
        <f>UPPER(IF(AUDITORIA[[#This Row],[DATA VERIFICAÇÃO]]="","",TEXT(AUDITORIA[[#This Row],[DATA VERIFICAÇÃO]],"mmm")))</f>
        <v>MAI</v>
      </c>
      <c r="Y749" t="s">
        <v>598</v>
      </c>
      <c r="Z749" t="s">
        <v>831</v>
      </c>
      <c r="AA749" t="s">
        <v>832</v>
      </c>
    </row>
    <row r="750" spans="1:27" ht="14.4" hidden="1" customHeight="1" x14ac:dyDescent="0.3">
      <c r="A750" s="4" t="s">
        <v>0</v>
      </c>
      <c r="B750" s="4" t="s">
        <v>17</v>
      </c>
      <c r="C750" s="16" t="s">
        <v>18</v>
      </c>
      <c r="D750" s="4">
        <v>10</v>
      </c>
      <c r="E750" s="4" t="s">
        <v>745</v>
      </c>
      <c r="F750" t="s">
        <v>246</v>
      </c>
      <c r="G750" t="s">
        <v>233</v>
      </c>
      <c r="J750" s="4" t="s">
        <v>88</v>
      </c>
      <c r="K750" s="4" t="s">
        <v>21</v>
      </c>
      <c r="L750" s="4" t="s">
        <v>742</v>
      </c>
      <c r="M750" s="17">
        <v>27</v>
      </c>
      <c r="N750" s="17">
        <v>969</v>
      </c>
      <c r="O750" s="18" t="s">
        <v>88</v>
      </c>
      <c r="P750" s="18">
        <v>969</v>
      </c>
      <c r="Q750" s="18">
        <v>27</v>
      </c>
      <c r="R750" s="18" t="s">
        <v>817</v>
      </c>
      <c r="S750" s="18" t="s">
        <v>821</v>
      </c>
      <c r="T750" s="18" t="s">
        <v>782</v>
      </c>
      <c r="U7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50" s="19">
        <f>IF(AUDITORIA[[#This Row],[CAT]]="",0,1)</f>
        <v>1</v>
      </c>
      <c r="W750" s="20">
        <v>46163</v>
      </c>
      <c r="X750" s="21" t="str">
        <f>UPPER(IF(AUDITORIA[[#This Row],[DATA VERIFICAÇÃO]]="","",TEXT(AUDITORIA[[#This Row],[DATA VERIFICAÇÃO]],"mmm")))</f>
        <v>MAI</v>
      </c>
      <c r="Y750" t="s">
        <v>598</v>
      </c>
      <c r="Z750" t="s">
        <v>831</v>
      </c>
      <c r="AA750" t="s">
        <v>832</v>
      </c>
    </row>
    <row r="751" spans="1:27" ht="14.4" hidden="1" customHeight="1" x14ac:dyDescent="0.3">
      <c r="A751" s="4" t="s">
        <v>0</v>
      </c>
      <c r="B751" s="4" t="s">
        <v>17</v>
      </c>
      <c r="C751" s="16" t="s">
        <v>18</v>
      </c>
      <c r="D751" s="4">
        <v>10</v>
      </c>
      <c r="E751" s="4" t="s">
        <v>745</v>
      </c>
      <c r="F751" t="s">
        <v>245</v>
      </c>
      <c r="G751" t="s">
        <v>233</v>
      </c>
      <c r="J751" s="4" t="s">
        <v>88</v>
      </c>
      <c r="K751" s="4" t="s">
        <v>21</v>
      </c>
      <c r="L751" s="4" t="s">
        <v>742</v>
      </c>
      <c r="M751" s="17">
        <v>27</v>
      </c>
      <c r="N751" s="17">
        <v>964</v>
      </c>
      <c r="O751" s="18" t="s">
        <v>88</v>
      </c>
      <c r="P751" s="18">
        <v>964</v>
      </c>
      <c r="Q751" s="18">
        <v>27</v>
      </c>
      <c r="R751" s="18" t="s">
        <v>817</v>
      </c>
      <c r="S751" s="18" t="s">
        <v>783</v>
      </c>
      <c r="T751" s="18" t="s">
        <v>782</v>
      </c>
      <c r="U7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51" s="19">
        <f>IF(AUDITORIA[[#This Row],[CAT]]="",0,1)</f>
        <v>1</v>
      </c>
      <c r="W751" s="20">
        <v>46163</v>
      </c>
      <c r="X751" s="21" t="str">
        <f>UPPER(IF(AUDITORIA[[#This Row],[DATA VERIFICAÇÃO]]="","",TEXT(AUDITORIA[[#This Row],[DATA VERIFICAÇÃO]],"mmm")))</f>
        <v>MAI</v>
      </c>
      <c r="Y751" t="s">
        <v>598</v>
      </c>
      <c r="Z751" t="s">
        <v>831</v>
      </c>
      <c r="AA751" t="s">
        <v>832</v>
      </c>
    </row>
    <row r="752" spans="1:27" ht="14.4" hidden="1" customHeight="1" x14ac:dyDescent="0.3">
      <c r="A752" s="4" t="s">
        <v>0</v>
      </c>
      <c r="B752" s="4" t="s">
        <v>17</v>
      </c>
      <c r="C752" s="16" t="s">
        <v>18</v>
      </c>
      <c r="D752" s="4">
        <v>10</v>
      </c>
      <c r="E752" s="4" t="s">
        <v>745</v>
      </c>
      <c r="F752" t="s">
        <v>244</v>
      </c>
      <c r="G752" t="s">
        <v>233</v>
      </c>
      <c r="J752" s="4" t="s">
        <v>88</v>
      </c>
      <c r="K752" s="4" t="s">
        <v>21</v>
      </c>
      <c r="L752" s="4" t="s">
        <v>742</v>
      </c>
      <c r="M752" s="17">
        <v>27</v>
      </c>
      <c r="N752" s="17">
        <v>956</v>
      </c>
      <c r="O752" s="18" t="s">
        <v>88</v>
      </c>
      <c r="P752" s="18">
        <v>956</v>
      </c>
      <c r="Q752" s="18">
        <v>27</v>
      </c>
      <c r="R752" s="18" t="s">
        <v>817</v>
      </c>
      <c r="S752" s="18" t="s">
        <v>783</v>
      </c>
      <c r="T752" s="18" t="s">
        <v>780</v>
      </c>
      <c r="U7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52" s="19">
        <f>IF(AUDITORIA[[#This Row],[CAT]]="",0,1)</f>
        <v>1</v>
      </c>
      <c r="W752" s="20">
        <v>46163</v>
      </c>
      <c r="X752" s="21" t="str">
        <f>UPPER(IF(AUDITORIA[[#This Row],[DATA VERIFICAÇÃO]]="","",TEXT(AUDITORIA[[#This Row],[DATA VERIFICAÇÃO]],"mmm")))</f>
        <v>MAI</v>
      </c>
      <c r="Y752" t="s">
        <v>598</v>
      </c>
      <c r="Z752" t="s">
        <v>831</v>
      </c>
      <c r="AA752" t="s">
        <v>832</v>
      </c>
    </row>
    <row r="753" spans="1:27" ht="14.4" hidden="1" customHeight="1" x14ac:dyDescent="0.3">
      <c r="A753" s="4" t="s">
        <v>0</v>
      </c>
      <c r="B753" s="4" t="s">
        <v>17</v>
      </c>
      <c r="C753" s="16" t="s">
        <v>18</v>
      </c>
      <c r="D753" s="4">
        <v>10</v>
      </c>
      <c r="E753" s="4" t="s">
        <v>745</v>
      </c>
      <c r="F753" t="s">
        <v>243</v>
      </c>
      <c r="G753" t="s">
        <v>233</v>
      </c>
      <c r="J753" s="4" t="s">
        <v>88</v>
      </c>
      <c r="K753" s="4" t="s">
        <v>21</v>
      </c>
      <c r="L753" s="4" t="s">
        <v>742</v>
      </c>
      <c r="M753" s="17">
        <v>27</v>
      </c>
      <c r="N753" s="17">
        <v>963</v>
      </c>
      <c r="O753" s="18" t="s">
        <v>88</v>
      </c>
      <c r="P753" s="18">
        <v>963</v>
      </c>
      <c r="Q753" s="18">
        <v>27</v>
      </c>
      <c r="R753" s="18" t="s">
        <v>817</v>
      </c>
      <c r="S753" s="18" t="s">
        <v>783</v>
      </c>
      <c r="T753" s="18" t="s">
        <v>781</v>
      </c>
      <c r="U7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53" s="19">
        <f>IF(AUDITORIA[[#This Row],[CAT]]="",0,1)</f>
        <v>1</v>
      </c>
      <c r="W753" s="20">
        <v>46163</v>
      </c>
      <c r="X753" s="21" t="str">
        <f>UPPER(IF(AUDITORIA[[#This Row],[DATA VERIFICAÇÃO]]="","",TEXT(AUDITORIA[[#This Row],[DATA VERIFICAÇÃO]],"mmm")))</f>
        <v>MAI</v>
      </c>
      <c r="Y753" t="s">
        <v>598</v>
      </c>
      <c r="Z753" t="s">
        <v>831</v>
      </c>
      <c r="AA753" t="s">
        <v>832</v>
      </c>
    </row>
    <row r="754" spans="1:27" ht="14.4" hidden="1" customHeight="1" x14ac:dyDescent="0.3">
      <c r="A754" s="4" t="s">
        <v>0</v>
      </c>
      <c r="B754" s="4" t="s">
        <v>17</v>
      </c>
      <c r="C754" s="16" t="s">
        <v>18</v>
      </c>
      <c r="D754" s="4">
        <v>10</v>
      </c>
      <c r="E754" s="4" t="s">
        <v>745</v>
      </c>
      <c r="F754" t="s">
        <v>242</v>
      </c>
      <c r="G754" t="s">
        <v>233</v>
      </c>
      <c r="J754" s="4" t="s">
        <v>88</v>
      </c>
      <c r="K754" s="4" t="s">
        <v>21</v>
      </c>
      <c r="L754" s="4" t="s">
        <v>742</v>
      </c>
      <c r="M754" s="17">
        <v>27</v>
      </c>
      <c r="N754" s="17">
        <v>958</v>
      </c>
      <c r="O754" s="18" t="s">
        <v>88</v>
      </c>
      <c r="P754" s="18">
        <v>958</v>
      </c>
      <c r="Q754" s="18">
        <v>27</v>
      </c>
      <c r="R754" s="18" t="s">
        <v>817</v>
      </c>
      <c r="S754" s="18" t="s">
        <v>783</v>
      </c>
      <c r="T754" s="18" t="s">
        <v>794</v>
      </c>
      <c r="U7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54" s="19">
        <f>IF(AUDITORIA[[#This Row],[CAT]]="",0,1)</f>
        <v>1</v>
      </c>
      <c r="W754" s="20">
        <v>46163</v>
      </c>
      <c r="X754" s="21" t="str">
        <f>UPPER(IF(AUDITORIA[[#This Row],[DATA VERIFICAÇÃO]]="","",TEXT(AUDITORIA[[#This Row],[DATA VERIFICAÇÃO]],"mmm")))</f>
        <v>MAI</v>
      </c>
      <c r="Y754" t="s">
        <v>598</v>
      </c>
      <c r="Z754" t="s">
        <v>831</v>
      </c>
      <c r="AA754" t="s">
        <v>832</v>
      </c>
    </row>
    <row r="755" spans="1:27" ht="14.4" hidden="1" customHeight="1" x14ac:dyDescent="0.3">
      <c r="A755" s="4" t="s">
        <v>0</v>
      </c>
      <c r="B755" s="4" t="s">
        <v>17</v>
      </c>
      <c r="C755" s="16" t="s">
        <v>18</v>
      </c>
      <c r="D755" s="4">
        <v>10</v>
      </c>
      <c r="E755" s="4" t="s">
        <v>745</v>
      </c>
      <c r="F755" t="s">
        <v>241</v>
      </c>
      <c r="G755" t="s">
        <v>233</v>
      </c>
      <c r="J755" s="4" t="s">
        <v>88</v>
      </c>
      <c r="K755" s="4" t="s">
        <v>21</v>
      </c>
      <c r="L755" s="4" t="s">
        <v>742</v>
      </c>
      <c r="M755" s="17">
        <v>27</v>
      </c>
      <c r="N755" s="17">
        <v>940</v>
      </c>
      <c r="O755" s="18" t="s">
        <v>88</v>
      </c>
      <c r="P755" s="18">
        <v>940</v>
      </c>
      <c r="Q755" s="18">
        <v>27</v>
      </c>
      <c r="R755" s="18" t="s">
        <v>817</v>
      </c>
      <c r="S755" s="18" t="s">
        <v>785</v>
      </c>
      <c r="T755" s="18" t="s">
        <v>780</v>
      </c>
      <c r="U7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55" s="19">
        <f>IF(AUDITORIA[[#This Row],[CAT]]="",0,1)</f>
        <v>1</v>
      </c>
      <c r="W755" s="20">
        <v>46163</v>
      </c>
      <c r="X755" s="21" t="str">
        <f>UPPER(IF(AUDITORIA[[#This Row],[DATA VERIFICAÇÃO]]="","",TEXT(AUDITORIA[[#This Row],[DATA VERIFICAÇÃO]],"mmm")))</f>
        <v>MAI</v>
      </c>
      <c r="Y755" t="s">
        <v>598</v>
      </c>
      <c r="Z755" t="s">
        <v>831</v>
      </c>
      <c r="AA755" t="s">
        <v>832</v>
      </c>
    </row>
    <row r="756" spans="1:27" ht="14.4" hidden="1" customHeight="1" x14ac:dyDescent="0.3">
      <c r="A756" s="4" t="s">
        <v>0</v>
      </c>
      <c r="B756" s="4" t="s">
        <v>17</v>
      </c>
      <c r="C756" s="16" t="s">
        <v>18</v>
      </c>
      <c r="D756" s="4">
        <v>10</v>
      </c>
      <c r="E756" s="4" t="s">
        <v>745</v>
      </c>
      <c r="F756" t="s">
        <v>240</v>
      </c>
      <c r="G756" t="s">
        <v>233</v>
      </c>
      <c r="J756" s="4" t="s">
        <v>88</v>
      </c>
      <c r="K756" s="4" t="s">
        <v>21</v>
      </c>
      <c r="L756" s="4" t="s">
        <v>742</v>
      </c>
      <c r="M756" s="17">
        <v>27</v>
      </c>
      <c r="N756" s="17">
        <v>956</v>
      </c>
      <c r="O756" s="18" t="s">
        <v>88</v>
      </c>
      <c r="P756" s="18">
        <v>956</v>
      </c>
      <c r="Q756" s="18">
        <v>27</v>
      </c>
      <c r="R756" s="18" t="s">
        <v>817</v>
      </c>
      <c r="S756" s="18" t="s">
        <v>785</v>
      </c>
      <c r="T756" s="18" t="s">
        <v>781</v>
      </c>
      <c r="U7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56" s="19">
        <f>IF(AUDITORIA[[#This Row],[CAT]]="",0,1)</f>
        <v>1</v>
      </c>
      <c r="W756" s="20">
        <v>46163</v>
      </c>
      <c r="X756" s="21" t="str">
        <f>UPPER(IF(AUDITORIA[[#This Row],[DATA VERIFICAÇÃO]]="","",TEXT(AUDITORIA[[#This Row],[DATA VERIFICAÇÃO]],"mmm")))</f>
        <v>MAI</v>
      </c>
      <c r="Y756" t="s">
        <v>598</v>
      </c>
      <c r="Z756" t="s">
        <v>831</v>
      </c>
      <c r="AA756" t="s">
        <v>832</v>
      </c>
    </row>
    <row r="757" spans="1:27" ht="14.4" hidden="1" customHeight="1" x14ac:dyDescent="0.3">
      <c r="A757" s="4" t="s">
        <v>0</v>
      </c>
      <c r="B757" s="4" t="s">
        <v>17</v>
      </c>
      <c r="C757" s="16" t="s">
        <v>18</v>
      </c>
      <c r="D757" s="4">
        <v>10</v>
      </c>
      <c r="E757" s="4" t="s">
        <v>745</v>
      </c>
      <c r="F757" t="s">
        <v>239</v>
      </c>
      <c r="G757" t="s">
        <v>233</v>
      </c>
      <c r="J757" s="4" t="s">
        <v>88</v>
      </c>
      <c r="K757" s="4" t="s">
        <v>21</v>
      </c>
      <c r="L757" s="4" t="s">
        <v>742</v>
      </c>
      <c r="M757" s="17">
        <v>27</v>
      </c>
      <c r="N757" s="17">
        <v>937</v>
      </c>
      <c r="O757" s="18" t="s">
        <v>88</v>
      </c>
      <c r="P757" s="18">
        <v>937</v>
      </c>
      <c r="Q757" s="18">
        <v>27</v>
      </c>
      <c r="R757" s="18" t="s">
        <v>817</v>
      </c>
      <c r="S757" s="18" t="s">
        <v>785</v>
      </c>
      <c r="T757" s="18" t="s">
        <v>782</v>
      </c>
      <c r="U7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57" s="19">
        <f>IF(AUDITORIA[[#This Row],[CAT]]="",0,1)</f>
        <v>1</v>
      </c>
      <c r="W757" s="20">
        <v>46163</v>
      </c>
      <c r="X757" s="21" t="str">
        <f>UPPER(IF(AUDITORIA[[#This Row],[DATA VERIFICAÇÃO]]="","",TEXT(AUDITORIA[[#This Row],[DATA VERIFICAÇÃO]],"mmm")))</f>
        <v>MAI</v>
      </c>
      <c r="Y757" t="s">
        <v>598</v>
      </c>
      <c r="Z757" t="s">
        <v>831</v>
      </c>
      <c r="AA757" t="s">
        <v>832</v>
      </c>
    </row>
    <row r="758" spans="1:27" ht="14.4" hidden="1" customHeight="1" x14ac:dyDescent="0.3">
      <c r="A758" s="4" t="s">
        <v>0</v>
      </c>
      <c r="B758" s="4" t="s">
        <v>17</v>
      </c>
      <c r="C758" s="16" t="s">
        <v>18</v>
      </c>
      <c r="D758" s="4">
        <v>10</v>
      </c>
      <c r="E758" s="4" t="s">
        <v>745</v>
      </c>
      <c r="F758" t="s">
        <v>238</v>
      </c>
      <c r="G758" t="s">
        <v>233</v>
      </c>
      <c r="J758" s="4" t="s">
        <v>88</v>
      </c>
      <c r="K758" s="4" t="s">
        <v>21</v>
      </c>
      <c r="L758" s="4" t="s">
        <v>742</v>
      </c>
      <c r="M758" s="17">
        <v>27</v>
      </c>
      <c r="N758" s="17">
        <v>931</v>
      </c>
      <c r="O758" s="18" t="s">
        <v>88</v>
      </c>
      <c r="P758" s="18">
        <v>931</v>
      </c>
      <c r="Q758" s="18">
        <v>27</v>
      </c>
      <c r="R758" s="18" t="s">
        <v>817</v>
      </c>
      <c r="S758" s="18" t="s">
        <v>785</v>
      </c>
      <c r="T758" s="18" t="s">
        <v>794</v>
      </c>
      <c r="U7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58" s="19">
        <f>IF(AUDITORIA[[#This Row],[CAT]]="",0,1)</f>
        <v>1</v>
      </c>
      <c r="W758" s="20">
        <v>46163</v>
      </c>
      <c r="X758" s="21" t="str">
        <f>UPPER(IF(AUDITORIA[[#This Row],[DATA VERIFICAÇÃO]]="","",TEXT(AUDITORIA[[#This Row],[DATA VERIFICAÇÃO]],"mmm")))</f>
        <v>MAI</v>
      </c>
      <c r="Y758" t="s">
        <v>598</v>
      </c>
      <c r="Z758" t="s">
        <v>831</v>
      </c>
      <c r="AA758" t="s">
        <v>832</v>
      </c>
    </row>
    <row r="759" spans="1:27" ht="14.4" hidden="1" customHeight="1" x14ac:dyDescent="0.3">
      <c r="A759" s="4" t="s">
        <v>0</v>
      </c>
      <c r="B759" s="4" t="s">
        <v>17</v>
      </c>
      <c r="C759" s="16" t="s">
        <v>18</v>
      </c>
      <c r="D759" s="4">
        <v>10</v>
      </c>
      <c r="E759" s="4" t="s">
        <v>745</v>
      </c>
      <c r="F759" t="s">
        <v>237</v>
      </c>
      <c r="G759" t="s">
        <v>233</v>
      </c>
      <c r="J759" s="4" t="s">
        <v>88</v>
      </c>
      <c r="K759" s="4" t="s">
        <v>21</v>
      </c>
      <c r="L759" s="4" t="s">
        <v>742</v>
      </c>
      <c r="M759" s="17">
        <v>27</v>
      </c>
      <c r="N759" s="17">
        <v>948</v>
      </c>
      <c r="O759" s="18" t="s">
        <v>88</v>
      </c>
      <c r="P759" s="18">
        <v>948</v>
      </c>
      <c r="Q759" s="18">
        <v>27</v>
      </c>
      <c r="R759" s="18" t="s">
        <v>817</v>
      </c>
      <c r="S759" s="18" t="s">
        <v>789</v>
      </c>
      <c r="T759" s="18" t="s">
        <v>780</v>
      </c>
      <c r="U7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59" s="19">
        <f>IF(AUDITORIA[[#This Row],[CAT]]="",0,1)</f>
        <v>1</v>
      </c>
      <c r="W759" s="20">
        <v>46163</v>
      </c>
      <c r="X759" s="21" t="str">
        <f>UPPER(IF(AUDITORIA[[#This Row],[DATA VERIFICAÇÃO]]="","",TEXT(AUDITORIA[[#This Row],[DATA VERIFICAÇÃO]],"mmm")))</f>
        <v>MAI</v>
      </c>
      <c r="Y759" t="s">
        <v>598</v>
      </c>
      <c r="Z759" t="s">
        <v>831</v>
      </c>
      <c r="AA759" t="s">
        <v>832</v>
      </c>
    </row>
    <row r="760" spans="1:27" ht="14.4" hidden="1" customHeight="1" x14ac:dyDescent="0.3">
      <c r="A760" s="4" t="s">
        <v>0</v>
      </c>
      <c r="B760" s="4" t="s">
        <v>17</v>
      </c>
      <c r="C760" s="16" t="s">
        <v>18</v>
      </c>
      <c r="D760" s="4">
        <v>10</v>
      </c>
      <c r="E760" s="4" t="s">
        <v>745</v>
      </c>
      <c r="F760" t="s">
        <v>236</v>
      </c>
      <c r="G760" t="s">
        <v>233</v>
      </c>
      <c r="J760" s="4" t="s">
        <v>88</v>
      </c>
      <c r="K760" s="4" t="s">
        <v>21</v>
      </c>
      <c r="L760" s="4" t="s">
        <v>742</v>
      </c>
      <c r="M760" s="17">
        <v>27</v>
      </c>
      <c r="N760" s="17">
        <v>950</v>
      </c>
      <c r="O760" s="18" t="s">
        <v>88</v>
      </c>
      <c r="P760" s="18">
        <v>950</v>
      </c>
      <c r="Q760" s="18">
        <v>27</v>
      </c>
      <c r="R760" s="18" t="s">
        <v>817</v>
      </c>
      <c r="S760" s="18" t="s">
        <v>789</v>
      </c>
      <c r="T760" s="18" t="s">
        <v>781</v>
      </c>
      <c r="U7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60" s="19">
        <f>IF(AUDITORIA[[#This Row],[CAT]]="",0,1)</f>
        <v>1</v>
      </c>
      <c r="W760" s="20">
        <v>46163</v>
      </c>
      <c r="X760" s="21" t="str">
        <f>UPPER(IF(AUDITORIA[[#This Row],[DATA VERIFICAÇÃO]]="","",TEXT(AUDITORIA[[#This Row],[DATA VERIFICAÇÃO]],"mmm")))</f>
        <v>MAI</v>
      </c>
      <c r="Y760" t="s">
        <v>598</v>
      </c>
      <c r="Z760" t="s">
        <v>831</v>
      </c>
      <c r="AA760" t="s">
        <v>832</v>
      </c>
    </row>
    <row r="761" spans="1:27" ht="14.4" hidden="1" customHeight="1" x14ac:dyDescent="0.3">
      <c r="A761" s="4" t="s">
        <v>0</v>
      </c>
      <c r="B761" s="4" t="s">
        <v>17</v>
      </c>
      <c r="C761" s="16" t="s">
        <v>18</v>
      </c>
      <c r="D761" s="4">
        <v>10</v>
      </c>
      <c r="E761" s="4" t="s">
        <v>745</v>
      </c>
      <c r="F761" t="s">
        <v>235</v>
      </c>
      <c r="G761" t="s">
        <v>233</v>
      </c>
      <c r="J761" s="4" t="s">
        <v>88</v>
      </c>
      <c r="K761" s="4" t="s">
        <v>21</v>
      </c>
      <c r="L761" s="4" t="s">
        <v>742</v>
      </c>
      <c r="M761" s="17">
        <v>27</v>
      </c>
      <c r="N761" s="17">
        <v>981</v>
      </c>
      <c r="O761" s="18" t="s">
        <v>88</v>
      </c>
      <c r="P761" s="18">
        <v>981</v>
      </c>
      <c r="Q761" s="18">
        <v>27</v>
      </c>
      <c r="R761" s="18" t="s">
        <v>817</v>
      </c>
      <c r="S761" s="18" t="s">
        <v>789</v>
      </c>
      <c r="T761" s="18" t="s">
        <v>782</v>
      </c>
      <c r="U7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61" s="19">
        <f>IF(AUDITORIA[[#This Row],[CAT]]="",0,1)</f>
        <v>1</v>
      </c>
      <c r="W761" s="20">
        <v>46163</v>
      </c>
      <c r="X761" s="21" t="str">
        <f>UPPER(IF(AUDITORIA[[#This Row],[DATA VERIFICAÇÃO]]="","",TEXT(AUDITORIA[[#This Row],[DATA VERIFICAÇÃO]],"mmm")))</f>
        <v>MAI</v>
      </c>
      <c r="Y761" t="s">
        <v>598</v>
      </c>
      <c r="Z761" t="s">
        <v>831</v>
      </c>
      <c r="AA761" t="s">
        <v>832</v>
      </c>
    </row>
    <row r="762" spans="1:27" ht="14.4" hidden="1" customHeight="1" x14ac:dyDescent="0.3">
      <c r="A762" s="4" t="s">
        <v>0</v>
      </c>
      <c r="B762" s="4" t="s">
        <v>17</v>
      </c>
      <c r="C762" s="16" t="s">
        <v>18</v>
      </c>
      <c r="D762" s="4">
        <v>10</v>
      </c>
      <c r="E762" s="4" t="s">
        <v>745</v>
      </c>
      <c r="F762" t="s">
        <v>234</v>
      </c>
      <c r="G762" t="s">
        <v>233</v>
      </c>
      <c r="J762" s="4" t="s">
        <v>88</v>
      </c>
      <c r="K762" s="4" t="s">
        <v>21</v>
      </c>
      <c r="L762" s="4" t="s">
        <v>742</v>
      </c>
      <c r="M762" s="17">
        <v>17</v>
      </c>
      <c r="N762" s="17">
        <v>977</v>
      </c>
      <c r="O762" s="18" t="s">
        <v>88</v>
      </c>
      <c r="P762" s="18">
        <v>977</v>
      </c>
      <c r="Q762" s="18">
        <v>17</v>
      </c>
      <c r="R762" s="18" t="s">
        <v>817</v>
      </c>
      <c r="S762" s="18" t="s">
        <v>789</v>
      </c>
      <c r="T762" s="18" t="s">
        <v>794</v>
      </c>
      <c r="U7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62" s="19">
        <f>IF(AUDITORIA[[#This Row],[CAT]]="",0,1)</f>
        <v>1</v>
      </c>
      <c r="W762" s="20">
        <v>46163</v>
      </c>
      <c r="X762" s="21" t="str">
        <f>UPPER(IF(AUDITORIA[[#This Row],[DATA VERIFICAÇÃO]]="","",TEXT(AUDITORIA[[#This Row],[DATA VERIFICAÇÃO]],"mmm")))</f>
        <v>MAI</v>
      </c>
      <c r="Y762" t="s">
        <v>598</v>
      </c>
      <c r="Z762" t="s">
        <v>831</v>
      </c>
      <c r="AA762" t="s">
        <v>832</v>
      </c>
    </row>
    <row r="763" spans="1:27" ht="14.4" hidden="1" customHeight="1" x14ac:dyDescent="0.3">
      <c r="A763" s="4" t="s">
        <v>0</v>
      </c>
      <c r="B763" s="4" t="s">
        <v>17</v>
      </c>
      <c r="C763" s="16" t="s">
        <v>18</v>
      </c>
      <c r="D763" s="4">
        <v>10</v>
      </c>
      <c r="E763" s="4" t="s">
        <v>745</v>
      </c>
      <c r="F763" t="s">
        <v>768</v>
      </c>
      <c r="G763" t="s">
        <v>233</v>
      </c>
      <c r="J763" s="4" t="s">
        <v>88</v>
      </c>
      <c r="K763" s="4" t="s">
        <v>21</v>
      </c>
      <c r="L763" s="4" t="s">
        <v>742</v>
      </c>
      <c r="M763" s="17">
        <v>27</v>
      </c>
      <c r="N763" s="17">
        <v>988</v>
      </c>
      <c r="O763" s="18" t="s">
        <v>88</v>
      </c>
      <c r="P763" s="18">
        <v>988</v>
      </c>
      <c r="Q763" s="18">
        <v>27</v>
      </c>
      <c r="R763" s="18" t="s">
        <v>817</v>
      </c>
      <c r="S763" s="18" t="s">
        <v>806</v>
      </c>
      <c r="T763" s="18" t="s">
        <v>782</v>
      </c>
      <c r="U7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63" s="19">
        <f>IF(AUDITORIA[[#This Row],[CAT]]="",0,1)</f>
        <v>1</v>
      </c>
      <c r="W763" s="20">
        <v>46163</v>
      </c>
      <c r="X763" s="21" t="str">
        <f>UPPER(IF(AUDITORIA[[#This Row],[DATA VERIFICAÇÃO]]="","",TEXT(AUDITORIA[[#This Row],[DATA VERIFICAÇÃO]],"mmm")))</f>
        <v>MAI</v>
      </c>
      <c r="Y763" t="s">
        <v>598</v>
      </c>
      <c r="Z763" t="s">
        <v>831</v>
      </c>
      <c r="AA763" t="s">
        <v>832</v>
      </c>
    </row>
    <row r="764" spans="1:27" ht="14.4" hidden="1" customHeight="1" x14ac:dyDescent="0.3">
      <c r="A764" s="4" t="s">
        <v>0</v>
      </c>
      <c r="B764" s="4" t="s">
        <v>17</v>
      </c>
      <c r="C764" s="16" t="s">
        <v>18</v>
      </c>
      <c r="D764" s="4">
        <v>10</v>
      </c>
      <c r="E764" s="4" t="s">
        <v>745</v>
      </c>
      <c r="F764" t="s">
        <v>766</v>
      </c>
      <c r="G764" t="s">
        <v>233</v>
      </c>
      <c r="J764" s="4" t="s">
        <v>88</v>
      </c>
      <c r="K764" s="4" t="s">
        <v>21</v>
      </c>
      <c r="L764" s="4" t="s">
        <v>742</v>
      </c>
      <c r="M764" s="17">
        <v>27</v>
      </c>
      <c r="N764" s="17">
        <v>977</v>
      </c>
      <c r="O764" s="18" t="s">
        <v>88</v>
      </c>
      <c r="P764" s="18">
        <v>977</v>
      </c>
      <c r="Q764" s="18">
        <v>27</v>
      </c>
      <c r="R764" s="18" t="s">
        <v>817</v>
      </c>
      <c r="S764" s="18" t="s">
        <v>793</v>
      </c>
      <c r="T764" s="18" t="s">
        <v>781</v>
      </c>
      <c r="U7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64" s="19">
        <f>IF(AUDITORIA[[#This Row],[CAT]]="",0,1)</f>
        <v>1</v>
      </c>
      <c r="W764" s="20">
        <v>46163</v>
      </c>
      <c r="X764" s="21" t="str">
        <f>UPPER(IF(AUDITORIA[[#This Row],[DATA VERIFICAÇÃO]]="","",TEXT(AUDITORIA[[#This Row],[DATA VERIFICAÇÃO]],"mmm")))</f>
        <v>MAI</v>
      </c>
      <c r="Y764" t="s">
        <v>598</v>
      </c>
      <c r="Z764" t="s">
        <v>831</v>
      </c>
      <c r="AA764" t="s">
        <v>832</v>
      </c>
    </row>
    <row r="765" spans="1:27" ht="14.4" hidden="1" customHeight="1" x14ac:dyDescent="0.3">
      <c r="A765" s="4" t="s">
        <v>0</v>
      </c>
      <c r="B765" s="4" t="s">
        <v>17</v>
      </c>
      <c r="C765" s="16" t="s">
        <v>18</v>
      </c>
      <c r="D765" s="4">
        <v>10</v>
      </c>
      <c r="E765" s="4" t="s">
        <v>745</v>
      </c>
      <c r="F765" t="s">
        <v>765</v>
      </c>
      <c r="G765" t="s">
        <v>233</v>
      </c>
      <c r="J765" s="4" t="s">
        <v>88</v>
      </c>
      <c r="K765" s="4" t="s">
        <v>21</v>
      </c>
      <c r="L765" s="4" t="s">
        <v>742</v>
      </c>
      <c r="M765" s="17">
        <v>27</v>
      </c>
      <c r="N765" s="17">
        <v>986</v>
      </c>
      <c r="O765" s="18" t="s">
        <v>88</v>
      </c>
      <c r="P765" s="18">
        <v>986</v>
      </c>
      <c r="Q765" s="18">
        <v>27</v>
      </c>
      <c r="R765" s="18" t="s">
        <v>817</v>
      </c>
      <c r="S765" s="18" t="s">
        <v>793</v>
      </c>
      <c r="T765" s="18" t="s">
        <v>782</v>
      </c>
      <c r="U7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65" s="19">
        <f>IF(AUDITORIA[[#This Row],[CAT]]="",0,1)</f>
        <v>1</v>
      </c>
      <c r="W765" s="20">
        <v>46163</v>
      </c>
      <c r="X765" s="21" t="str">
        <f>UPPER(IF(AUDITORIA[[#This Row],[DATA VERIFICAÇÃO]]="","",TEXT(AUDITORIA[[#This Row],[DATA VERIFICAÇÃO]],"mmm")))</f>
        <v>MAI</v>
      </c>
      <c r="Y765" t="s">
        <v>598</v>
      </c>
      <c r="Z765" t="s">
        <v>831</v>
      </c>
      <c r="AA765" t="s">
        <v>832</v>
      </c>
    </row>
    <row r="766" spans="1:27" ht="14.4" hidden="1" customHeight="1" x14ac:dyDescent="0.3">
      <c r="A766" s="4" t="s">
        <v>0</v>
      </c>
      <c r="B766" s="4" t="s">
        <v>17</v>
      </c>
      <c r="C766" s="16" t="s">
        <v>18</v>
      </c>
      <c r="D766" s="4">
        <v>10</v>
      </c>
      <c r="E766" s="4" t="s">
        <v>745</v>
      </c>
      <c r="F766" t="s">
        <v>764</v>
      </c>
      <c r="G766" t="s">
        <v>233</v>
      </c>
      <c r="J766" s="4" t="s">
        <v>88</v>
      </c>
      <c r="K766" s="4" t="s">
        <v>21</v>
      </c>
      <c r="L766" s="4" t="s">
        <v>742</v>
      </c>
      <c r="M766" s="17">
        <v>27</v>
      </c>
      <c r="N766" s="17">
        <v>983</v>
      </c>
      <c r="O766" s="18" t="s">
        <v>88</v>
      </c>
      <c r="P766" s="18">
        <v>983</v>
      </c>
      <c r="Q766" s="18">
        <v>27</v>
      </c>
      <c r="R766" s="18" t="s">
        <v>817</v>
      </c>
      <c r="S766" s="18" t="s">
        <v>784</v>
      </c>
      <c r="T766" s="18" t="s">
        <v>781</v>
      </c>
      <c r="U7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66" s="19">
        <f>IF(AUDITORIA[[#This Row],[CAT]]="",0,1)</f>
        <v>1</v>
      </c>
      <c r="W766" s="20">
        <v>46163</v>
      </c>
      <c r="X766" s="21" t="str">
        <f>UPPER(IF(AUDITORIA[[#This Row],[DATA VERIFICAÇÃO]]="","",TEXT(AUDITORIA[[#This Row],[DATA VERIFICAÇÃO]],"mmm")))</f>
        <v>MAI</v>
      </c>
      <c r="Y766" t="s">
        <v>598</v>
      </c>
      <c r="Z766" t="s">
        <v>831</v>
      </c>
      <c r="AA766" t="s">
        <v>832</v>
      </c>
    </row>
    <row r="767" spans="1:27" ht="14.4" hidden="1" customHeight="1" x14ac:dyDescent="0.3">
      <c r="A767" s="4" t="s">
        <v>0</v>
      </c>
      <c r="B767" s="4" t="s">
        <v>17</v>
      </c>
      <c r="C767" s="16" t="s">
        <v>18</v>
      </c>
      <c r="D767" s="4">
        <v>10</v>
      </c>
      <c r="E767" s="4" t="s">
        <v>745</v>
      </c>
      <c r="F767" t="s">
        <v>762</v>
      </c>
      <c r="G767" t="s">
        <v>233</v>
      </c>
      <c r="J767" s="4" t="s">
        <v>88</v>
      </c>
      <c r="K767" s="4" t="s">
        <v>21</v>
      </c>
      <c r="L767" s="4" t="s">
        <v>742</v>
      </c>
      <c r="M767" s="17">
        <v>27</v>
      </c>
      <c r="N767" s="17">
        <v>968</v>
      </c>
      <c r="O767" s="18" t="s">
        <v>88</v>
      </c>
      <c r="P767" s="18">
        <v>968</v>
      </c>
      <c r="Q767" s="18">
        <v>27</v>
      </c>
      <c r="R767" s="18" t="s">
        <v>817</v>
      </c>
      <c r="S767" s="18" t="s">
        <v>784</v>
      </c>
      <c r="T767" s="18" t="s">
        <v>782</v>
      </c>
      <c r="U7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67" s="19">
        <f>IF(AUDITORIA[[#This Row],[CAT]]="",0,1)</f>
        <v>1</v>
      </c>
      <c r="W767" s="20">
        <v>46163</v>
      </c>
      <c r="X767" s="21" t="str">
        <f>UPPER(IF(AUDITORIA[[#This Row],[DATA VERIFICAÇÃO]]="","",TEXT(AUDITORIA[[#This Row],[DATA VERIFICAÇÃO]],"mmm")))</f>
        <v>MAI</v>
      </c>
      <c r="Y767" t="s">
        <v>598</v>
      </c>
      <c r="Z767" t="s">
        <v>831</v>
      </c>
      <c r="AA767" t="s">
        <v>832</v>
      </c>
    </row>
    <row r="768" spans="1:27" ht="14.4" hidden="1" customHeight="1" x14ac:dyDescent="0.3">
      <c r="A768" s="4" t="s">
        <v>0</v>
      </c>
      <c r="B768" s="4" t="s">
        <v>17</v>
      </c>
      <c r="C768" s="16" t="s">
        <v>18</v>
      </c>
      <c r="D768" s="4">
        <v>10</v>
      </c>
      <c r="E768" s="4" t="s">
        <v>745</v>
      </c>
      <c r="F768" t="s">
        <v>760</v>
      </c>
      <c r="G768" t="s">
        <v>233</v>
      </c>
      <c r="J768" s="4" t="s">
        <v>19</v>
      </c>
      <c r="K768" s="4" t="s">
        <v>21</v>
      </c>
      <c r="L768" s="4" t="s">
        <v>742</v>
      </c>
      <c r="M768" s="17">
        <v>27</v>
      </c>
      <c r="N768" s="17">
        <v>955</v>
      </c>
      <c r="O768" s="18" t="s">
        <v>19</v>
      </c>
      <c r="P768" s="18">
        <v>955</v>
      </c>
      <c r="Q768" s="18">
        <v>27</v>
      </c>
      <c r="R768" s="18" t="s">
        <v>817</v>
      </c>
      <c r="S768" s="18" t="s">
        <v>787</v>
      </c>
      <c r="T768" s="18" t="s">
        <v>782</v>
      </c>
      <c r="U7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68" s="19">
        <f>IF(AUDITORIA[[#This Row],[CAT]]="",0,1)</f>
        <v>1</v>
      </c>
      <c r="W768" s="20">
        <v>46163</v>
      </c>
      <c r="X768" s="21" t="str">
        <f>UPPER(IF(AUDITORIA[[#This Row],[DATA VERIFICAÇÃO]]="","",TEXT(AUDITORIA[[#This Row],[DATA VERIFICAÇÃO]],"mmm")))</f>
        <v>MAI</v>
      </c>
      <c r="Y768" t="s">
        <v>598</v>
      </c>
      <c r="Z768" t="s">
        <v>831</v>
      </c>
      <c r="AA768" t="s">
        <v>832</v>
      </c>
    </row>
    <row r="769" spans="1:27" ht="14.4" hidden="1" customHeight="1" x14ac:dyDescent="0.3">
      <c r="A769" s="4" t="s">
        <v>0</v>
      </c>
      <c r="B769" s="4" t="s">
        <v>17</v>
      </c>
      <c r="C769" s="16" t="s">
        <v>18</v>
      </c>
      <c r="D769" s="4">
        <v>10</v>
      </c>
      <c r="E769" s="4" t="s">
        <v>745</v>
      </c>
      <c r="F769" t="s">
        <v>758</v>
      </c>
      <c r="G769" t="s">
        <v>233</v>
      </c>
      <c r="J769" s="4" t="s">
        <v>19</v>
      </c>
      <c r="K769" s="4" t="s">
        <v>21</v>
      </c>
      <c r="L769" s="4" t="s">
        <v>742</v>
      </c>
      <c r="M769" s="17">
        <v>27</v>
      </c>
      <c r="N769" s="17">
        <v>939</v>
      </c>
      <c r="O769" s="18" t="s">
        <v>19</v>
      </c>
      <c r="P769" s="18">
        <v>939</v>
      </c>
      <c r="Q769" s="18">
        <v>27</v>
      </c>
      <c r="R769" s="18" t="s">
        <v>817</v>
      </c>
      <c r="S769" s="18" t="s">
        <v>806</v>
      </c>
      <c r="T769" s="18" t="s">
        <v>781</v>
      </c>
      <c r="U7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69" s="19">
        <f>IF(AUDITORIA[[#This Row],[CAT]]="",0,1)</f>
        <v>1</v>
      </c>
      <c r="W769" s="20">
        <v>46163</v>
      </c>
      <c r="X769" s="21" t="str">
        <f>UPPER(IF(AUDITORIA[[#This Row],[DATA VERIFICAÇÃO]]="","",TEXT(AUDITORIA[[#This Row],[DATA VERIFICAÇÃO]],"mmm")))</f>
        <v>MAI</v>
      </c>
      <c r="Y769" t="s">
        <v>598</v>
      </c>
      <c r="Z769" t="s">
        <v>831</v>
      </c>
      <c r="AA769" t="s">
        <v>832</v>
      </c>
    </row>
    <row r="770" spans="1:27" ht="14.4" hidden="1" customHeight="1" x14ac:dyDescent="0.3">
      <c r="A770" s="4" t="s">
        <v>0</v>
      </c>
      <c r="B770" s="4" t="s">
        <v>17</v>
      </c>
      <c r="C770" s="16" t="s">
        <v>18</v>
      </c>
      <c r="D770" s="4">
        <v>10</v>
      </c>
      <c r="E770" s="4" t="s">
        <v>745</v>
      </c>
      <c r="F770" t="s">
        <v>757</v>
      </c>
      <c r="G770" t="s">
        <v>233</v>
      </c>
      <c r="J770" s="4" t="s">
        <v>19</v>
      </c>
      <c r="K770" s="4" t="s">
        <v>21</v>
      </c>
      <c r="L770" s="4" t="s">
        <v>742</v>
      </c>
      <c r="M770" s="17">
        <v>27</v>
      </c>
      <c r="N770" s="17">
        <v>970</v>
      </c>
      <c r="O770" s="18" t="s">
        <v>19</v>
      </c>
      <c r="P770" s="18">
        <v>970</v>
      </c>
      <c r="Q770" s="18">
        <v>27</v>
      </c>
      <c r="R770" s="18" t="s">
        <v>817</v>
      </c>
      <c r="S770" s="18" t="s">
        <v>787</v>
      </c>
      <c r="T770" s="18" t="s">
        <v>781</v>
      </c>
      <c r="U7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70" s="19">
        <f>IF(AUDITORIA[[#This Row],[CAT]]="",0,1)</f>
        <v>1</v>
      </c>
      <c r="W770" s="20">
        <v>46163</v>
      </c>
      <c r="X770" s="21" t="str">
        <f>UPPER(IF(AUDITORIA[[#This Row],[DATA VERIFICAÇÃO]]="","",TEXT(AUDITORIA[[#This Row],[DATA VERIFICAÇÃO]],"mmm")))</f>
        <v>MAI</v>
      </c>
      <c r="Y770" t="s">
        <v>598</v>
      </c>
      <c r="Z770" t="s">
        <v>831</v>
      </c>
      <c r="AA770" t="s">
        <v>832</v>
      </c>
    </row>
    <row r="771" spans="1:27" ht="14.4" hidden="1" customHeight="1" x14ac:dyDescent="0.3">
      <c r="A771" s="4" t="s">
        <v>0</v>
      </c>
      <c r="B771" s="4" t="s">
        <v>17</v>
      </c>
      <c r="C771" s="16" t="s">
        <v>18</v>
      </c>
      <c r="D771" s="4">
        <v>10</v>
      </c>
      <c r="E771" s="4" t="s">
        <v>745</v>
      </c>
      <c r="F771" t="s">
        <v>756</v>
      </c>
      <c r="G771" t="s">
        <v>233</v>
      </c>
      <c r="J771" s="4" t="s">
        <v>19</v>
      </c>
      <c r="K771" s="4" t="s">
        <v>21</v>
      </c>
      <c r="L771" s="4" t="s">
        <v>742</v>
      </c>
      <c r="M771" s="17">
        <v>27</v>
      </c>
      <c r="N771" s="17">
        <v>985</v>
      </c>
      <c r="O771" s="18" t="s">
        <v>19</v>
      </c>
      <c r="P771" s="18">
        <v>985</v>
      </c>
      <c r="Q771" s="18">
        <v>27</v>
      </c>
      <c r="R771" s="18" t="s">
        <v>817</v>
      </c>
      <c r="S771" s="18" t="s">
        <v>804</v>
      </c>
      <c r="T771" s="18" t="s">
        <v>782</v>
      </c>
      <c r="U7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71" s="19">
        <f>IF(AUDITORIA[[#This Row],[CAT]]="",0,1)</f>
        <v>1</v>
      </c>
      <c r="W771" s="20">
        <v>46163</v>
      </c>
      <c r="X771" s="21" t="str">
        <f>UPPER(IF(AUDITORIA[[#This Row],[DATA VERIFICAÇÃO]]="","",TEXT(AUDITORIA[[#This Row],[DATA VERIFICAÇÃO]],"mmm")))</f>
        <v>MAI</v>
      </c>
      <c r="Y771" t="s">
        <v>598</v>
      </c>
      <c r="Z771" t="s">
        <v>831</v>
      </c>
      <c r="AA771" t="s">
        <v>832</v>
      </c>
    </row>
    <row r="772" spans="1:27" ht="14.4" hidden="1" customHeight="1" x14ac:dyDescent="0.3">
      <c r="A772" s="4" t="s">
        <v>0</v>
      </c>
      <c r="B772" s="4" t="s">
        <v>17</v>
      </c>
      <c r="C772" s="16" t="s">
        <v>18</v>
      </c>
      <c r="D772" s="4">
        <v>10</v>
      </c>
      <c r="E772" s="4" t="s">
        <v>745</v>
      </c>
      <c r="F772" t="s">
        <v>754</v>
      </c>
      <c r="G772" t="s">
        <v>233</v>
      </c>
      <c r="J772" s="4" t="s">
        <v>19</v>
      </c>
      <c r="K772" s="4" t="s">
        <v>21</v>
      </c>
      <c r="L772" s="4" t="s">
        <v>742</v>
      </c>
      <c r="M772" s="17">
        <v>16</v>
      </c>
      <c r="N772" s="17">
        <v>989</v>
      </c>
      <c r="O772" s="18" t="s">
        <v>19</v>
      </c>
      <c r="P772" s="18">
        <v>989</v>
      </c>
      <c r="Q772" s="18">
        <v>16</v>
      </c>
      <c r="R772" s="18" t="s">
        <v>817</v>
      </c>
      <c r="S772" s="18" t="s">
        <v>788</v>
      </c>
      <c r="T772" s="18" t="s">
        <v>794</v>
      </c>
      <c r="U7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72" s="19">
        <f>IF(AUDITORIA[[#This Row],[CAT]]="",0,1)</f>
        <v>1</v>
      </c>
      <c r="W772" s="20">
        <v>46163</v>
      </c>
      <c r="X772" s="21" t="str">
        <f>UPPER(IF(AUDITORIA[[#This Row],[DATA VERIFICAÇÃO]]="","",TEXT(AUDITORIA[[#This Row],[DATA VERIFICAÇÃO]],"mmm")))</f>
        <v>MAI</v>
      </c>
      <c r="Y772" t="s">
        <v>598</v>
      </c>
      <c r="Z772" t="s">
        <v>831</v>
      </c>
      <c r="AA772" t="s">
        <v>832</v>
      </c>
    </row>
    <row r="773" spans="1:27" ht="14.4" hidden="1" customHeight="1" x14ac:dyDescent="0.3">
      <c r="A773" s="4" t="s">
        <v>0</v>
      </c>
      <c r="B773" s="4" t="s">
        <v>17</v>
      </c>
      <c r="C773" s="16" t="s">
        <v>18</v>
      </c>
      <c r="D773" s="4">
        <v>10</v>
      </c>
      <c r="E773" s="4" t="s">
        <v>745</v>
      </c>
      <c r="F773" t="s">
        <v>230</v>
      </c>
      <c r="G773" t="s">
        <v>85</v>
      </c>
      <c r="J773" s="4" t="s">
        <v>88</v>
      </c>
      <c r="K773" s="4" t="s">
        <v>20</v>
      </c>
      <c r="L773" s="4" t="s">
        <v>742</v>
      </c>
      <c r="M773" s="17">
        <v>30</v>
      </c>
      <c r="N773" s="17">
        <v>684</v>
      </c>
      <c r="O773" s="18" t="s">
        <v>88</v>
      </c>
      <c r="P773" s="18">
        <v>684</v>
      </c>
      <c r="Q773" s="18">
        <v>30</v>
      </c>
      <c r="R773" s="18" t="s">
        <v>778</v>
      </c>
      <c r="S773" s="18" t="s">
        <v>802</v>
      </c>
      <c r="T773" s="18" t="s">
        <v>780</v>
      </c>
      <c r="U7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73" s="19">
        <f>IF(AUDITORIA[[#This Row],[CAT]]="",0,1)</f>
        <v>1</v>
      </c>
      <c r="W773" s="20">
        <v>46163</v>
      </c>
      <c r="X773" s="21" t="str">
        <f>UPPER(IF(AUDITORIA[[#This Row],[DATA VERIFICAÇÃO]]="","",TEXT(AUDITORIA[[#This Row],[DATA VERIFICAÇÃO]],"mmm")))</f>
        <v>MAI</v>
      </c>
      <c r="Y773" t="s">
        <v>598</v>
      </c>
      <c r="Z773" t="s">
        <v>831</v>
      </c>
      <c r="AA773" t="s">
        <v>832</v>
      </c>
    </row>
    <row r="774" spans="1:27" ht="14.4" hidden="1" customHeight="1" x14ac:dyDescent="0.3">
      <c r="A774" s="4" t="s">
        <v>0</v>
      </c>
      <c r="B774" s="4" t="s">
        <v>17</v>
      </c>
      <c r="C774" s="16" t="s">
        <v>18</v>
      </c>
      <c r="D774" s="4">
        <v>10</v>
      </c>
      <c r="E774" s="4" t="s">
        <v>745</v>
      </c>
      <c r="F774" t="s">
        <v>228</v>
      </c>
      <c r="G774" t="s">
        <v>85</v>
      </c>
      <c r="J774" s="4" t="s">
        <v>88</v>
      </c>
      <c r="K774" s="4" t="s">
        <v>20</v>
      </c>
      <c r="L774" s="4" t="s">
        <v>742</v>
      </c>
      <c r="M774" s="17">
        <v>30</v>
      </c>
      <c r="N774" s="17">
        <v>693</v>
      </c>
      <c r="O774" s="18" t="s">
        <v>88</v>
      </c>
      <c r="P774" s="18">
        <v>693</v>
      </c>
      <c r="Q774" s="18">
        <v>30</v>
      </c>
      <c r="R774" s="18" t="s">
        <v>778</v>
      </c>
      <c r="S774" s="18" t="s">
        <v>802</v>
      </c>
      <c r="T774" s="18" t="s">
        <v>781</v>
      </c>
      <c r="U7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74" s="19">
        <f>IF(AUDITORIA[[#This Row],[CAT]]="",0,1)</f>
        <v>1</v>
      </c>
      <c r="W774" s="20">
        <v>46163</v>
      </c>
      <c r="X774" s="21" t="str">
        <f>UPPER(IF(AUDITORIA[[#This Row],[DATA VERIFICAÇÃO]]="","",TEXT(AUDITORIA[[#This Row],[DATA VERIFICAÇÃO]],"mmm")))</f>
        <v>MAI</v>
      </c>
      <c r="Y774" t="s">
        <v>598</v>
      </c>
      <c r="Z774" t="s">
        <v>831</v>
      </c>
      <c r="AA774" t="s">
        <v>832</v>
      </c>
    </row>
    <row r="775" spans="1:27" ht="14.4" hidden="1" customHeight="1" x14ac:dyDescent="0.3">
      <c r="A775" s="4" t="s">
        <v>0</v>
      </c>
      <c r="B775" s="4" t="s">
        <v>17</v>
      </c>
      <c r="C775" s="16" t="s">
        <v>18</v>
      </c>
      <c r="D775" s="4">
        <v>10</v>
      </c>
      <c r="E775" s="4" t="s">
        <v>745</v>
      </c>
      <c r="F775" t="s">
        <v>227</v>
      </c>
      <c r="G775" t="s">
        <v>85</v>
      </c>
      <c r="J775" s="4" t="s">
        <v>88</v>
      </c>
      <c r="K775" s="4" t="s">
        <v>20</v>
      </c>
      <c r="L775" s="4" t="s">
        <v>742</v>
      </c>
      <c r="M775" s="17">
        <v>30</v>
      </c>
      <c r="N775" s="17">
        <v>697</v>
      </c>
      <c r="O775" s="18" t="s">
        <v>88</v>
      </c>
      <c r="P775" s="18">
        <v>697</v>
      </c>
      <c r="Q775" s="18">
        <v>30</v>
      </c>
      <c r="R775" s="18" t="s">
        <v>778</v>
      </c>
      <c r="S775" s="18" t="s">
        <v>802</v>
      </c>
      <c r="T775" s="18" t="s">
        <v>782</v>
      </c>
      <c r="U7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75" s="19">
        <f>IF(AUDITORIA[[#This Row],[CAT]]="",0,1)</f>
        <v>1</v>
      </c>
      <c r="W775" s="20">
        <v>46163</v>
      </c>
      <c r="X775" s="21" t="str">
        <f>UPPER(IF(AUDITORIA[[#This Row],[DATA VERIFICAÇÃO]]="","",TEXT(AUDITORIA[[#This Row],[DATA VERIFICAÇÃO]],"mmm")))</f>
        <v>MAI</v>
      </c>
      <c r="Y775" t="s">
        <v>598</v>
      </c>
      <c r="Z775" t="s">
        <v>831</v>
      </c>
      <c r="AA775" t="s">
        <v>832</v>
      </c>
    </row>
    <row r="776" spans="1:27" ht="14.4" hidden="1" customHeight="1" x14ac:dyDescent="0.3">
      <c r="A776" s="4" t="s">
        <v>0</v>
      </c>
      <c r="B776" s="4" t="s">
        <v>17</v>
      </c>
      <c r="C776" s="16" t="s">
        <v>18</v>
      </c>
      <c r="D776" s="4">
        <v>10</v>
      </c>
      <c r="E776" s="4" t="s">
        <v>745</v>
      </c>
      <c r="F776" t="s">
        <v>224</v>
      </c>
      <c r="G776" t="s">
        <v>85</v>
      </c>
      <c r="J776" s="4" t="s">
        <v>88</v>
      </c>
      <c r="K776" s="4" t="s">
        <v>20</v>
      </c>
      <c r="L776" s="4" t="s">
        <v>742</v>
      </c>
      <c r="M776" s="17">
        <v>30</v>
      </c>
      <c r="N776" s="17">
        <v>696</v>
      </c>
      <c r="O776" s="18" t="s">
        <v>88</v>
      </c>
      <c r="P776" s="18">
        <v>696</v>
      </c>
      <c r="Q776" s="18">
        <v>30</v>
      </c>
      <c r="R776" s="18" t="s">
        <v>778</v>
      </c>
      <c r="S776" s="18" t="s">
        <v>802</v>
      </c>
      <c r="T776" s="18" t="s">
        <v>794</v>
      </c>
      <c r="U7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76" s="19">
        <f>IF(AUDITORIA[[#This Row],[CAT]]="",0,1)</f>
        <v>1</v>
      </c>
      <c r="W776" s="20">
        <v>46163</v>
      </c>
      <c r="X776" s="21" t="str">
        <f>UPPER(IF(AUDITORIA[[#This Row],[DATA VERIFICAÇÃO]]="","",TEXT(AUDITORIA[[#This Row],[DATA VERIFICAÇÃO]],"mmm")))</f>
        <v>MAI</v>
      </c>
      <c r="Y776" t="s">
        <v>598</v>
      </c>
      <c r="Z776" t="s">
        <v>831</v>
      </c>
      <c r="AA776" t="s">
        <v>832</v>
      </c>
    </row>
    <row r="777" spans="1:27" ht="14.4" hidden="1" customHeight="1" x14ac:dyDescent="0.3">
      <c r="A777" s="4" t="s">
        <v>0</v>
      </c>
      <c r="B777" s="4" t="s">
        <v>17</v>
      </c>
      <c r="C777" s="16" t="s">
        <v>18</v>
      </c>
      <c r="D777" s="4">
        <v>10</v>
      </c>
      <c r="E777" s="4" t="s">
        <v>745</v>
      </c>
      <c r="F777" t="s">
        <v>222</v>
      </c>
      <c r="G777" t="s">
        <v>85</v>
      </c>
      <c r="J777" s="4" t="s">
        <v>88</v>
      </c>
      <c r="K777" s="4" t="s">
        <v>20</v>
      </c>
      <c r="L777" s="4" t="s">
        <v>742</v>
      </c>
      <c r="M777" s="17">
        <v>30</v>
      </c>
      <c r="N777" s="17">
        <v>698</v>
      </c>
      <c r="O777" s="18" t="s">
        <v>88</v>
      </c>
      <c r="P777" s="18">
        <v>698</v>
      </c>
      <c r="Q777" s="18">
        <v>30</v>
      </c>
      <c r="R777" s="18" t="s">
        <v>778</v>
      </c>
      <c r="S777" s="18" t="s">
        <v>800</v>
      </c>
      <c r="T777" s="18" t="s">
        <v>780</v>
      </c>
      <c r="U7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77" s="19">
        <f>IF(AUDITORIA[[#This Row],[CAT]]="",0,1)</f>
        <v>1</v>
      </c>
      <c r="W777" s="20">
        <v>46163</v>
      </c>
      <c r="X777" s="21" t="str">
        <f>UPPER(IF(AUDITORIA[[#This Row],[DATA VERIFICAÇÃO]]="","",TEXT(AUDITORIA[[#This Row],[DATA VERIFICAÇÃO]],"mmm")))</f>
        <v>MAI</v>
      </c>
      <c r="Y777" t="s">
        <v>598</v>
      </c>
      <c r="Z777" t="s">
        <v>831</v>
      </c>
      <c r="AA777" t="s">
        <v>832</v>
      </c>
    </row>
    <row r="778" spans="1:27" ht="14.4" hidden="1" customHeight="1" x14ac:dyDescent="0.3">
      <c r="A778" s="4" t="s">
        <v>0</v>
      </c>
      <c r="B778" s="4" t="s">
        <v>17</v>
      </c>
      <c r="C778" s="16" t="s">
        <v>18</v>
      </c>
      <c r="D778" s="4">
        <v>10</v>
      </c>
      <c r="E778" s="4" t="s">
        <v>745</v>
      </c>
      <c r="F778" t="s">
        <v>220</v>
      </c>
      <c r="G778" t="s">
        <v>85</v>
      </c>
      <c r="J778" s="4" t="s">
        <v>88</v>
      </c>
      <c r="K778" s="4" t="s">
        <v>20</v>
      </c>
      <c r="L778" s="4" t="s">
        <v>742</v>
      </c>
      <c r="M778" s="17">
        <v>30</v>
      </c>
      <c r="N778" s="17">
        <v>699</v>
      </c>
      <c r="O778" s="18" t="s">
        <v>88</v>
      </c>
      <c r="P778" s="18">
        <v>699</v>
      </c>
      <c r="Q778" s="18">
        <v>30</v>
      </c>
      <c r="R778" s="18" t="s">
        <v>778</v>
      </c>
      <c r="S778" s="18" t="s">
        <v>800</v>
      </c>
      <c r="T778" s="18" t="s">
        <v>781</v>
      </c>
      <c r="U7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78" s="19">
        <f>IF(AUDITORIA[[#This Row],[CAT]]="",0,1)</f>
        <v>1</v>
      </c>
      <c r="W778" s="20">
        <v>46163</v>
      </c>
      <c r="X778" s="21" t="str">
        <f>UPPER(IF(AUDITORIA[[#This Row],[DATA VERIFICAÇÃO]]="","",TEXT(AUDITORIA[[#This Row],[DATA VERIFICAÇÃO]],"mmm")))</f>
        <v>MAI</v>
      </c>
      <c r="Y778" t="s">
        <v>598</v>
      </c>
      <c r="Z778" t="s">
        <v>831</v>
      </c>
      <c r="AA778" t="s">
        <v>832</v>
      </c>
    </row>
    <row r="779" spans="1:27" ht="14.4" hidden="1" customHeight="1" x14ac:dyDescent="0.3">
      <c r="A779" s="4" t="s">
        <v>0</v>
      </c>
      <c r="B779" s="4" t="s">
        <v>17</v>
      </c>
      <c r="C779" s="16" t="s">
        <v>18</v>
      </c>
      <c r="D779" s="4">
        <v>10</v>
      </c>
      <c r="E779" s="4" t="s">
        <v>745</v>
      </c>
      <c r="F779" t="s">
        <v>186</v>
      </c>
      <c r="G779" t="s">
        <v>85</v>
      </c>
      <c r="J779" s="4" t="s">
        <v>88</v>
      </c>
      <c r="K779" s="4" t="s">
        <v>20</v>
      </c>
      <c r="L779" s="4" t="s">
        <v>742</v>
      </c>
      <c r="M779" s="17">
        <v>30</v>
      </c>
      <c r="N779" s="17">
        <v>696</v>
      </c>
      <c r="O779" s="18" t="s">
        <v>88</v>
      </c>
      <c r="P779" s="18">
        <v>696</v>
      </c>
      <c r="Q779" s="18">
        <v>30</v>
      </c>
      <c r="R779" s="18" t="s">
        <v>778</v>
      </c>
      <c r="S779" s="18" t="s">
        <v>800</v>
      </c>
      <c r="T779" s="18" t="s">
        <v>782</v>
      </c>
      <c r="U7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79" s="19">
        <f>IF(AUDITORIA[[#This Row],[CAT]]="",0,1)</f>
        <v>1</v>
      </c>
      <c r="W779" s="20">
        <v>46163</v>
      </c>
      <c r="X779" s="21" t="str">
        <f>UPPER(IF(AUDITORIA[[#This Row],[DATA VERIFICAÇÃO]]="","",TEXT(AUDITORIA[[#This Row],[DATA VERIFICAÇÃO]],"mmm")))</f>
        <v>MAI</v>
      </c>
      <c r="Y779" t="s">
        <v>598</v>
      </c>
      <c r="Z779" t="s">
        <v>831</v>
      </c>
      <c r="AA779" t="s">
        <v>832</v>
      </c>
    </row>
    <row r="780" spans="1:27" ht="14.4" hidden="1" customHeight="1" x14ac:dyDescent="0.3">
      <c r="A780" s="4" t="s">
        <v>0</v>
      </c>
      <c r="B780" s="4" t="s">
        <v>17</v>
      </c>
      <c r="C780" s="16" t="s">
        <v>18</v>
      </c>
      <c r="D780" s="4">
        <v>10</v>
      </c>
      <c r="E780" s="4" t="s">
        <v>745</v>
      </c>
      <c r="F780" t="s">
        <v>184</v>
      </c>
      <c r="G780" t="s">
        <v>85</v>
      </c>
      <c r="J780" s="4" t="s">
        <v>88</v>
      </c>
      <c r="K780" s="4" t="s">
        <v>20</v>
      </c>
      <c r="L780" s="4" t="s">
        <v>742</v>
      </c>
      <c r="M780" s="17">
        <v>30</v>
      </c>
      <c r="N780" s="17">
        <v>708</v>
      </c>
      <c r="O780" s="18" t="s">
        <v>88</v>
      </c>
      <c r="P780" s="18">
        <v>708</v>
      </c>
      <c r="Q780" s="18">
        <v>30</v>
      </c>
      <c r="R780" s="18" t="s">
        <v>778</v>
      </c>
      <c r="S780" s="18" t="s">
        <v>800</v>
      </c>
      <c r="T780" s="18" t="s">
        <v>794</v>
      </c>
      <c r="U7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80" s="19">
        <f>IF(AUDITORIA[[#This Row],[CAT]]="",0,1)</f>
        <v>1</v>
      </c>
      <c r="W780" s="20">
        <v>46163</v>
      </c>
      <c r="X780" s="21" t="str">
        <f>UPPER(IF(AUDITORIA[[#This Row],[DATA VERIFICAÇÃO]]="","",TEXT(AUDITORIA[[#This Row],[DATA VERIFICAÇÃO]],"mmm")))</f>
        <v>MAI</v>
      </c>
      <c r="Y780" t="s">
        <v>598</v>
      </c>
      <c r="Z780" t="s">
        <v>831</v>
      </c>
      <c r="AA780" t="s">
        <v>832</v>
      </c>
    </row>
    <row r="781" spans="1:27" ht="14.4" hidden="1" customHeight="1" x14ac:dyDescent="0.3">
      <c r="A781" s="4" t="s">
        <v>0</v>
      </c>
      <c r="B781" s="4" t="s">
        <v>17</v>
      </c>
      <c r="C781" s="16" t="s">
        <v>18</v>
      </c>
      <c r="D781" s="4">
        <v>10</v>
      </c>
      <c r="E781" s="4" t="s">
        <v>745</v>
      </c>
      <c r="F781" t="s">
        <v>182</v>
      </c>
      <c r="G781" t="s">
        <v>85</v>
      </c>
      <c r="J781" s="4" t="s">
        <v>88</v>
      </c>
      <c r="K781" s="4" t="s">
        <v>20</v>
      </c>
      <c r="L781" s="4" t="s">
        <v>742</v>
      </c>
      <c r="M781" s="17">
        <v>30</v>
      </c>
      <c r="N781" s="17">
        <v>715</v>
      </c>
      <c r="O781" s="18" t="s">
        <v>88</v>
      </c>
      <c r="P781" s="18">
        <v>715</v>
      </c>
      <c r="Q781" s="18">
        <v>30</v>
      </c>
      <c r="R781" s="18" t="s">
        <v>778</v>
      </c>
      <c r="S781" s="18" t="s">
        <v>799</v>
      </c>
      <c r="T781" s="18" t="s">
        <v>780</v>
      </c>
      <c r="U7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81" s="19">
        <f>IF(AUDITORIA[[#This Row],[CAT]]="",0,1)</f>
        <v>1</v>
      </c>
      <c r="W781" s="20">
        <v>46163</v>
      </c>
      <c r="X781" s="21" t="str">
        <f>UPPER(IF(AUDITORIA[[#This Row],[DATA VERIFICAÇÃO]]="","",TEXT(AUDITORIA[[#This Row],[DATA VERIFICAÇÃO]],"mmm")))</f>
        <v>MAI</v>
      </c>
      <c r="Y781" t="s">
        <v>598</v>
      </c>
      <c r="Z781" t="s">
        <v>831</v>
      </c>
      <c r="AA781" t="s">
        <v>832</v>
      </c>
    </row>
    <row r="782" spans="1:27" ht="14.4" hidden="1" customHeight="1" x14ac:dyDescent="0.3">
      <c r="A782" s="4" t="s">
        <v>0</v>
      </c>
      <c r="B782" s="4" t="s">
        <v>17</v>
      </c>
      <c r="C782" s="16" t="s">
        <v>18</v>
      </c>
      <c r="D782" s="4">
        <v>10</v>
      </c>
      <c r="E782" s="4" t="s">
        <v>745</v>
      </c>
      <c r="F782" t="s">
        <v>180</v>
      </c>
      <c r="G782" t="s">
        <v>85</v>
      </c>
      <c r="J782" s="4" t="s">
        <v>88</v>
      </c>
      <c r="K782" s="4" t="s">
        <v>20</v>
      </c>
      <c r="L782" s="4" t="s">
        <v>742</v>
      </c>
      <c r="M782" s="17">
        <v>30</v>
      </c>
      <c r="N782" s="17">
        <v>699</v>
      </c>
      <c r="O782" s="18" t="s">
        <v>88</v>
      </c>
      <c r="P782" s="18">
        <v>699</v>
      </c>
      <c r="Q782" s="18">
        <v>30</v>
      </c>
      <c r="R782" s="18" t="s">
        <v>778</v>
      </c>
      <c r="S782" s="18" t="s">
        <v>799</v>
      </c>
      <c r="T782" s="18" t="s">
        <v>781</v>
      </c>
      <c r="U7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82" s="19">
        <f>IF(AUDITORIA[[#This Row],[CAT]]="",0,1)</f>
        <v>1</v>
      </c>
      <c r="W782" s="20">
        <v>46163</v>
      </c>
      <c r="X782" s="21" t="str">
        <f>UPPER(IF(AUDITORIA[[#This Row],[DATA VERIFICAÇÃO]]="","",TEXT(AUDITORIA[[#This Row],[DATA VERIFICAÇÃO]],"mmm")))</f>
        <v>MAI</v>
      </c>
      <c r="Y782" t="s">
        <v>598</v>
      </c>
      <c r="Z782" t="s">
        <v>831</v>
      </c>
      <c r="AA782" t="s">
        <v>832</v>
      </c>
    </row>
    <row r="783" spans="1:27" ht="14.4" hidden="1" customHeight="1" x14ac:dyDescent="0.3">
      <c r="A783" s="4" t="s">
        <v>0</v>
      </c>
      <c r="B783" s="4" t="s">
        <v>17</v>
      </c>
      <c r="C783" s="16" t="s">
        <v>18</v>
      </c>
      <c r="D783" s="4">
        <v>10</v>
      </c>
      <c r="E783" s="4" t="s">
        <v>745</v>
      </c>
      <c r="F783" t="s">
        <v>178</v>
      </c>
      <c r="G783" t="s">
        <v>85</v>
      </c>
      <c r="J783" s="4" t="s">
        <v>88</v>
      </c>
      <c r="K783" s="4" t="s">
        <v>20</v>
      </c>
      <c r="L783" s="4" t="s">
        <v>742</v>
      </c>
      <c r="M783" s="17">
        <v>30</v>
      </c>
      <c r="N783" s="17">
        <v>712</v>
      </c>
      <c r="O783" s="18" t="s">
        <v>88</v>
      </c>
      <c r="P783" s="18">
        <v>712</v>
      </c>
      <c r="Q783" s="18">
        <v>30</v>
      </c>
      <c r="R783" s="18" t="s">
        <v>778</v>
      </c>
      <c r="S783" s="18" t="s">
        <v>799</v>
      </c>
      <c r="T783" s="18" t="s">
        <v>782</v>
      </c>
      <c r="U7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83" s="19">
        <f>IF(AUDITORIA[[#This Row],[CAT]]="",0,1)</f>
        <v>1</v>
      </c>
      <c r="W783" s="20">
        <v>46163</v>
      </c>
      <c r="X783" s="21" t="str">
        <f>UPPER(IF(AUDITORIA[[#This Row],[DATA VERIFICAÇÃO]]="","",TEXT(AUDITORIA[[#This Row],[DATA VERIFICAÇÃO]],"mmm")))</f>
        <v>MAI</v>
      </c>
      <c r="Y783" t="s">
        <v>598</v>
      </c>
      <c r="Z783" t="s">
        <v>831</v>
      </c>
      <c r="AA783" t="s">
        <v>832</v>
      </c>
    </row>
    <row r="784" spans="1:27" ht="14.4" hidden="1" customHeight="1" x14ac:dyDescent="0.3">
      <c r="A784" s="4" t="s">
        <v>0</v>
      </c>
      <c r="B784" s="4" t="s">
        <v>17</v>
      </c>
      <c r="C784" s="16" t="s">
        <v>18</v>
      </c>
      <c r="D784" s="4">
        <v>10</v>
      </c>
      <c r="E784" s="4" t="s">
        <v>745</v>
      </c>
      <c r="F784" t="s">
        <v>177</v>
      </c>
      <c r="G784" t="s">
        <v>85</v>
      </c>
      <c r="J784" s="4" t="s">
        <v>88</v>
      </c>
      <c r="K784" s="4" t="s">
        <v>20</v>
      </c>
      <c r="L784" s="4" t="s">
        <v>742</v>
      </c>
      <c r="M784" s="17">
        <v>30</v>
      </c>
      <c r="N784" s="17">
        <v>712</v>
      </c>
      <c r="O784" s="18" t="s">
        <v>88</v>
      </c>
      <c r="P784" s="18">
        <v>712</v>
      </c>
      <c r="Q784" s="18">
        <v>30</v>
      </c>
      <c r="R784" s="18" t="s">
        <v>778</v>
      </c>
      <c r="S784" s="18" t="s">
        <v>799</v>
      </c>
      <c r="T784" s="18" t="s">
        <v>794</v>
      </c>
      <c r="U7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84" s="19">
        <f>IF(AUDITORIA[[#This Row],[CAT]]="",0,1)</f>
        <v>1</v>
      </c>
      <c r="W784" s="20">
        <v>46163</v>
      </c>
      <c r="X784" s="21" t="str">
        <f>UPPER(IF(AUDITORIA[[#This Row],[DATA VERIFICAÇÃO]]="","",TEXT(AUDITORIA[[#This Row],[DATA VERIFICAÇÃO]],"mmm")))</f>
        <v>MAI</v>
      </c>
      <c r="Y784" t="s">
        <v>598</v>
      </c>
      <c r="Z784" t="s">
        <v>831</v>
      </c>
      <c r="AA784" t="s">
        <v>832</v>
      </c>
    </row>
    <row r="785" spans="1:27" ht="14.4" hidden="1" customHeight="1" x14ac:dyDescent="0.3">
      <c r="A785" s="4" t="s">
        <v>0</v>
      </c>
      <c r="B785" s="4" t="s">
        <v>17</v>
      </c>
      <c r="C785" s="16" t="s">
        <v>18</v>
      </c>
      <c r="D785" s="4">
        <v>10</v>
      </c>
      <c r="E785" s="4" t="s">
        <v>745</v>
      </c>
      <c r="F785" t="s">
        <v>175</v>
      </c>
      <c r="G785" t="s">
        <v>85</v>
      </c>
      <c r="J785" s="4" t="s">
        <v>88</v>
      </c>
      <c r="K785" s="4" t="s">
        <v>20</v>
      </c>
      <c r="L785" s="4" t="s">
        <v>742</v>
      </c>
      <c r="M785" s="17">
        <v>30</v>
      </c>
      <c r="N785" s="17">
        <v>714</v>
      </c>
      <c r="O785" s="18" t="s">
        <v>88</v>
      </c>
      <c r="P785" s="18">
        <v>714</v>
      </c>
      <c r="Q785" s="18">
        <v>30</v>
      </c>
      <c r="R785" s="18" t="s">
        <v>778</v>
      </c>
      <c r="S785" s="18" t="s">
        <v>797</v>
      </c>
      <c r="T785" s="18" t="s">
        <v>780</v>
      </c>
      <c r="U7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85" s="19">
        <f>IF(AUDITORIA[[#This Row],[CAT]]="",0,1)</f>
        <v>1</v>
      </c>
      <c r="W785" s="20">
        <v>46163</v>
      </c>
      <c r="X785" s="21" t="str">
        <f>UPPER(IF(AUDITORIA[[#This Row],[DATA VERIFICAÇÃO]]="","",TEXT(AUDITORIA[[#This Row],[DATA VERIFICAÇÃO]],"mmm")))</f>
        <v>MAI</v>
      </c>
      <c r="Y785" t="s">
        <v>598</v>
      </c>
      <c r="Z785" t="s">
        <v>831</v>
      </c>
      <c r="AA785" t="s">
        <v>832</v>
      </c>
    </row>
    <row r="786" spans="1:27" ht="14.4" hidden="1" customHeight="1" x14ac:dyDescent="0.3">
      <c r="A786" s="4" t="s">
        <v>0</v>
      </c>
      <c r="B786" s="4" t="s">
        <v>17</v>
      </c>
      <c r="C786" s="16" t="s">
        <v>18</v>
      </c>
      <c r="D786" s="4">
        <v>10</v>
      </c>
      <c r="E786" s="4" t="s">
        <v>745</v>
      </c>
      <c r="F786" t="s">
        <v>173</v>
      </c>
      <c r="G786" t="s">
        <v>85</v>
      </c>
      <c r="J786" s="4" t="s">
        <v>88</v>
      </c>
      <c r="K786" s="4" t="s">
        <v>20</v>
      </c>
      <c r="L786" s="4" t="s">
        <v>742</v>
      </c>
      <c r="M786" s="17">
        <v>30</v>
      </c>
      <c r="N786" s="17">
        <v>718</v>
      </c>
      <c r="O786" s="18" t="s">
        <v>88</v>
      </c>
      <c r="P786" s="18">
        <v>718</v>
      </c>
      <c r="Q786" s="18">
        <v>30</v>
      </c>
      <c r="R786" s="18" t="s">
        <v>778</v>
      </c>
      <c r="S786" s="18" t="s">
        <v>797</v>
      </c>
      <c r="T786" s="18" t="s">
        <v>781</v>
      </c>
      <c r="U7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86" s="19">
        <f>IF(AUDITORIA[[#This Row],[CAT]]="",0,1)</f>
        <v>1</v>
      </c>
      <c r="W786" s="20">
        <v>46163</v>
      </c>
      <c r="X786" s="21" t="str">
        <f>UPPER(IF(AUDITORIA[[#This Row],[DATA VERIFICAÇÃO]]="","",TEXT(AUDITORIA[[#This Row],[DATA VERIFICAÇÃO]],"mmm")))</f>
        <v>MAI</v>
      </c>
      <c r="Y786" t="s">
        <v>598</v>
      </c>
      <c r="Z786" t="s">
        <v>831</v>
      </c>
      <c r="AA786" t="s">
        <v>832</v>
      </c>
    </row>
    <row r="787" spans="1:27" ht="14.4" hidden="1" customHeight="1" x14ac:dyDescent="0.3">
      <c r="A787" s="4" t="s">
        <v>0</v>
      </c>
      <c r="B787" s="4" t="s">
        <v>17</v>
      </c>
      <c r="C787" s="16" t="s">
        <v>18</v>
      </c>
      <c r="D787" s="4">
        <v>10</v>
      </c>
      <c r="E787" s="4" t="s">
        <v>745</v>
      </c>
      <c r="F787" t="s">
        <v>170</v>
      </c>
      <c r="G787" t="s">
        <v>85</v>
      </c>
      <c r="J787" s="4" t="s">
        <v>88</v>
      </c>
      <c r="K787" s="4" t="s">
        <v>20</v>
      </c>
      <c r="L787" s="4" t="s">
        <v>742</v>
      </c>
      <c r="M787" s="17">
        <v>30</v>
      </c>
      <c r="N787" s="17">
        <v>721</v>
      </c>
      <c r="O787" s="18" t="s">
        <v>88</v>
      </c>
      <c r="P787" s="18">
        <v>721</v>
      </c>
      <c r="Q787" s="18">
        <v>30</v>
      </c>
      <c r="R787" s="18" t="s">
        <v>778</v>
      </c>
      <c r="S787" s="18" t="s">
        <v>797</v>
      </c>
      <c r="T787" s="18" t="s">
        <v>782</v>
      </c>
      <c r="U7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87" s="19">
        <f>IF(AUDITORIA[[#This Row],[CAT]]="",0,1)</f>
        <v>1</v>
      </c>
      <c r="W787" s="20">
        <v>46163</v>
      </c>
      <c r="X787" s="21" t="str">
        <f>UPPER(IF(AUDITORIA[[#This Row],[DATA VERIFICAÇÃO]]="","",TEXT(AUDITORIA[[#This Row],[DATA VERIFICAÇÃO]],"mmm")))</f>
        <v>MAI</v>
      </c>
      <c r="Y787" t="s">
        <v>598</v>
      </c>
      <c r="Z787" t="s">
        <v>831</v>
      </c>
      <c r="AA787" t="s">
        <v>832</v>
      </c>
    </row>
    <row r="788" spans="1:27" ht="14.4" hidden="1" customHeight="1" x14ac:dyDescent="0.3">
      <c r="A788" s="4" t="s">
        <v>0</v>
      </c>
      <c r="B788" s="4" t="s">
        <v>17</v>
      </c>
      <c r="C788" s="16" t="s">
        <v>18</v>
      </c>
      <c r="D788" s="4">
        <v>10</v>
      </c>
      <c r="E788" s="4" t="s">
        <v>745</v>
      </c>
      <c r="F788" t="s">
        <v>169</v>
      </c>
      <c r="G788" t="s">
        <v>85</v>
      </c>
      <c r="J788" s="4" t="s">
        <v>88</v>
      </c>
      <c r="K788" s="4" t="s">
        <v>20</v>
      </c>
      <c r="L788" s="4" t="s">
        <v>742</v>
      </c>
      <c r="M788" s="17">
        <v>30</v>
      </c>
      <c r="N788" s="17">
        <v>718</v>
      </c>
      <c r="O788" s="18" t="s">
        <v>88</v>
      </c>
      <c r="P788" s="18">
        <v>718</v>
      </c>
      <c r="Q788" s="18">
        <v>30</v>
      </c>
      <c r="R788" s="18" t="s">
        <v>778</v>
      </c>
      <c r="S788" s="18" t="s">
        <v>797</v>
      </c>
      <c r="T788" s="18" t="s">
        <v>794</v>
      </c>
      <c r="U7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88" s="19">
        <f>IF(AUDITORIA[[#This Row],[CAT]]="",0,1)</f>
        <v>1</v>
      </c>
      <c r="W788" s="20">
        <v>46163</v>
      </c>
      <c r="X788" s="21" t="str">
        <f>UPPER(IF(AUDITORIA[[#This Row],[DATA VERIFICAÇÃO]]="","",TEXT(AUDITORIA[[#This Row],[DATA VERIFICAÇÃO]],"mmm")))</f>
        <v>MAI</v>
      </c>
      <c r="Y788" t="s">
        <v>598</v>
      </c>
      <c r="Z788" t="s">
        <v>831</v>
      </c>
      <c r="AA788" t="s">
        <v>832</v>
      </c>
    </row>
    <row r="789" spans="1:27" ht="14.4" hidden="1" customHeight="1" x14ac:dyDescent="0.3">
      <c r="A789" s="4" t="s">
        <v>0</v>
      </c>
      <c r="B789" s="4" t="s">
        <v>17</v>
      </c>
      <c r="C789" s="16" t="s">
        <v>18</v>
      </c>
      <c r="D789" s="4">
        <v>10</v>
      </c>
      <c r="E789" s="4" t="s">
        <v>745</v>
      </c>
      <c r="F789" t="s">
        <v>167</v>
      </c>
      <c r="G789" t="s">
        <v>85</v>
      </c>
      <c r="J789" s="4" t="s">
        <v>88</v>
      </c>
      <c r="K789" s="4" t="s">
        <v>20</v>
      </c>
      <c r="L789" s="4" t="s">
        <v>742</v>
      </c>
      <c r="M789" s="17">
        <v>30</v>
      </c>
      <c r="N789" s="17">
        <v>721</v>
      </c>
      <c r="O789" s="18" t="s">
        <v>88</v>
      </c>
      <c r="P789" s="18">
        <v>721</v>
      </c>
      <c r="Q789" s="18">
        <v>30</v>
      </c>
      <c r="R789" s="18" t="s">
        <v>778</v>
      </c>
      <c r="S789" s="18" t="s">
        <v>795</v>
      </c>
      <c r="T789" s="18" t="s">
        <v>780</v>
      </c>
      <c r="U7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89" s="19">
        <f>IF(AUDITORIA[[#This Row],[CAT]]="",0,1)</f>
        <v>1</v>
      </c>
      <c r="W789" s="20">
        <v>46163</v>
      </c>
      <c r="X789" s="21" t="str">
        <f>UPPER(IF(AUDITORIA[[#This Row],[DATA VERIFICAÇÃO]]="","",TEXT(AUDITORIA[[#This Row],[DATA VERIFICAÇÃO]],"mmm")))</f>
        <v>MAI</v>
      </c>
      <c r="Y789" t="s">
        <v>598</v>
      </c>
      <c r="Z789" t="s">
        <v>831</v>
      </c>
      <c r="AA789" t="s">
        <v>832</v>
      </c>
    </row>
    <row r="790" spans="1:27" ht="14.4" hidden="1" customHeight="1" x14ac:dyDescent="0.3">
      <c r="A790" s="4" t="s">
        <v>0</v>
      </c>
      <c r="B790" s="4" t="s">
        <v>17</v>
      </c>
      <c r="C790" s="16" t="s">
        <v>18</v>
      </c>
      <c r="D790" s="4">
        <v>10</v>
      </c>
      <c r="E790" s="4" t="s">
        <v>745</v>
      </c>
      <c r="F790" t="s">
        <v>165</v>
      </c>
      <c r="G790" t="s">
        <v>85</v>
      </c>
      <c r="J790" s="4" t="s">
        <v>88</v>
      </c>
      <c r="K790" s="4" t="s">
        <v>20</v>
      </c>
      <c r="L790" s="4" t="s">
        <v>742</v>
      </c>
      <c r="M790" s="17">
        <v>30</v>
      </c>
      <c r="N790" s="17">
        <v>728</v>
      </c>
      <c r="O790" s="18" t="s">
        <v>88</v>
      </c>
      <c r="P790" s="18">
        <v>728</v>
      </c>
      <c r="Q790" s="18">
        <v>30</v>
      </c>
      <c r="R790" s="18" t="s">
        <v>778</v>
      </c>
      <c r="S790" s="18" t="s">
        <v>795</v>
      </c>
      <c r="T790" s="18" t="s">
        <v>781</v>
      </c>
      <c r="U7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90" s="19">
        <f>IF(AUDITORIA[[#This Row],[CAT]]="",0,1)</f>
        <v>1</v>
      </c>
      <c r="W790" s="20">
        <v>46163</v>
      </c>
      <c r="X790" s="21" t="str">
        <f>UPPER(IF(AUDITORIA[[#This Row],[DATA VERIFICAÇÃO]]="","",TEXT(AUDITORIA[[#This Row],[DATA VERIFICAÇÃO]],"mmm")))</f>
        <v>MAI</v>
      </c>
      <c r="Y790" t="s">
        <v>598</v>
      </c>
      <c r="Z790" t="s">
        <v>831</v>
      </c>
      <c r="AA790" t="s">
        <v>832</v>
      </c>
    </row>
    <row r="791" spans="1:27" ht="14.4" hidden="1" customHeight="1" x14ac:dyDescent="0.3">
      <c r="A791" s="4" t="s">
        <v>0</v>
      </c>
      <c r="B791" s="4" t="s">
        <v>17</v>
      </c>
      <c r="C791" s="16" t="s">
        <v>18</v>
      </c>
      <c r="D791" s="4">
        <v>10</v>
      </c>
      <c r="E791" s="4" t="s">
        <v>745</v>
      </c>
      <c r="F791" t="s">
        <v>164</v>
      </c>
      <c r="G791" t="s">
        <v>85</v>
      </c>
      <c r="J791" s="4" t="s">
        <v>88</v>
      </c>
      <c r="K791" s="4" t="s">
        <v>20</v>
      </c>
      <c r="L791" s="4" t="s">
        <v>742</v>
      </c>
      <c r="M791" s="17">
        <v>30</v>
      </c>
      <c r="N791" s="17">
        <v>710</v>
      </c>
      <c r="O791" s="18" t="s">
        <v>88</v>
      </c>
      <c r="P791" s="18">
        <v>710</v>
      </c>
      <c r="Q791" s="18">
        <v>30</v>
      </c>
      <c r="R791" s="18" t="s">
        <v>778</v>
      </c>
      <c r="S791" s="18" t="s">
        <v>795</v>
      </c>
      <c r="T791" s="18" t="s">
        <v>782</v>
      </c>
      <c r="U7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91" s="19">
        <f>IF(AUDITORIA[[#This Row],[CAT]]="",0,1)</f>
        <v>1</v>
      </c>
      <c r="W791" s="20">
        <v>46163</v>
      </c>
      <c r="X791" s="21" t="str">
        <f>UPPER(IF(AUDITORIA[[#This Row],[DATA VERIFICAÇÃO]]="","",TEXT(AUDITORIA[[#This Row],[DATA VERIFICAÇÃO]],"mmm")))</f>
        <v>MAI</v>
      </c>
      <c r="Y791" t="s">
        <v>598</v>
      </c>
      <c r="Z791" t="s">
        <v>831</v>
      </c>
      <c r="AA791" t="s">
        <v>832</v>
      </c>
    </row>
    <row r="792" spans="1:27" ht="14.4" hidden="1" customHeight="1" x14ac:dyDescent="0.3">
      <c r="A792" s="4" t="s">
        <v>0</v>
      </c>
      <c r="B792" s="4" t="s">
        <v>17</v>
      </c>
      <c r="C792" s="16" t="s">
        <v>18</v>
      </c>
      <c r="D792" s="4">
        <v>10</v>
      </c>
      <c r="E792" s="4" t="s">
        <v>745</v>
      </c>
      <c r="F792" t="s">
        <v>162</v>
      </c>
      <c r="G792" t="s">
        <v>85</v>
      </c>
      <c r="J792" s="4" t="s">
        <v>88</v>
      </c>
      <c r="K792" s="4" t="s">
        <v>20</v>
      </c>
      <c r="L792" s="4" t="s">
        <v>742</v>
      </c>
      <c r="M792" s="17">
        <v>30</v>
      </c>
      <c r="N792" s="17">
        <v>715</v>
      </c>
      <c r="O792" s="18" t="s">
        <v>88</v>
      </c>
      <c r="P792" s="18">
        <v>715</v>
      </c>
      <c r="Q792" s="18">
        <v>30</v>
      </c>
      <c r="R792" s="18" t="s">
        <v>778</v>
      </c>
      <c r="S792" s="18" t="s">
        <v>795</v>
      </c>
      <c r="T792" s="18" t="s">
        <v>794</v>
      </c>
      <c r="U7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92" s="19">
        <f>IF(AUDITORIA[[#This Row],[CAT]]="",0,1)</f>
        <v>1</v>
      </c>
      <c r="W792" s="20">
        <v>46163</v>
      </c>
      <c r="X792" s="21" t="str">
        <f>UPPER(IF(AUDITORIA[[#This Row],[DATA VERIFICAÇÃO]]="","",TEXT(AUDITORIA[[#This Row],[DATA VERIFICAÇÃO]],"mmm")))</f>
        <v>MAI</v>
      </c>
      <c r="Y792" t="s">
        <v>598</v>
      </c>
      <c r="Z792" t="s">
        <v>831</v>
      </c>
      <c r="AA792" t="s">
        <v>832</v>
      </c>
    </row>
    <row r="793" spans="1:27" ht="14.4" hidden="1" customHeight="1" x14ac:dyDescent="0.3">
      <c r="A793" s="4" t="s">
        <v>0</v>
      </c>
      <c r="B793" s="4" t="s">
        <v>17</v>
      </c>
      <c r="C793" s="16" t="s">
        <v>18</v>
      </c>
      <c r="D793" s="4">
        <v>10</v>
      </c>
      <c r="E793" s="4" t="s">
        <v>745</v>
      </c>
      <c r="F793" t="s">
        <v>160</v>
      </c>
      <c r="G793" t="s">
        <v>85</v>
      </c>
      <c r="J793" s="4" t="s">
        <v>88</v>
      </c>
      <c r="K793" s="4" t="s">
        <v>20</v>
      </c>
      <c r="L793" s="4" t="s">
        <v>742</v>
      </c>
      <c r="M793" s="17">
        <v>30</v>
      </c>
      <c r="N793" s="17">
        <v>709</v>
      </c>
      <c r="O793" s="18" t="s">
        <v>88</v>
      </c>
      <c r="P793" s="18">
        <v>709</v>
      </c>
      <c r="Q793" s="18">
        <v>30</v>
      </c>
      <c r="R793" s="18" t="s">
        <v>778</v>
      </c>
      <c r="S793" s="18" t="s">
        <v>793</v>
      </c>
      <c r="T793" s="18" t="s">
        <v>780</v>
      </c>
      <c r="U7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93" s="19">
        <f>IF(AUDITORIA[[#This Row],[CAT]]="",0,1)</f>
        <v>1</v>
      </c>
      <c r="W793" s="20">
        <v>46163</v>
      </c>
      <c r="X793" s="21" t="str">
        <f>UPPER(IF(AUDITORIA[[#This Row],[DATA VERIFICAÇÃO]]="","",TEXT(AUDITORIA[[#This Row],[DATA VERIFICAÇÃO]],"mmm")))</f>
        <v>MAI</v>
      </c>
      <c r="Y793" t="s">
        <v>598</v>
      </c>
      <c r="Z793" t="s">
        <v>831</v>
      </c>
      <c r="AA793" t="s">
        <v>832</v>
      </c>
    </row>
    <row r="794" spans="1:27" ht="14.4" hidden="1" customHeight="1" x14ac:dyDescent="0.3">
      <c r="A794" s="4" t="s">
        <v>0</v>
      </c>
      <c r="B794" s="4" t="s">
        <v>17</v>
      </c>
      <c r="C794" s="16" t="s">
        <v>18</v>
      </c>
      <c r="D794" s="4">
        <v>10</v>
      </c>
      <c r="E794" s="4" t="s">
        <v>745</v>
      </c>
      <c r="F794" t="s">
        <v>159</v>
      </c>
      <c r="G794" t="s">
        <v>85</v>
      </c>
      <c r="J794" s="4" t="s">
        <v>88</v>
      </c>
      <c r="K794" s="4" t="s">
        <v>20</v>
      </c>
      <c r="L794" s="4" t="s">
        <v>742</v>
      </c>
      <c r="M794" s="17">
        <v>30</v>
      </c>
      <c r="N794" s="17">
        <v>705</v>
      </c>
      <c r="O794" s="18" t="s">
        <v>88</v>
      </c>
      <c r="P794" s="18">
        <v>705</v>
      </c>
      <c r="Q794" s="18">
        <v>30</v>
      </c>
      <c r="R794" s="18" t="s">
        <v>778</v>
      </c>
      <c r="S794" s="18" t="s">
        <v>793</v>
      </c>
      <c r="T794" s="18" t="s">
        <v>781</v>
      </c>
      <c r="U7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94" s="19">
        <f>IF(AUDITORIA[[#This Row],[CAT]]="",0,1)</f>
        <v>1</v>
      </c>
      <c r="W794" s="20">
        <v>46163</v>
      </c>
      <c r="X794" s="21" t="str">
        <f>UPPER(IF(AUDITORIA[[#This Row],[DATA VERIFICAÇÃO]]="","",TEXT(AUDITORIA[[#This Row],[DATA VERIFICAÇÃO]],"mmm")))</f>
        <v>MAI</v>
      </c>
      <c r="Y794" t="s">
        <v>598</v>
      </c>
      <c r="Z794" t="s">
        <v>831</v>
      </c>
      <c r="AA794" t="s">
        <v>832</v>
      </c>
    </row>
    <row r="795" spans="1:27" ht="14.4" hidden="1" customHeight="1" x14ac:dyDescent="0.3">
      <c r="A795" s="4" t="s">
        <v>0</v>
      </c>
      <c r="B795" s="4" t="s">
        <v>17</v>
      </c>
      <c r="C795" s="16" t="s">
        <v>18</v>
      </c>
      <c r="D795" s="4">
        <v>10</v>
      </c>
      <c r="E795" s="4" t="s">
        <v>745</v>
      </c>
      <c r="F795" t="s">
        <v>157</v>
      </c>
      <c r="G795" t="s">
        <v>85</v>
      </c>
      <c r="J795" s="4" t="s">
        <v>88</v>
      </c>
      <c r="K795" s="4" t="s">
        <v>20</v>
      </c>
      <c r="L795" s="4" t="s">
        <v>742</v>
      </c>
      <c r="M795" s="17">
        <v>30</v>
      </c>
      <c r="N795" s="17">
        <v>702</v>
      </c>
      <c r="O795" s="18" t="s">
        <v>88</v>
      </c>
      <c r="P795" s="18">
        <v>702</v>
      </c>
      <c r="Q795" s="18">
        <v>30</v>
      </c>
      <c r="R795" s="18" t="s">
        <v>778</v>
      </c>
      <c r="S795" s="18" t="s">
        <v>793</v>
      </c>
      <c r="T795" s="18" t="s">
        <v>782</v>
      </c>
      <c r="U7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95" s="19">
        <f>IF(AUDITORIA[[#This Row],[CAT]]="",0,1)</f>
        <v>1</v>
      </c>
      <c r="W795" s="20">
        <v>46163</v>
      </c>
      <c r="X795" s="21" t="str">
        <f>UPPER(IF(AUDITORIA[[#This Row],[DATA VERIFICAÇÃO]]="","",TEXT(AUDITORIA[[#This Row],[DATA VERIFICAÇÃO]],"mmm")))</f>
        <v>MAI</v>
      </c>
      <c r="Y795" t="s">
        <v>598</v>
      </c>
      <c r="Z795" t="s">
        <v>831</v>
      </c>
      <c r="AA795" t="s">
        <v>832</v>
      </c>
    </row>
    <row r="796" spans="1:27" ht="14.4" hidden="1" customHeight="1" x14ac:dyDescent="0.3">
      <c r="A796" s="4" t="s">
        <v>0</v>
      </c>
      <c r="B796" s="4" t="s">
        <v>17</v>
      </c>
      <c r="C796" s="16" t="s">
        <v>18</v>
      </c>
      <c r="D796" s="4">
        <v>10</v>
      </c>
      <c r="E796" s="4" t="s">
        <v>745</v>
      </c>
      <c r="F796" t="s">
        <v>155</v>
      </c>
      <c r="G796" t="s">
        <v>85</v>
      </c>
      <c r="J796" s="4" t="s">
        <v>88</v>
      </c>
      <c r="K796" s="4" t="s">
        <v>20</v>
      </c>
      <c r="L796" s="4" t="s">
        <v>742</v>
      </c>
      <c r="M796" s="17">
        <v>30</v>
      </c>
      <c r="N796" s="17">
        <v>694</v>
      </c>
      <c r="O796" s="18" t="s">
        <v>88</v>
      </c>
      <c r="P796" s="18">
        <v>694</v>
      </c>
      <c r="Q796" s="18">
        <v>30</v>
      </c>
      <c r="R796" s="18" t="s">
        <v>778</v>
      </c>
      <c r="S796" s="18" t="s">
        <v>793</v>
      </c>
      <c r="T796" s="18" t="s">
        <v>794</v>
      </c>
      <c r="U7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96" s="19">
        <f>IF(AUDITORIA[[#This Row],[CAT]]="",0,1)</f>
        <v>1</v>
      </c>
      <c r="W796" s="20">
        <v>46163</v>
      </c>
      <c r="X796" s="21" t="str">
        <f>UPPER(IF(AUDITORIA[[#This Row],[DATA VERIFICAÇÃO]]="","",TEXT(AUDITORIA[[#This Row],[DATA VERIFICAÇÃO]],"mmm")))</f>
        <v>MAI</v>
      </c>
      <c r="Y796" t="s">
        <v>598</v>
      </c>
      <c r="Z796" t="s">
        <v>831</v>
      </c>
      <c r="AA796" t="s">
        <v>832</v>
      </c>
    </row>
    <row r="797" spans="1:27" ht="14.4" hidden="1" customHeight="1" x14ac:dyDescent="0.3">
      <c r="A797" s="4" t="s">
        <v>0</v>
      </c>
      <c r="B797" s="4" t="s">
        <v>17</v>
      </c>
      <c r="C797" s="16" t="s">
        <v>18</v>
      </c>
      <c r="D797" s="4">
        <v>10</v>
      </c>
      <c r="E797" s="4" t="s">
        <v>745</v>
      </c>
      <c r="F797" t="s">
        <v>154</v>
      </c>
      <c r="G797" t="s">
        <v>85</v>
      </c>
      <c r="J797" s="4" t="s">
        <v>88</v>
      </c>
      <c r="K797" s="4" t="s">
        <v>20</v>
      </c>
      <c r="L797" s="4" t="s">
        <v>742</v>
      </c>
      <c r="M797" s="17">
        <v>30</v>
      </c>
      <c r="N797" s="17">
        <v>705</v>
      </c>
      <c r="O797" s="18" t="s">
        <v>88</v>
      </c>
      <c r="P797" s="18">
        <v>705</v>
      </c>
      <c r="Q797" s="18">
        <v>30</v>
      </c>
      <c r="R797" s="18" t="s">
        <v>778</v>
      </c>
      <c r="S797" s="18" t="s">
        <v>805</v>
      </c>
      <c r="T797" s="18" t="s">
        <v>781</v>
      </c>
      <c r="U7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97" s="19">
        <f>IF(AUDITORIA[[#This Row],[CAT]]="",0,1)</f>
        <v>1</v>
      </c>
      <c r="W797" s="20">
        <v>46163</v>
      </c>
      <c r="X797" s="21" t="str">
        <f>UPPER(IF(AUDITORIA[[#This Row],[DATA VERIFICAÇÃO]]="","",TEXT(AUDITORIA[[#This Row],[DATA VERIFICAÇÃO]],"mmm")))</f>
        <v>MAI</v>
      </c>
      <c r="Y797" t="s">
        <v>598</v>
      </c>
      <c r="Z797" t="s">
        <v>831</v>
      </c>
      <c r="AA797" t="s">
        <v>832</v>
      </c>
    </row>
    <row r="798" spans="1:27" ht="14.4" hidden="1" customHeight="1" x14ac:dyDescent="0.3">
      <c r="A798" s="4" t="s">
        <v>0</v>
      </c>
      <c r="B798" s="4" t="s">
        <v>17</v>
      </c>
      <c r="C798" s="16" t="s">
        <v>18</v>
      </c>
      <c r="D798" s="4">
        <v>10</v>
      </c>
      <c r="E798" s="4" t="s">
        <v>745</v>
      </c>
      <c r="F798" t="s">
        <v>152</v>
      </c>
      <c r="G798" t="s">
        <v>85</v>
      </c>
      <c r="J798" s="4" t="s">
        <v>88</v>
      </c>
      <c r="K798" s="4" t="s">
        <v>20</v>
      </c>
      <c r="L798" s="4" t="s">
        <v>742</v>
      </c>
      <c r="M798" s="17">
        <v>30</v>
      </c>
      <c r="N798" s="17">
        <v>708</v>
      </c>
      <c r="O798" s="18" t="s">
        <v>88</v>
      </c>
      <c r="P798" s="18">
        <v>708</v>
      </c>
      <c r="Q798" s="18">
        <v>30</v>
      </c>
      <c r="R798" s="18" t="s">
        <v>778</v>
      </c>
      <c r="S798" s="18" t="s">
        <v>805</v>
      </c>
      <c r="T798" s="18" t="s">
        <v>780</v>
      </c>
      <c r="U7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98" s="19">
        <f>IF(AUDITORIA[[#This Row],[CAT]]="",0,1)</f>
        <v>1</v>
      </c>
      <c r="W798" s="20">
        <v>46163</v>
      </c>
      <c r="X798" s="21" t="str">
        <f>UPPER(IF(AUDITORIA[[#This Row],[DATA VERIFICAÇÃO]]="","",TEXT(AUDITORIA[[#This Row],[DATA VERIFICAÇÃO]],"mmm")))</f>
        <v>MAI</v>
      </c>
      <c r="Y798" t="s">
        <v>598</v>
      </c>
      <c r="Z798" t="s">
        <v>831</v>
      </c>
      <c r="AA798" t="s">
        <v>832</v>
      </c>
    </row>
    <row r="799" spans="1:27" ht="14.4" hidden="1" customHeight="1" x14ac:dyDescent="0.3">
      <c r="A799" s="4" t="s">
        <v>0</v>
      </c>
      <c r="B799" s="4" t="s">
        <v>17</v>
      </c>
      <c r="C799" s="16" t="s">
        <v>18</v>
      </c>
      <c r="D799" s="4">
        <v>10</v>
      </c>
      <c r="E799" s="4" t="s">
        <v>745</v>
      </c>
      <c r="F799" t="s">
        <v>150</v>
      </c>
      <c r="G799" t="s">
        <v>85</v>
      </c>
      <c r="J799" s="4" t="s">
        <v>88</v>
      </c>
      <c r="K799" s="4" t="s">
        <v>20</v>
      </c>
      <c r="L799" s="4" t="s">
        <v>742</v>
      </c>
      <c r="M799" s="17">
        <v>30</v>
      </c>
      <c r="N799" s="17">
        <v>713</v>
      </c>
      <c r="O799" s="18" t="s">
        <v>88</v>
      </c>
      <c r="P799" s="18">
        <v>713</v>
      </c>
      <c r="Q799" s="18">
        <v>30</v>
      </c>
      <c r="R799" s="18" t="s">
        <v>778</v>
      </c>
      <c r="S799" s="18" t="s">
        <v>805</v>
      </c>
      <c r="T799" s="18" t="s">
        <v>782</v>
      </c>
      <c r="U7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799" s="19">
        <f>IF(AUDITORIA[[#This Row],[CAT]]="",0,1)</f>
        <v>1</v>
      </c>
      <c r="W799" s="20">
        <v>46163</v>
      </c>
      <c r="X799" s="21" t="str">
        <f>UPPER(IF(AUDITORIA[[#This Row],[DATA VERIFICAÇÃO]]="","",TEXT(AUDITORIA[[#This Row],[DATA VERIFICAÇÃO]],"mmm")))</f>
        <v>MAI</v>
      </c>
      <c r="Y799" t="s">
        <v>598</v>
      </c>
      <c r="Z799" t="s">
        <v>831</v>
      </c>
      <c r="AA799" t="s">
        <v>832</v>
      </c>
    </row>
    <row r="800" spans="1:27" ht="14.4" hidden="1" customHeight="1" x14ac:dyDescent="0.3">
      <c r="A800" s="4" t="s">
        <v>0</v>
      </c>
      <c r="B800" s="4" t="s">
        <v>17</v>
      </c>
      <c r="C800" s="16" t="s">
        <v>18</v>
      </c>
      <c r="D800" s="4">
        <v>10</v>
      </c>
      <c r="E800" s="4" t="s">
        <v>745</v>
      </c>
      <c r="F800" t="s">
        <v>148</v>
      </c>
      <c r="G800" t="s">
        <v>85</v>
      </c>
      <c r="J800" s="4" t="s">
        <v>88</v>
      </c>
      <c r="K800" s="4" t="s">
        <v>20</v>
      </c>
      <c r="L800" s="4" t="s">
        <v>742</v>
      </c>
      <c r="M800" s="17">
        <v>30</v>
      </c>
      <c r="N800" s="17">
        <v>718</v>
      </c>
      <c r="O800" s="18" t="s">
        <v>88</v>
      </c>
      <c r="P800" s="18">
        <v>718</v>
      </c>
      <c r="Q800" s="18">
        <v>30</v>
      </c>
      <c r="R800" s="18" t="s">
        <v>778</v>
      </c>
      <c r="S800" s="18" t="s">
        <v>809</v>
      </c>
      <c r="T800" s="18" t="s">
        <v>780</v>
      </c>
      <c r="U8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00" s="19">
        <f>IF(AUDITORIA[[#This Row],[CAT]]="",0,1)</f>
        <v>1</v>
      </c>
      <c r="W800" s="20">
        <v>46163</v>
      </c>
      <c r="X800" s="21" t="str">
        <f>UPPER(IF(AUDITORIA[[#This Row],[DATA VERIFICAÇÃO]]="","",TEXT(AUDITORIA[[#This Row],[DATA VERIFICAÇÃO]],"mmm")))</f>
        <v>MAI</v>
      </c>
      <c r="Y800" t="s">
        <v>598</v>
      </c>
      <c r="Z800" t="s">
        <v>831</v>
      </c>
      <c r="AA800" t="s">
        <v>832</v>
      </c>
    </row>
    <row r="801" spans="1:27" ht="14.4" hidden="1" customHeight="1" x14ac:dyDescent="0.3">
      <c r="A801" s="4" t="s">
        <v>0</v>
      </c>
      <c r="B801" s="4" t="s">
        <v>17</v>
      </c>
      <c r="C801" s="16" t="s">
        <v>18</v>
      </c>
      <c r="D801" s="4">
        <v>10</v>
      </c>
      <c r="E801" s="4" t="s">
        <v>745</v>
      </c>
      <c r="F801" t="s">
        <v>147</v>
      </c>
      <c r="G801" t="s">
        <v>85</v>
      </c>
      <c r="J801" s="4" t="s">
        <v>88</v>
      </c>
      <c r="K801" s="4" t="s">
        <v>20</v>
      </c>
      <c r="L801" s="4" t="s">
        <v>742</v>
      </c>
      <c r="M801" s="17">
        <v>30</v>
      </c>
      <c r="N801" s="17">
        <v>710</v>
      </c>
      <c r="O801" s="18" t="s">
        <v>88</v>
      </c>
      <c r="P801" s="18">
        <v>710</v>
      </c>
      <c r="Q801" s="18">
        <v>30</v>
      </c>
      <c r="R801" s="18" t="s">
        <v>778</v>
      </c>
      <c r="S801" s="18" t="s">
        <v>809</v>
      </c>
      <c r="T801" s="18" t="s">
        <v>781</v>
      </c>
      <c r="U8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01" s="19">
        <f>IF(AUDITORIA[[#This Row],[CAT]]="",0,1)</f>
        <v>1</v>
      </c>
      <c r="W801" s="20">
        <v>46163</v>
      </c>
      <c r="X801" s="21" t="str">
        <f>UPPER(IF(AUDITORIA[[#This Row],[DATA VERIFICAÇÃO]]="","",TEXT(AUDITORIA[[#This Row],[DATA VERIFICAÇÃO]],"mmm")))</f>
        <v>MAI</v>
      </c>
      <c r="Y801" t="s">
        <v>598</v>
      </c>
      <c r="Z801" t="s">
        <v>831</v>
      </c>
      <c r="AA801" t="s">
        <v>832</v>
      </c>
    </row>
    <row r="802" spans="1:27" ht="14.4" hidden="1" customHeight="1" x14ac:dyDescent="0.3">
      <c r="A802" s="4" t="s">
        <v>0</v>
      </c>
      <c r="B802" s="4" t="s">
        <v>17</v>
      </c>
      <c r="C802" s="16" t="s">
        <v>18</v>
      </c>
      <c r="D802" s="4">
        <v>10</v>
      </c>
      <c r="E802" s="4" t="s">
        <v>745</v>
      </c>
      <c r="F802" t="s">
        <v>145</v>
      </c>
      <c r="G802" t="s">
        <v>85</v>
      </c>
      <c r="J802" s="4" t="s">
        <v>88</v>
      </c>
      <c r="K802" s="4" t="s">
        <v>20</v>
      </c>
      <c r="L802" s="4" t="s">
        <v>742</v>
      </c>
      <c r="M802" s="17">
        <v>30</v>
      </c>
      <c r="N802" s="17">
        <v>712</v>
      </c>
      <c r="O802" s="18" t="s">
        <v>88</v>
      </c>
      <c r="P802" s="18">
        <v>712</v>
      </c>
      <c r="Q802" s="18">
        <v>30</v>
      </c>
      <c r="R802" s="18" t="s">
        <v>778</v>
      </c>
      <c r="S802" s="18" t="s">
        <v>809</v>
      </c>
      <c r="T802" s="18" t="s">
        <v>782</v>
      </c>
      <c r="U8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02" s="19">
        <f>IF(AUDITORIA[[#This Row],[CAT]]="",0,1)</f>
        <v>1</v>
      </c>
      <c r="W802" s="20">
        <v>46163</v>
      </c>
      <c r="X802" s="21" t="str">
        <f>UPPER(IF(AUDITORIA[[#This Row],[DATA VERIFICAÇÃO]]="","",TEXT(AUDITORIA[[#This Row],[DATA VERIFICAÇÃO]],"mmm")))</f>
        <v>MAI</v>
      </c>
      <c r="Y802" t="s">
        <v>598</v>
      </c>
      <c r="Z802" t="s">
        <v>831</v>
      </c>
      <c r="AA802" t="s">
        <v>832</v>
      </c>
    </row>
    <row r="803" spans="1:27" ht="14.4" hidden="1" customHeight="1" x14ac:dyDescent="0.3">
      <c r="A803" s="4" t="s">
        <v>0</v>
      </c>
      <c r="B803" s="4" t="s">
        <v>17</v>
      </c>
      <c r="C803" s="16" t="s">
        <v>18</v>
      </c>
      <c r="D803" s="4">
        <v>10</v>
      </c>
      <c r="E803" s="4" t="s">
        <v>745</v>
      </c>
      <c r="F803" t="s">
        <v>143</v>
      </c>
      <c r="G803" t="s">
        <v>85</v>
      </c>
      <c r="J803" s="4" t="s">
        <v>88</v>
      </c>
      <c r="K803" s="4" t="s">
        <v>20</v>
      </c>
      <c r="L803" s="4" t="s">
        <v>742</v>
      </c>
      <c r="M803" s="17">
        <v>30</v>
      </c>
      <c r="N803" s="17">
        <v>713</v>
      </c>
      <c r="O803" s="18" t="s">
        <v>88</v>
      </c>
      <c r="P803" s="18">
        <v>713</v>
      </c>
      <c r="Q803" s="18">
        <v>30</v>
      </c>
      <c r="R803" s="18" t="s">
        <v>778</v>
      </c>
      <c r="S803" s="18" t="s">
        <v>807</v>
      </c>
      <c r="T803" s="18" t="s">
        <v>781</v>
      </c>
      <c r="U8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03" s="19">
        <f>IF(AUDITORIA[[#This Row],[CAT]]="",0,1)</f>
        <v>1</v>
      </c>
      <c r="W803" s="20">
        <v>46163</v>
      </c>
      <c r="X803" s="21" t="str">
        <f>UPPER(IF(AUDITORIA[[#This Row],[DATA VERIFICAÇÃO]]="","",TEXT(AUDITORIA[[#This Row],[DATA VERIFICAÇÃO]],"mmm")))</f>
        <v>MAI</v>
      </c>
      <c r="Y803" t="s">
        <v>598</v>
      </c>
      <c r="Z803" t="s">
        <v>831</v>
      </c>
      <c r="AA803" t="s">
        <v>832</v>
      </c>
    </row>
    <row r="804" spans="1:27" ht="14.4" hidden="1" customHeight="1" x14ac:dyDescent="0.3">
      <c r="A804" s="4" t="s">
        <v>0</v>
      </c>
      <c r="B804" s="4" t="s">
        <v>17</v>
      </c>
      <c r="C804" s="16" t="s">
        <v>18</v>
      </c>
      <c r="D804" s="4">
        <v>10</v>
      </c>
      <c r="E804" s="4" t="s">
        <v>745</v>
      </c>
      <c r="F804" t="s">
        <v>141</v>
      </c>
      <c r="G804" t="s">
        <v>85</v>
      </c>
      <c r="J804" s="4" t="s">
        <v>88</v>
      </c>
      <c r="K804" s="4" t="s">
        <v>20</v>
      </c>
      <c r="L804" s="4" t="s">
        <v>742</v>
      </c>
      <c r="M804" s="17">
        <v>30</v>
      </c>
      <c r="N804" s="17">
        <v>712</v>
      </c>
      <c r="O804" s="18" t="s">
        <v>88</v>
      </c>
      <c r="P804" s="18">
        <v>712</v>
      </c>
      <c r="Q804" s="18">
        <v>30</v>
      </c>
      <c r="R804" s="18" t="s">
        <v>778</v>
      </c>
      <c r="S804" s="18" t="s">
        <v>807</v>
      </c>
      <c r="T804" s="18" t="s">
        <v>780</v>
      </c>
      <c r="U8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04" s="19">
        <f>IF(AUDITORIA[[#This Row],[CAT]]="",0,1)</f>
        <v>1</v>
      </c>
      <c r="W804" s="20">
        <v>46163</v>
      </c>
      <c r="X804" s="21" t="str">
        <f>UPPER(IF(AUDITORIA[[#This Row],[DATA VERIFICAÇÃO]]="","",TEXT(AUDITORIA[[#This Row],[DATA VERIFICAÇÃO]],"mmm")))</f>
        <v>MAI</v>
      </c>
      <c r="Y804" t="s">
        <v>598</v>
      </c>
      <c r="Z804" t="s">
        <v>831</v>
      </c>
      <c r="AA804" t="s">
        <v>832</v>
      </c>
    </row>
    <row r="805" spans="1:27" ht="14.4" hidden="1" customHeight="1" x14ac:dyDescent="0.3">
      <c r="A805" s="4" t="s">
        <v>0</v>
      </c>
      <c r="B805" s="4" t="s">
        <v>17</v>
      </c>
      <c r="C805" s="16" t="s">
        <v>18</v>
      </c>
      <c r="D805" s="4">
        <v>10</v>
      </c>
      <c r="E805" s="4" t="s">
        <v>745</v>
      </c>
      <c r="F805" t="s">
        <v>140</v>
      </c>
      <c r="G805" t="s">
        <v>85</v>
      </c>
      <c r="J805" s="4" t="s">
        <v>88</v>
      </c>
      <c r="K805" s="4" t="s">
        <v>20</v>
      </c>
      <c r="L805" s="4" t="s">
        <v>742</v>
      </c>
      <c r="M805" s="17">
        <v>30</v>
      </c>
      <c r="N805" s="17">
        <v>710</v>
      </c>
      <c r="O805" s="18" t="s">
        <v>88</v>
      </c>
      <c r="P805" s="18">
        <v>710</v>
      </c>
      <c r="Q805" s="18">
        <v>30</v>
      </c>
      <c r="R805" s="18" t="s">
        <v>778</v>
      </c>
      <c r="S805" s="18" t="s">
        <v>807</v>
      </c>
      <c r="T805" s="18" t="s">
        <v>782</v>
      </c>
      <c r="U8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05" s="19">
        <f>IF(AUDITORIA[[#This Row],[CAT]]="",0,1)</f>
        <v>1</v>
      </c>
      <c r="W805" s="20">
        <v>46163</v>
      </c>
      <c r="X805" s="21" t="str">
        <f>UPPER(IF(AUDITORIA[[#This Row],[DATA VERIFICAÇÃO]]="","",TEXT(AUDITORIA[[#This Row],[DATA VERIFICAÇÃO]],"mmm")))</f>
        <v>MAI</v>
      </c>
      <c r="Y805" t="s">
        <v>598</v>
      </c>
      <c r="Z805" t="s">
        <v>831</v>
      </c>
      <c r="AA805" t="s">
        <v>832</v>
      </c>
    </row>
    <row r="806" spans="1:27" ht="14.4" hidden="1" customHeight="1" x14ac:dyDescent="0.3">
      <c r="A806" s="4" t="s">
        <v>0</v>
      </c>
      <c r="B806" s="4" t="s">
        <v>17</v>
      </c>
      <c r="C806" s="16" t="s">
        <v>18</v>
      </c>
      <c r="D806" s="4">
        <v>10</v>
      </c>
      <c r="E806" s="4" t="s">
        <v>745</v>
      </c>
      <c r="F806" t="s">
        <v>138</v>
      </c>
      <c r="G806" t="s">
        <v>85</v>
      </c>
      <c r="J806" s="4" t="s">
        <v>88</v>
      </c>
      <c r="K806" s="4" t="s">
        <v>20</v>
      </c>
      <c r="L806" s="4" t="s">
        <v>742</v>
      </c>
      <c r="M806" s="17">
        <v>30</v>
      </c>
      <c r="N806" s="17">
        <v>713</v>
      </c>
      <c r="O806" s="18" t="s">
        <v>88</v>
      </c>
      <c r="P806" s="18">
        <v>713</v>
      </c>
      <c r="Q806" s="18">
        <v>30</v>
      </c>
      <c r="R806" s="18" t="s">
        <v>778</v>
      </c>
      <c r="S806" s="18" t="s">
        <v>806</v>
      </c>
      <c r="T806" s="18" t="s">
        <v>781</v>
      </c>
      <c r="U8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06" s="19">
        <f>IF(AUDITORIA[[#This Row],[CAT]]="",0,1)</f>
        <v>1</v>
      </c>
      <c r="W806" s="20">
        <v>46163</v>
      </c>
      <c r="X806" s="21" t="str">
        <f>UPPER(IF(AUDITORIA[[#This Row],[DATA VERIFICAÇÃO]]="","",TEXT(AUDITORIA[[#This Row],[DATA VERIFICAÇÃO]],"mmm")))</f>
        <v>MAI</v>
      </c>
      <c r="Y806" t="s">
        <v>598</v>
      </c>
      <c r="Z806" t="s">
        <v>831</v>
      </c>
      <c r="AA806" t="s">
        <v>832</v>
      </c>
    </row>
    <row r="807" spans="1:27" ht="14.4" hidden="1" customHeight="1" x14ac:dyDescent="0.3">
      <c r="A807" s="4" t="s">
        <v>0</v>
      </c>
      <c r="B807" s="4" t="s">
        <v>17</v>
      </c>
      <c r="C807" s="16" t="s">
        <v>18</v>
      </c>
      <c r="D807" s="4">
        <v>10</v>
      </c>
      <c r="E807" s="4" t="s">
        <v>745</v>
      </c>
      <c r="F807" t="s">
        <v>136</v>
      </c>
      <c r="G807" t="s">
        <v>85</v>
      </c>
      <c r="J807" s="4" t="s">
        <v>88</v>
      </c>
      <c r="K807" s="4" t="s">
        <v>20</v>
      </c>
      <c r="L807" s="4" t="s">
        <v>742</v>
      </c>
      <c r="M807" s="17">
        <v>30</v>
      </c>
      <c r="N807" s="17">
        <v>723</v>
      </c>
      <c r="O807" s="18" t="s">
        <v>88</v>
      </c>
      <c r="P807" s="18">
        <v>723</v>
      </c>
      <c r="Q807" s="18">
        <v>30</v>
      </c>
      <c r="R807" s="18" t="s">
        <v>778</v>
      </c>
      <c r="S807" s="18" t="s">
        <v>806</v>
      </c>
      <c r="T807" s="18" t="s">
        <v>780</v>
      </c>
      <c r="U8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07" s="19">
        <f>IF(AUDITORIA[[#This Row],[CAT]]="",0,1)</f>
        <v>1</v>
      </c>
      <c r="W807" s="20">
        <v>46163</v>
      </c>
      <c r="X807" s="21" t="str">
        <f>UPPER(IF(AUDITORIA[[#This Row],[DATA VERIFICAÇÃO]]="","",TEXT(AUDITORIA[[#This Row],[DATA VERIFICAÇÃO]],"mmm")))</f>
        <v>MAI</v>
      </c>
      <c r="Y807" t="s">
        <v>598</v>
      </c>
      <c r="Z807" t="s">
        <v>831</v>
      </c>
      <c r="AA807" t="s">
        <v>832</v>
      </c>
    </row>
    <row r="808" spans="1:27" ht="14.4" hidden="1" customHeight="1" x14ac:dyDescent="0.3">
      <c r="A808" s="4" t="s">
        <v>0</v>
      </c>
      <c r="B808" s="4" t="s">
        <v>17</v>
      </c>
      <c r="C808" s="16" t="s">
        <v>18</v>
      </c>
      <c r="D808" s="4">
        <v>10</v>
      </c>
      <c r="E808" s="4" t="s">
        <v>745</v>
      </c>
      <c r="F808" t="s">
        <v>134</v>
      </c>
      <c r="G808" t="s">
        <v>85</v>
      </c>
      <c r="J808" s="4" t="s">
        <v>88</v>
      </c>
      <c r="K808" s="4" t="s">
        <v>20</v>
      </c>
      <c r="L808" s="4" t="s">
        <v>742</v>
      </c>
      <c r="M808" s="17">
        <v>30</v>
      </c>
      <c r="N808" s="17">
        <v>705</v>
      </c>
      <c r="O808" s="18" t="s">
        <v>88</v>
      </c>
      <c r="P808" s="18">
        <v>705</v>
      </c>
      <c r="Q808" s="18">
        <v>30</v>
      </c>
      <c r="R808" s="18" t="s">
        <v>778</v>
      </c>
      <c r="S808" s="18" t="s">
        <v>806</v>
      </c>
      <c r="T808" s="18" t="s">
        <v>782</v>
      </c>
      <c r="U8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08" s="19">
        <f>IF(AUDITORIA[[#This Row],[CAT]]="",0,1)</f>
        <v>1</v>
      </c>
      <c r="W808" s="20">
        <v>46163</v>
      </c>
      <c r="X808" s="21" t="str">
        <f>UPPER(IF(AUDITORIA[[#This Row],[DATA VERIFICAÇÃO]]="","",TEXT(AUDITORIA[[#This Row],[DATA VERIFICAÇÃO]],"mmm")))</f>
        <v>MAI</v>
      </c>
      <c r="Y808" t="s">
        <v>598</v>
      </c>
      <c r="Z808" t="s">
        <v>831</v>
      </c>
      <c r="AA808" t="s">
        <v>832</v>
      </c>
    </row>
    <row r="809" spans="1:27" ht="14.4" hidden="1" customHeight="1" x14ac:dyDescent="0.3">
      <c r="A809" s="4" t="s">
        <v>0</v>
      </c>
      <c r="B809" s="4" t="s">
        <v>17</v>
      </c>
      <c r="C809" s="16" t="s">
        <v>18</v>
      </c>
      <c r="D809" s="4">
        <v>10</v>
      </c>
      <c r="E809" s="4" t="s">
        <v>745</v>
      </c>
      <c r="F809" t="s">
        <v>133</v>
      </c>
      <c r="G809" t="s">
        <v>85</v>
      </c>
      <c r="J809" s="4" t="s">
        <v>88</v>
      </c>
      <c r="K809" s="4" t="s">
        <v>20</v>
      </c>
      <c r="L809" s="4" t="s">
        <v>742</v>
      </c>
      <c r="M809" s="17">
        <v>30</v>
      </c>
      <c r="N809" s="17">
        <v>697</v>
      </c>
      <c r="O809" s="18" t="s">
        <v>88</v>
      </c>
      <c r="P809" s="18">
        <v>697</v>
      </c>
      <c r="Q809" s="18">
        <v>30</v>
      </c>
      <c r="R809" s="18" t="s">
        <v>778</v>
      </c>
      <c r="S809" s="18" t="s">
        <v>812</v>
      </c>
      <c r="T809" s="18" t="s">
        <v>780</v>
      </c>
      <c r="U8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09" s="19">
        <f>IF(AUDITORIA[[#This Row],[CAT]]="",0,1)</f>
        <v>1</v>
      </c>
      <c r="W809" s="20">
        <v>46163</v>
      </c>
      <c r="X809" s="21" t="str">
        <f>UPPER(IF(AUDITORIA[[#This Row],[DATA VERIFICAÇÃO]]="","",TEXT(AUDITORIA[[#This Row],[DATA VERIFICAÇÃO]],"mmm")))</f>
        <v>MAI</v>
      </c>
      <c r="Y809" t="s">
        <v>598</v>
      </c>
      <c r="Z809" t="s">
        <v>831</v>
      </c>
      <c r="AA809" t="s">
        <v>832</v>
      </c>
    </row>
    <row r="810" spans="1:27" ht="14.4" hidden="1" customHeight="1" x14ac:dyDescent="0.3">
      <c r="A810" s="4" t="s">
        <v>0</v>
      </c>
      <c r="B810" s="4" t="s">
        <v>17</v>
      </c>
      <c r="C810" s="16" t="s">
        <v>18</v>
      </c>
      <c r="D810" s="4">
        <v>10</v>
      </c>
      <c r="E810" s="4" t="s">
        <v>745</v>
      </c>
      <c r="F810" t="s">
        <v>132</v>
      </c>
      <c r="G810" t="s">
        <v>85</v>
      </c>
      <c r="J810" s="4" t="s">
        <v>88</v>
      </c>
      <c r="K810" s="4" t="s">
        <v>20</v>
      </c>
      <c r="L810" s="4" t="s">
        <v>742</v>
      </c>
      <c r="M810" s="17">
        <v>30</v>
      </c>
      <c r="N810" s="17">
        <v>708</v>
      </c>
      <c r="O810" s="18" t="s">
        <v>88</v>
      </c>
      <c r="P810" s="18">
        <v>708</v>
      </c>
      <c r="Q810" s="18">
        <v>30</v>
      </c>
      <c r="R810" s="18" t="s">
        <v>778</v>
      </c>
      <c r="S810" s="18" t="s">
        <v>812</v>
      </c>
      <c r="T810" s="18" t="s">
        <v>781</v>
      </c>
      <c r="U8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10" s="19">
        <f>IF(AUDITORIA[[#This Row],[CAT]]="",0,1)</f>
        <v>1</v>
      </c>
      <c r="W810" s="20">
        <v>46163</v>
      </c>
      <c r="X810" s="21" t="str">
        <f>UPPER(IF(AUDITORIA[[#This Row],[DATA VERIFICAÇÃO]]="","",TEXT(AUDITORIA[[#This Row],[DATA VERIFICAÇÃO]],"mmm")))</f>
        <v>MAI</v>
      </c>
      <c r="Y810" t="s">
        <v>598</v>
      </c>
      <c r="Z810" t="s">
        <v>831</v>
      </c>
      <c r="AA810" t="s">
        <v>832</v>
      </c>
    </row>
    <row r="811" spans="1:27" ht="14.4" hidden="1" customHeight="1" x14ac:dyDescent="0.3">
      <c r="A811" s="4" t="s">
        <v>0</v>
      </c>
      <c r="B811" s="4" t="s">
        <v>17</v>
      </c>
      <c r="C811" s="16" t="s">
        <v>18</v>
      </c>
      <c r="D811" s="4">
        <v>10</v>
      </c>
      <c r="E811" s="4" t="s">
        <v>745</v>
      </c>
      <c r="F811" t="s">
        <v>131</v>
      </c>
      <c r="G811" t="s">
        <v>85</v>
      </c>
      <c r="J811" s="4" t="s">
        <v>88</v>
      </c>
      <c r="K811" s="4" t="s">
        <v>20</v>
      </c>
      <c r="L811" s="4" t="s">
        <v>742</v>
      </c>
      <c r="M811" s="17">
        <v>30</v>
      </c>
      <c r="N811" s="17">
        <v>683</v>
      </c>
      <c r="O811" s="18" t="s">
        <v>88</v>
      </c>
      <c r="P811" s="18">
        <v>683</v>
      </c>
      <c r="Q811" s="18">
        <v>30</v>
      </c>
      <c r="R811" s="18" t="s">
        <v>778</v>
      </c>
      <c r="S811" s="18" t="s">
        <v>812</v>
      </c>
      <c r="T811" s="18" t="s">
        <v>782</v>
      </c>
      <c r="U8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11" s="19">
        <f>IF(AUDITORIA[[#This Row],[CAT]]="",0,1)</f>
        <v>1</v>
      </c>
      <c r="W811" s="20">
        <v>46163</v>
      </c>
      <c r="X811" s="21" t="str">
        <f>UPPER(IF(AUDITORIA[[#This Row],[DATA VERIFICAÇÃO]]="","",TEXT(AUDITORIA[[#This Row],[DATA VERIFICAÇÃO]],"mmm")))</f>
        <v>MAI</v>
      </c>
      <c r="Y811" t="s">
        <v>598</v>
      </c>
      <c r="Z811" t="s">
        <v>831</v>
      </c>
      <c r="AA811" t="s">
        <v>832</v>
      </c>
    </row>
    <row r="812" spans="1:27" ht="14.4" hidden="1" customHeight="1" x14ac:dyDescent="0.3">
      <c r="A812" s="4" t="s">
        <v>0</v>
      </c>
      <c r="B812" s="4" t="s">
        <v>17</v>
      </c>
      <c r="C812" s="16" t="s">
        <v>18</v>
      </c>
      <c r="D812" s="4">
        <v>10</v>
      </c>
      <c r="E812" s="4" t="s">
        <v>745</v>
      </c>
      <c r="F812" t="s">
        <v>129</v>
      </c>
      <c r="G812" t="s">
        <v>85</v>
      </c>
      <c r="J812" s="4" t="s">
        <v>88</v>
      </c>
      <c r="K812" s="4" t="s">
        <v>20</v>
      </c>
      <c r="L812" s="4" t="s">
        <v>742</v>
      </c>
      <c r="M812" s="17">
        <v>30</v>
      </c>
      <c r="N812" s="17">
        <v>690</v>
      </c>
      <c r="O812" s="18" t="s">
        <v>88</v>
      </c>
      <c r="P812" s="18">
        <v>690</v>
      </c>
      <c r="Q812" s="18">
        <v>30</v>
      </c>
      <c r="R812" s="18" t="s">
        <v>778</v>
      </c>
      <c r="S812" s="18" t="s">
        <v>810</v>
      </c>
      <c r="T812" s="18" t="s">
        <v>780</v>
      </c>
      <c r="U8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12" s="19">
        <f>IF(AUDITORIA[[#This Row],[CAT]]="",0,1)</f>
        <v>1</v>
      </c>
      <c r="W812" s="20">
        <v>46163</v>
      </c>
      <c r="X812" s="21" t="str">
        <f>UPPER(IF(AUDITORIA[[#This Row],[DATA VERIFICAÇÃO]]="","",TEXT(AUDITORIA[[#This Row],[DATA VERIFICAÇÃO]],"mmm")))</f>
        <v>MAI</v>
      </c>
      <c r="Y812" t="s">
        <v>598</v>
      </c>
      <c r="Z812" t="s">
        <v>831</v>
      </c>
      <c r="AA812" t="s">
        <v>832</v>
      </c>
    </row>
    <row r="813" spans="1:27" ht="14.4" hidden="1" customHeight="1" x14ac:dyDescent="0.3">
      <c r="A813" s="4" t="s">
        <v>0</v>
      </c>
      <c r="B813" s="4" t="s">
        <v>17</v>
      </c>
      <c r="C813" s="16" t="s">
        <v>18</v>
      </c>
      <c r="D813" s="4">
        <v>10</v>
      </c>
      <c r="E813" s="4" t="s">
        <v>745</v>
      </c>
      <c r="F813" t="s">
        <v>128</v>
      </c>
      <c r="G813" t="s">
        <v>85</v>
      </c>
      <c r="J813" s="4" t="s">
        <v>88</v>
      </c>
      <c r="K813" s="4" t="s">
        <v>20</v>
      </c>
      <c r="L813" s="4" t="s">
        <v>742</v>
      </c>
      <c r="M813" s="17">
        <v>30</v>
      </c>
      <c r="N813" s="17">
        <v>704</v>
      </c>
      <c r="O813" s="18" t="s">
        <v>88</v>
      </c>
      <c r="P813" s="18">
        <v>704</v>
      </c>
      <c r="Q813" s="18">
        <v>30</v>
      </c>
      <c r="R813" s="18" t="s">
        <v>778</v>
      </c>
      <c r="S813" s="18" t="s">
        <v>810</v>
      </c>
      <c r="T813" s="18" t="s">
        <v>781</v>
      </c>
      <c r="U8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13" s="19">
        <f>IF(AUDITORIA[[#This Row],[CAT]]="",0,1)</f>
        <v>1</v>
      </c>
      <c r="W813" s="20">
        <v>46163</v>
      </c>
      <c r="X813" s="21" t="str">
        <f>UPPER(IF(AUDITORIA[[#This Row],[DATA VERIFICAÇÃO]]="","",TEXT(AUDITORIA[[#This Row],[DATA VERIFICAÇÃO]],"mmm")))</f>
        <v>MAI</v>
      </c>
      <c r="Y813" t="s">
        <v>598</v>
      </c>
      <c r="Z813" t="s">
        <v>831</v>
      </c>
      <c r="AA813" t="s">
        <v>832</v>
      </c>
    </row>
    <row r="814" spans="1:27" ht="14.4" hidden="1" customHeight="1" x14ac:dyDescent="0.3">
      <c r="A814" s="4" t="s">
        <v>0</v>
      </c>
      <c r="B814" s="4" t="s">
        <v>17</v>
      </c>
      <c r="C814" s="16" t="s">
        <v>18</v>
      </c>
      <c r="D814" s="4">
        <v>10</v>
      </c>
      <c r="E814" s="4" t="s">
        <v>745</v>
      </c>
      <c r="F814" t="s">
        <v>127</v>
      </c>
      <c r="G814" t="s">
        <v>85</v>
      </c>
      <c r="J814" s="4" t="s">
        <v>88</v>
      </c>
      <c r="K814" s="4" t="s">
        <v>20</v>
      </c>
      <c r="L814" s="4" t="s">
        <v>742</v>
      </c>
      <c r="M814" s="17">
        <v>22</v>
      </c>
      <c r="N814" s="17">
        <v>705</v>
      </c>
      <c r="O814" s="18" t="s">
        <v>88</v>
      </c>
      <c r="P814" s="18">
        <v>705</v>
      </c>
      <c r="Q814" s="18">
        <v>22</v>
      </c>
      <c r="R814" s="18" t="s">
        <v>778</v>
      </c>
      <c r="S814" s="18" t="s">
        <v>810</v>
      </c>
      <c r="T814" s="18" t="s">
        <v>782</v>
      </c>
      <c r="U8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14" s="19">
        <f>IF(AUDITORIA[[#This Row],[CAT]]="",0,1)</f>
        <v>1</v>
      </c>
      <c r="W814" s="20">
        <v>46163</v>
      </c>
      <c r="X814" s="21" t="str">
        <f>UPPER(IF(AUDITORIA[[#This Row],[DATA VERIFICAÇÃO]]="","",TEXT(AUDITORIA[[#This Row],[DATA VERIFICAÇÃO]],"mmm")))</f>
        <v>MAI</v>
      </c>
      <c r="Y814" t="s">
        <v>598</v>
      </c>
      <c r="Z814" t="s">
        <v>831</v>
      </c>
      <c r="AA814" t="s">
        <v>832</v>
      </c>
    </row>
    <row r="815" spans="1:27" ht="14.4" hidden="1" customHeight="1" x14ac:dyDescent="0.3">
      <c r="A815" s="4" t="s">
        <v>0</v>
      </c>
      <c r="B815" s="4" t="s">
        <v>17</v>
      </c>
      <c r="C815" s="16" t="s">
        <v>18</v>
      </c>
      <c r="D815" s="4">
        <v>10</v>
      </c>
      <c r="E815" s="4" t="s">
        <v>745</v>
      </c>
      <c r="F815" t="s">
        <v>104</v>
      </c>
      <c r="G815" t="s">
        <v>85</v>
      </c>
      <c r="J815" s="4" t="s">
        <v>88</v>
      </c>
      <c r="K815" s="4" t="s">
        <v>20</v>
      </c>
      <c r="L815" s="4" t="s">
        <v>742</v>
      </c>
      <c r="M815" s="17">
        <v>30</v>
      </c>
      <c r="N815" s="17">
        <v>735</v>
      </c>
      <c r="O815" s="18" t="s">
        <v>88</v>
      </c>
      <c r="P815" s="18">
        <v>735</v>
      </c>
      <c r="Q815" s="18">
        <v>30</v>
      </c>
      <c r="R815" s="18" t="s">
        <v>778</v>
      </c>
      <c r="S815" s="18" t="s">
        <v>779</v>
      </c>
      <c r="T815" s="18" t="s">
        <v>781</v>
      </c>
      <c r="U8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15" s="19">
        <f>IF(AUDITORIA[[#This Row],[CAT]]="",0,1)</f>
        <v>1</v>
      </c>
      <c r="W815" s="20">
        <v>46163</v>
      </c>
      <c r="X815" s="21" t="str">
        <f>UPPER(IF(AUDITORIA[[#This Row],[DATA VERIFICAÇÃO]]="","",TEXT(AUDITORIA[[#This Row],[DATA VERIFICAÇÃO]],"mmm")))</f>
        <v>MAI</v>
      </c>
      <c r="Y815" t="s">
        <v>598</v>
      </c>
      <c r="Z815" t="s">
        <v>831</v>
      </c>
      <c r="AA815" t="s">
        <v>832</v>
      </c>
    </row>
    <row r="816" spans="1:27" ht="14.4" hidden="1" customHeight="1" x14ac:dyDescent="0.3">
      <c r="A816" s="4" t="s">
        <v>0</v>
      </c>
      <c r="B816" s="4" t="s">
        <v>17</v>
      </c>
      <c r="C816" s="16" t="s">
        <v>18</v>
      </c>
      <c r="D816" s="4">
        <v>10</v>
      </c>
      <c r="E816" s="4" t="s">
        <v>745</v>
      </c>
      <c r="F816" t="s">
        <v>102</v>
      </c>
      <c r="G816" t="s">
        <v>85</v>
      </c>
      <c r="J816" s="4" t="s">
        <v>88</v>
      </c>
      <c r="K816" s="4" t="s">
        <v>20</v>
      </c>
      <c r="L816" s="4" t="s">
        <v>742</v>
      </c>
      <c r="M816" s="17">
        <v>30</v>
      </c>
      <c r="N816" s="17">
        <v>732</v>
      </c>
      <c r="O816" s="18" t="s">
        <v>88</v>
      </c>
      <c r="P816" s="18">
        <v>732</v>
      </c>
      <c r="Q816" s="18">
        <v>30</v>
      </c>
      <c r="R816" s="18" t="s">
        <v>778</v>
      </c>
      <c r="S816" s="18" t="s">
        <v>779</v>
      </c>
      <c r="T816" s="18" t="s">
        <v>782</v>
      </c>
      <c r="U8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16" s="19">
        <f>IF(AUDITORIA[[#This Row],[CAT]]="",0,1)</f>
        <v>1</v>
      </c>
      <c r="W816" s="20">
        <v>46163</v>
      </c>
      <c r="X816" s="21" t="str">
        <f>UPPER(IF(AUDITORIA[[#This Row],[DATA VERIFICAÇÃO]]="","",TEXT(AUDITORIA[[#This Row],[DATA VERIFICAÇÃO]],"mmm")))</f>
        <v>MAI</v>
      </c>
      <c r="Y816" t="s">
        <v>598</v>
      </c>
      <c r="Z816" t="s">
        <v>831</v>
      </c>
      <c r="AA816" t="s">
        <v>832</v>
      </c>
    </row>
    <row r="817" spans="1:27" ht="14.4" hidden="1" customHeight="1" x14ac:dyDescent="0.3">
      <c r="A817" s="4" t="s">
        <v>0</v>
      </c>
      <c r="B817" s="4" t="s">
        <v>17</v>
      </c>
      <c r="C817" s="16" t="s">
        <v>18</v>
      </c>
      <c r="D817" s="4">
        <v>10</v>
      </c>
      <c r="E817" s="4" t="s">
        <v>745</v>
      </c>
      <c r="F817" t="s">
        <v>100</v>
      </c>
      <c r="G817" t="s">
        <v>85</v>
      </c>
      <c r="J817" s="4" t="s">
        <v>88</v>
      </c>
      <c r="K817" s="4" t="s">
        <v>20</v>
      </c>
      <c r="L817" s="4" t="s">
        <v>742</v>
      </c>
      <c r="M817" s="17">
        <v>30</v>
      </c>
      <c r="N817" s="17">
        <v>716</v>
      </c>
      <c r="O817" s="18" t="s">
        <v>88</v>
      </c>
      <c r="P817" s="18">
        <v>716</v>
      </c>
      <c r="Q817" s="18">
        <v>30</v>
      </c>
      <c r="R817" s="18" t="s">
        <v>778</v>
      </c>
      <c r="S817" s="18" t="s">
        <v>788</v>
      </c>
      <c r="T817" s="18" t="s">
        <v>780</v>
      </c>
      <c r="U8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17" s="19">
        <f>IF(AUDITORIA[[#This Row],[CAT]]="",0,1)</f>
        <v>1</v>
      </c>
      <c r="W817" s="20">
        <v>46163</v>
      </c>
      <c r="X817" s="21" t="str">
        <f>UPPER(IF(AUDITORIA[[#This Row],[DATA VERIFICAÇÃO]]="","",TEXT(AUDITORIA[[#This Row],[DATA VERIFICAÇÃO]],"mmm")))</f>
        <v>MAI</v>
      </c>
      <c r="Y817" t="s">
        <v>598</v>
      </c>
      <c r="Z817" t="s">
        <v>831</v>
      </c>
      <c r="AA817" t="s">
        <v>832</v>
      </c>
    </row>
    <row r="818" spans="1:27" ht="14.4" hidden="1" customHeight="1" x14ac:dyDescent="0.3">
      <c r="A818" s="4" t="s">
        <v>0</v>
      </c>
      <c r="B818" s="4" t="s">
        <v>17</v>
      </c>
      <c r="C818" s="16" t="s">
        <v>18</v>
      </c>
      <c r="D818" s="4">
        <v>10</v>
      </c>
      <c r="E818" s="4" t="s">
        <v>745</v>
      </c>
      <c r="F818" t="s">
        <v>99</v>
      </c>
      <c r="G818" t="s">
        <v>85</v>
      </c>
      <c r="J818" s="4" t="s">
        <v>88</v>
      </c>
      <c r="K818" s="4" t="s">
        <v>20</v>
      </c>
      <c r="L818" s="4" t="s">
        <v>742</v>
      </c>
      <c r="M818" s="17">
        <v>30</v>
      </c>
      <c r="N818" s="17">
        <v>741</v>
      </c>
      <c r="O818" s="18" t="s">
        <v>88</v>
      </c>
      <c r="P818" s="18">
        <v>741</v>
      </c>
      <c r="Q818" s="18">
        <v>30</v>
      </c>
      <c r="R818" s="18" t="s">
        <v>778</v>
      </c>
      <c r="S818" s="18" t="s">
        <v>788</v>
      </c>
      <c r="T818" s="18" t="s">
        <v>781</v>
      </c>
      <c r="U8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18" s="19">
        <f>IF(AUDITORIA[[#This Row],[CAT]]="",0,1)</f>
        <v>1</v>
      </c>
      <c r="W818" s="20">
        <v>46163</v>
      </c>
      <c r="X818" s="21" t="str">
        <f>UPPER(IF(AUDITORIA[[#This Row],[DATA VERIFICAÇÃO]]="","",TEXT(AUDITORIA[[#This Row],[DATA VERIFICAÇÃO]],"mmm")))</f>
        <v>MAI</v>
      </c>
      <c r="Y818" t="s">
        <v>598</v>
      </c>
      <c r="Z818" t="s">
        <v>831</v>
      </c>
      <c r="AA818" t="s">
        <v>832</v>
      </c>
    </row>
    <row r="819" spans="1:27" ht="14.4" hidden="1" customHeight="1" x14ac:dyDescent="0.3">
      <c r="A819" s="4" t="s">
        <v>0</v>
      </c>
      <c r="B819" s="4" t="s">
        <v>17</v>
      </c>
      <c r="C819" s="16" t="s">
        <v>18</v>
      </c>
      <c r="D819" s="4">
        <v>10</v>
      </c>
      <c r="E819" s="4" t="s">
        <v>745</v>
      </c>
      <c r="F819" t="s">
        <v>97</v>
      </c>
      <c r="G819" t="s">
        <v>85</v>
      </c>
      <c r="J819" s="4" t="s">
        <v>88</v>
      </c>
      <c r="K819" s="4" t="s">
        <v>20</v>
      </c>
      <c r="L819" s="4" t="s">
        <v>742</v>
      </c>
      <c r="M819" s="17">
        <v>30</v>
      </c>
      <c r="N819" s="17">
        <v>732</v>
      </c>
      <c r="O819" s="18" t="s">
        <v>88</v>
      </c>
      <c r="P819" s="18">
        <v>732</v>
      </c>
      <c r="Q819" s="18">
        <v>30</v>
      </c>
      <c r="R819" s="18" t="s">
        <v>778</v>
      </c>
      <c r="S819" s="18" t="s">
        <v>788</v>
      </c>
      <c r="T819" s="18" t="s">
        <v>782</v>
      </c>
      <c r="U8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19" s="19">
        <f>IF(AUDITORIA[[#This Row],[CAT]]="",0,1)</f>
        <v>1</v>
      </c>
      <c r="W819" s="20">
        <v>46163</v>
      </c>
      <c r="X819" s="21" t="str">
        <f>UPPER(IF(AUDITORIA[[#This Row],[DATA VERIFICAÇÃO]]="","",TEXT(AUDITORIA[[#This Row],[DATA VERIFICAÇÃO]],"mmm")))</f>
        <v>MAI</v>
      </c>
      <c r="Y819" t="s">
        <v>598</v>
      </c>
      <c r="Z819" t="s">
        <v>831</v>
      </c>
      <c r="AA819" t="s">
        <v>832</v>
      </c>
    </row>
    <row r="820" spans="1:27" ht="14.4" hidden="1" customHeight="1" x14ac:dyDescent="0.3">
      <c r="A820" s="4" t="s">
        <v>0</v>
      </c>
      <c r="B820" s="4" t="s">
        <v>17</v>
      </c>
      <c r="C820" s="16" t="s">
        <v>18</v>
      </c>
      <c r="D820" s="4">
        <v>10</v>
      </c>
      <c r="E820" s="4" t="s">
        <v>745</v>
      </c>
      <c r="F820" t="s">
        <v>94</v>
      </c>
      <c r="G820" t="s">
        <v>85</v>
      </c>
      <c r="J820" s="4" t="s">
        <v>88</v>
      </c>
      <c r="K820" s="4" t="s">
        <v>20</v>
      </c>
      <c r="L820" s="4" t="s">
        <v>742</v>
      </c>
      <c r="M820" s="17">
        <v>30</v>
      </c>
      <c r="N820" s="17">
        <v>742</v>
      </c>
      <c r="O820" s="18" t="s">
        <v>88</v>
      </c>
      <c r="P820" s="18">
        <v>742</v>
      </c>
      <c r="Q820" s="18">
        <v>30</v>
      </c>
      <c r="R820" s="18" t="s">
        <v>778</v>
      </c>
      <c r="S820" s="18" t="s">
        <v>786</v>
      </c>
      <c r="T820" s="18" t="s">
        <v>781</v>
      </c>
      <c r="U8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20" s="19">
        <f>IF(AUDITORIA[[#This Row],[CAT]]="",0,1)</f>
        <v>1</v>
      </c>
      <c r="W820" s="20">
        <v>46163</v>
      </c>
      <c r="X820" s="21" t="str">
        <f>UPPER(IF(AUDITORIA[[#This Row],[DATA VERIFICAÇÃO]]="","",TEXT(AUDITORIA[[#This Row],[DATA VERIFICAÇÃO]],"mmm")))</f>
        <v>MAI</v>
      </c>
      <c r="Y820" t="s">
        <v>598</v>
      </c>
      <c r="Z820" t="s">
        <v>831</v>
      </c>
      <c r="AA820" t="s">
        <v>832</v>
      </c>
    </row>
    <row r="821" spans="1:27" ht="14.4" hidden="1" customHeight="1" x14ac:dyDescent="0.3">
      <c r="A821" s="4" t="s">
        <v>0</v>
      </c>
      <c r="B821" s="4" t="s">
        <v>17</v>
      </c>
      <c r="C821" s="16" t="s">
        <v>18</v>
      </c>
      <c r="D821" s="4">
        <v>10</v>
      </c>
      <c r="E821" s="4" t="s">
        <v>745</v>
      </c>
      <c r="F821" t="s">
        <v>92</v>
      </c>
      <c r="G821" t="s">
        <v>85</v>
      </c>
      <c r="J821" s="4" t="s">
        <v>88</v>
      </c>
      <c r="K821" s="4" t="s">
        <v>20</v>
      </c>
      <c r="L821" s="4" t="s">
        <v>742</v>
      </c>
      <c r="M821" s="17">
        <v>30</v>
      </c>
      <c r="N821" s="17">
        <v>734</v>
      </c>
      <c r="O821" s="18" t="s">
        <v>88</v>
      </c>
      <c r="P821" s="18">
        <v>734</v>
      </c>
      <c r="Q821" s="18">
        <v>30</v>
      </c>
      <c r="R821" s="18" t="s">
        <v>778</v>
      </c>
      <c r="S821" s="18" t="s">
        <v>786</v>
      </c>
      <c r="T821" s="18" t="s">
        <v>782</v>
      </c>
      <c r="U8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21" s="19">
        <f>IF(AUDITORIA[[#This Row],[CAT]]="",0,1)</f>
        <v>1</v>
      </c>
      <c r="W821" s="20">
        <v>46163</v>
      </c>
      <c r="X821" s="21" t="str">
        <f>UPPER(IF(AUDITORIA[[#This Row],[DATA VERIFICAÇÃO]]="","",TEXT(AUDITORIA[[#This Row],[DATA VERIFICAÇÃO]],"mmm")))</f>
        <v>MAI</v>
      </c>
      <c r="Y821" t="s">
        <v>598</v>
      </c>
      <c r="Z821" t="s">
        <v>831</v>
      </c>
      <c r="AA821" t="s">
        <v>832</v>
      </c>
    </row>
    <row r="822" spans="1:27" ht="14.4" hidden="1" customHeight="1" x14ac:dyDescent="0.3">
      <c r="A822" s="4" t="s">
        <v>0</v>
      </c>
      <c r="B822" s="4" t="s">
        <v>17</v>
      </c>
      <c r="C822" s="16" t="s">
        <v>18</v>
      </c>
      <c r="D822" s="4">
        <v>10</v>
      </c>
      <c r="E822" s="4" t="s">
        <v>745</v>
      </c>
      <c r="F822" t="s">
        <v>91</v>
      </c>
      <c r="G822" t="s">
        <v>85</v>
      </c>
      <c r="J822" s="4" t="s">
        <v>88</v>
      </c>
      <c r="K822" s="4" t="s">
        <v>20</v>
      </c>
      <c r="L822" s="4" t="s">
        <v>742</v>
      </c>
      <c r="M822" s="17">
        <v>30</v>
      </c>
      <c r="N822" s="17">
        <v>738</v>
      </c>
      <c r="O822" s="18" t="s">
        <v>88</v>
      </c>
      <c r="P822" s="18">
        <v>738</v>
      </c>
      <c r="Q822" s="18">
        <v>30</v>
      </c>
      <c r="R822" s="18" t="s">
        <v>778</v>
      </c>
      <c r="S822" s="18" t="s">
        <v>779</v>
      </c>
      <c r="T822" s="18" t="s">
        <v>780</v>
      </c>
      <c r="U8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22" s="19">
        <f>IF(AUDITORIA[[#This Row],[CAT]]="",0,1)</f>
        <v>1</v>
      </c>
      <c r="W822" s="20">
        <v>46163</v>
      </c>
      <c r="X822" s="21" t="str">
        <f>UPPER(IF(AUDITORIA[[#This Row],[DATA VERIFICAÇÃO]]="","",TEXT(AUDITORIA[[#This Row],[DATA VERIFICAÇÃO]],"mmm")))</f>
        <v>MAI</v>
      </c>
      <c r="Y822" t="s">
        <v>598</v>
      </c>
      <c r="Z822" t="s">
        <v>831</v>
      </c>
      <c r="AA822" t="s">
        <v>832</v>
      </c>
    </row>
    <row r="823" spans="1:27" ht="14.4" hidden="1" customHeight="1" x14ac:dyDescent="0.3">
      <c r="A823" s="4" t="s">
        <v>0</v>
      </c>
      <c r="B823" s="4" t="s">
        <v>17</v>
      </c>
      <c r="C823" s="16" t="s">
        <v>18</v>
      </c>
      <c r="D823" s="4">
        <v>10</v>
      </c>
      <c r="E823" s="4" t="s">
        <v>745</v>
      </c>
      <c r="F823" t="s">
        <v>84</v>
      </c>
      <c r="G823" t="s">
        <v>85</v>
      </c>
      <c r="J823" s="4" t="s">
        <v>88</v>
      </c>
      <c r="K823" s="4" t="s">
        <v>20</v>
      </c>
      <c r="L823" s="4" t="s">
        <v>742</v>
      </c>
      <c r="M823" s="17">
        <v>24</v>
      </c>
      <c r="N823" s="17">
        <v>743</v>
      </c>
      <c r="O823" s="18" t="s">
        <v>88</v>
      </c>
      <c r="P823" s="18">
        <v>743</v>
      </c>
      <c r="Q823" s="18">
        <v>24</v>
      </c>
      <c r="R823" s="18" t="s">
        <v>778</v>
      </c>
      <c r="S823" s="18" t="s">
        <v>786</v>
      </c>
      <c r="T823" s="18" t="s">
        <v>780</v>
      </c>
      <c r="U8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23" s="19">
        <f>IF(AUDITORIA[[#This Row],[CAT]]="",0,1)</f>
        <v>1</v>
      </c>
      <c r="W823" s="20">
        <v>46163</v>
      </c>
      <c r="X823" s="21" t="str">
        <f>UPPER(IF(AUDITORIA[[#This Row],[DATA VERIFICAÇÃO]]="","",TEXT(AUDITORIA[[#This Row],[DATA VERIFICAÇÃO]],"mmm")))</f>
        <v>MAI</v>
      </c>
      <c r="Y823" t="s">
        <v>598</v>
      </c>
      <c r="Z823" t="s">
        <v>831</v>
      </c>
      <c r="AA823" t="s">
        <v>832</v>
      </c>
    </row>
    <row r="824" spans="1:27" ht="14.4" hidden="1" customHeight="1" x14ac:dyDescent="0.3">
      <c r="A824" s="4" t="s">
        <v>0</v>
      </c>
      <c r="B824" s="4" t="s">
        <v>17</v>
      </c>
      <c r="C824" s="16" t="s">
        <v>18</v>
      </c>
      <c r="D824" s="4">
        <v>10</v>
      </c>
      <c r="E824" s="4" t="s">
        <v>745</v>
      </c>
      <c r="F824" t="s">
        <v>231</v>
      </c>
      <c r="G824" t="s">
        <v>85</v>
      </c>
      <c r="J824" s="4" t="s">
        <v>88</v>
      </c>
      <c r="K824" s="4" t="s">
        <v>21</v>
      </c>
      <c r="L824" s="4" t="s">
        <v>742</v>
      </c>
      <c r="M824" s="17">
        <v>30</v>
      </c>
      <c r="N824" s="17">
        <v>834</v>
      </c>
      <c r="O824" s="18" t="s">
        <v>88</v>
      </c>
      <c r="P824" s="18">
        <v>834</v>
      </c>
      <c r="Q824" s="18">
        <v>30</v>
      </c>
      <c r="R824" s="18" t="s">
        <v>778</v>
      </c>
      <c r="S824" s="18" t="s">
        <v>803</v>
      </c>
      <c r="T824" s="18" t="s">
        <v>781</v>
      </c>
      <c r="U8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24" s="19">
        <f>IF(AUDITORIA[[#This Row],[CAT]]="",0,1)</f>
        <v>1</v>
      </c>
      <c r="W824" s="20">
        <v>46163</v>
      </c>
      <c r="X824" s="21" t="str">
        <f>UPPER(IF(AUDITORIA[[#This Row],[DATA VERIFICAÇÃO]]="","",TEXT(AUDITORIA[[#This Row],[DATA VERIFICAÇÃO]],"mmm")))</f>
        <v>MAI</v>
      </c>
      <c r="Y824" t="s">
        <v>598</v>
      </c>
      <c r="Z824" t="s">
        <v>831</v>
      </c>
      <c r="AA824" t="s">
        <v>832</v>
      </c>
    </row>
    <row r="825" spans="1:27" ht="14.4" hidden="1" customHeight="1" x14ac:dyDescent="0.3">
      <c r="A825" s="4" t="s">
        <v>0</v>
      </c>
      <c r="B825" s="4" t="s">
        <v>17</v>
      </c>
      <c r="C825" s="16" t="s">
        <v>18</v>
      </c>
      <c r="D825" s="4">
        <v>10</v>
      </c>
      <c r="E825" s="4" t="s">
        <v>745</v>
      </c>
      <c r="F825" t="s">
        <v>229</v>
      </c>
      <c r="G825" t="s">
        <v>85</v>
      </c>
      <c r="J825" s="4" t="s">
        <v>88</v>
      </c>
      <c r="K825" s="4" t="s">
        <v>21</v>
      </c>
      <c r="L825" s="4" t="s">
        <v>742</v>
      </c>
      <c r="M825" s="17">
        <v>30</v>
      </c>
      <c r="N825" s="17">
        <v>856</v>
      </c>
      <c r="O825" s="18" t="s">
        <v>88</v>
      </c>
      <c r="P825" s="18">
        <v>856</v>
      </c>
      <c r="Q825" s="18">
        <v>30</v>
      </c>
      <c r="R825" s="18" t="s">
        <v>778</v>
      </c>
      <c r="S825" s="18" t="s">
        <v>803</v>
      </c>
      <c r="T825" s="18" t="s">
        <v>780</v>
      </c>
      <c r="U8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25" s="19">
        <f>IF(AUDITORIA[[#This Row],[CAT]]="",0,1)</f>
        <v>1</v>
      </c>
      <c r="W825" s="20">
        <v>46163</v>
      </c>
      <c r="X825" s="21" t="str">
        <f>UPPER(IF(AUDITORIA[[#This Row],[DATA VERIFICAÇÃO]]="","",TEXT(AUDITORIA[[#This Row],[DATA VERIFICAÇÃO]],"mmm")))</f>
        <v>MAI</v>
      </c>
      <c r="Y825" t="s">
        <v>598</v>
      </c>
      <c r="Z825" t="s">
        <v>831</v>
      </c>
      <c r="AA825" t="s">
        <v>832</v>
      </c>
    </row>
    <row r="826" spans="1:27" ht="14.4" hidden="1" customHeight="1" x14ac:dyDescent="0.3">
      <c r="A826" s="4" t="s">
        <v>0</v>
      </c>
      <c r="B826" s="4" t="s">
        <v>17</v>
      </c>
      <c r="C826" s="16" t="s">
        <v>18</v>
      </c>
      <c r="D826" s="4">
        <v>10</v>
      </c>
      <c r="E826" s="4" t="s">
        <v>745</v>
      </c>
      <c r="F826" t="s">
        <v>226</v>
      </c>
      <c r="G826" t="s">
        <v>85</v>
      </c>
      <c r="J826" s="4" t="s">
        <v>88</v>
      </c>
      <c r="K826" s="4" t="s">
        <v>21</v>
      </c>
      <c r="L826" s="4" t="s">
        <v>742</v>
      </c>
      <c r="M826" s="17">
        <v>30</v>
      </c>
      <c r="N826" s="17">
        <v>872</v>
      </c>
      <c r="O826" s="18" t="s">
        <v>88</v>
      </c>
      <c r="P826" s="18">
        <v>872</v>
      </c>
      <c r="Q826" s="18">
        <v>30</v>
      </c>
      <c r="R826" s="18" t="s">
        <v>778</v>
      </c>
      <c r="S826" s="18" t="s">
        <v>803</v>
      </c>
      <c r="T826" s="18" t="s">
        <v>794</v>
      </c>
      <c r="U8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26" s="19">
        <f>IF(AUDITORIA[[#This Row],[CAT]]="",0,1)</f>
        <v>1</v>
      </c>
      <c r="W826" s="20">
        <v>46163</v>
      </c>
      <c r="X826" s="21" t="str">
        <f>UPPER(IF(AUDITORIA[[#This Row],[DATA VERIFICAÇÃO]]="","",TEXT(AUDITORIA[[#This Row],[DATA VERIFICAÇÃO]],"mmm")))</f>
        <v>MAI</v>
      </c>
      <c r="Y826" t="s">
        <v>598</v>
      </c>
      <c r="Z826" t="s">
        <v>831</v>
      </c>
      <c r="AA826" t="s">
        <v>832</v>
      </c>
    </row>
    <row r="827" spans="1:27" ht="14.4" hidden="1" customHeight="1" x14ac:dyDescent="0.3">
      <c r="A827" s="4" t="s">
        <v>0</v>
      </c>
      <c r="B827" s="4" t="s">
        <v>17</v>
      </c>
      <c r="C827" s="16" t="s">
        <v>18</v>
      </c>
      <c r="D827" s="4">
        <v>10</v>
      </c>
      <c r="E827" s="4" t="s">
        <v>745</v>
      </c>
      <c r="F827" t="s">
        <v>225</v>
      </c>
      <c r="G827" t="s">
        <v>85</v>
      </c>
      <c r="J827" s="4" t="s">
        <v>88</v>
      </c>
      <c r="K827" s="4" t="s">
        <v>21</v>
      </c>
      <c r="L827" s="4" t="s">
        <v>742</v>
      </c>
      <c r="M827" s="17">
        <v>30</v>
      </c>
      <c r="N827" s="17">
        <v>876</v>
      </c>
      <c r="O827" s="18" t="s">
        <v>88</v>
      </c>
      <c r="P827" s="18">
        <v>876</v>
      </c>
      <c r="Q827" s="18">
        <v>30</v>
      </c>
      <c r="R827" s="18" t="s">
        <v>778</v>
      </c>
      <c r="S827" s="18" t="s">
        <v>803</v>
      </c>
      <c r="T827" s="18" t="s">
        <v>782</v>
      </c>
      <c r="U8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27" s="19">
        <f>IF(AUDITORIA[[#This Row],[CAT]]="",0,1)</f>
        <v>1</v>
      </c>
      <c r="W827" s="20">
        <v>46163</v>
      </c>
      <c r="X827" s="21" t="str">
        <f>UPPER(IF(AUDITORIA[[#This Row],[DATA VERIFICAÇÃO]]="","",TEXT(AUDITORIA[[#This Row],[DATA VERIFICAÇÃO]],"mmm")))</f>
        <v>MAI</v>
      </c>
      <c r="Y827" t="s">
        <v>598</v>
      </c>
      <c r="Z827" t="s">
        <v>831</v>
      </c>
      <c r="AA827" t="s">
        <v>832</v>
      </c>
    </row>
    <row r="828" spans="1:27" ht="14.4" hidden="1" customHeight="1" x14ac:dyDescent="0.3">
      <c r="A828" s="4" t="s">
        <v>0</v>
      </c>
      <c r="B828" s="4" t="s">
        <v>17</v>
      </c>
      <c r="C828" s="16" t="s">
        <v>18</v>
      </c>
      <c r="D828" s="4">
        <v>10</v>
      </c>
      <c r="E828" s="4" t="s">
        <v>745</v>
      </c>
      <c r="F828" t="s">
        <v>223</v>
      </c>
      <c r="G828" t="s">
        <v>85</v>
      </c>
      <c r="J828" s="4" t="s">
        <v>88</v>
      </c>
      <c r="K828" s="4" t="s">
        <v>21</v>
      </c>
      <c r="L828" s="4" t="s">
        <v>742</v>
      </c>
      <c r="M828" s="17">
        <v>30</v>
      </c>
      <c r="N828" s="17">
        <v>852</v>
      </c>
      <c r="O828" s="18" t="s">
        <v>88</v>
      </c>
      <c r="P828" s="18">
        <v>852</v>
      </c>
      <c r="Q828" s="18">
        <v>30</v>
      </c>
      <c r="R828" s="18" t="s">
        <v>778</v>
      </c>
      <c r="S828" s="18" t="s">
        <v>801</v>
      </c>
      <c r="T828" s="18" t="s">
        <v>780</v>
      </c>
      <c r="U8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28" s="19">
        <f>IF(AUDITORIA[[#This Row],[CAT]]="",0,1)</f>
        <v>1</v>
      </c>
      <c r="W828" s="20">
        <v>46163</v>
      </c>
      <c r="X828" s="21" t="str">
        <f>UPPER(IF(AUDITORIA[[#This Row],[DATA VERIFICAÇÃO]]="","",TEXT(AUDITORIA[[#This Row],[DATA VERIFICAÇÃO]],"mmm")))</f>
        <v>MAI</v>
      </c>
      <c r="Y828" t="s">
        <v>598</v>
      </c>
      <c r="Z828" t="s">
        <v>831</v>
      </c>
      <c r="AA828" t="s">
        <v>832</v>
      </c>
    </row>
    <row r="829" spans="1:27" ht="14.4" hidden="1" customHeight="1" x14ac:dyDescent="0.3">
      <c r="A829" s="4" t="s">
        <v>0</v>
      </c>
      <c r="B829" s="4" t="s">
        <v>17</v>
      </c>
      <c r="C829" s="16" t="s">
        <v>18</v>
      </c>
      <c r="D829" s="4">
        <v>10</v>
      </c>
      <c r="E829" s="4" t="s">
        <v>745</v>
      </c>
      <c r="F829" t="s">
        <v>221</v>
      </c>
      <c r="G829" t="s">
        <v>85</v>
      </c>
      <c r="J829" s="4" t="s">
        <v>88</v>
      </c>
      <c r="K829" s="4" t="s">
        <v>21</v>
      </c>
      <c r="L829" s="4" t="s">
        <v>742</v>
      </c>
      <c r="M829" s="17">
        <v>30</v>
      </c>
      <c r="N829" s="17">
        <v>854</v>
      </c>
      <c r="O829" s="18" t="s">
        <v>88</v>
      </c>
      <c r="P829" s="18">
        <v>854</v>
      </c>
      <c r="Q829" s="18">
        <v>30</v>
      </c>
      <c r="R829" s="18" t="s">
        <v>778</v>
      </c>
      <c r="S829" s="18" t="s">
        <v>801</v>
      </c>
      <c r="T829" s="18" t="s">
        <v>781</v>
      </c>
      <c r="U8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29" s="19">
        <f>IF(AUDITORIA[[#This Row],[CAT]]="",0,1)</f>
        <v>1</v>
      </c>
      <c r="W829" s="20">
        <v>46163</v>
      </c>
      <c r="X829" s="21" t="str">
        <f>UPPER(IF(AUDITORIA[[#This Row],[DATA VERIFICAÇÃO]]="","",TEXT(AUDITORIA[[#This Row],[DATA VERIFICAÇÃO]],"mmm")))</f>
        <v>MAI</v>
      </c>
      <c r="Y829" t="s">
        <v>598</v>
      </c>
      <c r="Z829" t="s">
        <v>831</v>
      </c>
      <c r="AA829" t="s">
        <v>832</v>
      </c>
    </row>
    <row r="830" spans="1:27" ht="14.4" hidden="1" customHeight="1" x14ac:dyDescent="0.3">
      <c r="A830" s="4" t="s">
        <v>0</v>
      </c>
      <c r="B830" s="4" t="s">
        <v>17</v>
      </c>
      <c r="C830" s="16" t="s">
        <v>18</v>
      </c>
      <c r="D830" s="4">
        <v>10</v>
      </c>
      <c r="E830" s="4" t="s">
        <v>745</v>
      </c>
      <c r="F830" t="s">
        <v>219</v>
      </c>
      <c r="G830" t="s">
        <v>85</v>
      </c>
      <c r="J830" s="4" t="s">
        <v>88</v>
      </c>
      <c r="K830" s="4" t="s">
        <v>21</v>
      </c>
      <c r="L830" s="4" t="s">
        <v>742</v>
      </c>
      <c r="M830" s="17">
        <v>30</v>
      </c>
      <c r="N830" s="17">
        <v>883</v>
      </c>
      <c r="O830" s="18" t="s">
        <v>88</v>
      </c>
      <c r="P830" s="18">
        <v>883</v>
      </c>
      <c r="Q830" s="18">
        <v>30</v>
      </c>
      <c r="R830" s="18" t="s">
        <v>778</v>
      </c>
      <c r="S830" s="18" t="s">
        <v>801</v>
      </c>
      <c r="T830" s="18" t="s">
        <v>782</v>
      </c>
      <c r="U8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30" s="19">
        <f>IF(AUDITORIA[[#This Row],[CAT]]="",0,1)</f>
        <v>1</v>
      </c>
      <c r="W830" s="20">
        <v>46163</v>
      </c>
      <c r="X830" s="21" t="str">
        <f>UPPER(IF(AUDITORIA[[#This Row],[DATA VERIFICAÇÃO]]="","",TEXT(AUDITORIA[[#This Row],[DATA VERIFICAÇÃO]],"mmm")))</f>
        <v>MAI</v>
      </c>
      <c r="Y830" t="s">
        <v>598</v>
      </c>
      <c r="Z830" t="s">
        <v>831</v>
      </c>
      <c r="AA830" t="s">
        <v>832</v>
      </c>
    </row>
    <row r="831" spans="1:27" ht="14.4" hidden="1" customHeight="1" x14ac:dyDescent="0.3">
      <c r="A831" s="4" t="s">
        <v>0</v>
      </c>
      <c r="B831" s="4" t="s">
        <v>17</v>
      </c>
      <c r="C831" s="16" t="s">
        <v>18</v>
      </c>
      <c r="D831" s="4">
        <v>10</v>
      </c>
      <c r="E831" s="4" t="s">
        <v>745</v>
      </c>
      <c r="F831" t="s">
        <v>183</v>
      </c>
      <c r="G831" t="s">
        <v>85</v>
      </c>
      <c r="J831" s="4" t="s">
        <v>88</v>
      </c>
      <c r="K831" s="4" t="s">
        <v>21</v>
      </c>
      <c r="L831" s="4" t="s">
        <v>742</v>
      </c>
      <c r="M831" s="17">
        <v>30</v>
      </c>
      <c r="N831" s="17">
        <v>868</v>
      </c>
      <c r="O831" s="18" t="s">
        <v>88</v>
      </c>
      <c r="P831" s="18">
        <v>868</v>
      </c>
      <c r="Q831" s="18">
        <v>30</v>
      </c>
      <c r="R831" s="18" t="s">
        <v>778</v>
      </c>
      <c r="S831" s="18" t="s">
        <v>798</v>
      </c>
      <c r="T831" s="18" t="s">
        <v>780</v>
      </c>
      <c r="U8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31" s="19">
        <f>IF(AUDITORIA[[#This Row],[CAT]]="",0,1)</f>
        <v>1</v>
      </c>
      <c r="W831" s="20">
        <v>46163</v>
      </c>
      <c r="X831" s="21" t="str">
        <f>UPPER(IF(AUDITORIA[[#This Row],[DATA VERIFICAÇÃO]]="","",TEXT(AUDITORIA[[#This Row],[DATA VERIFICAÇÃO]],"mmm")))</f>
        <v>MAI</v>
      </c>
      <c r="Y831" t="s">
        <v>598</v>
      </c>
      <c r="Z831" t="s">
        <v>831</v>
      </c>
      <c r="AA831" t="s">
        <v>832</v>
      </c>
    </row>
    <row r="832" spans="1:27" ht="14.4" hidden="1" customHeight="1" x14ac:dyDescent="0.3">
      <c r="A832" s="4" t="s">
        <v>0</v>
      </c>
      <c r="B832" s="4" t="s">
        <v>17</v>
      </c>
      <c r="C832" s="16" t="s">
        <v>18</v>
      </c>
      <c r="D832" s="4">
        <v>10</v>
      </c>
      <c r="E832" s="4" t="s">
        <v>745</v>
      </c>
      <c r="F832" t="s">
        <v>185</v>
      </c>
      <c r="G832" t="s">
        <v>85</v>
      </c>
      <c r="J832" s="4" t="s">
        <v>88</v>
      </c>
      <c r="K832" s="4" t="s">
        <v>21</v>
      </c>
      <c r="L832" s="4" t="s">
        <v>742</v>
      </c>
      <c r="M832" s="17">
        <v>30</v>
      </c>
      <c r="N832" s="17">
        <v>881</v>
      </c>
      <c r="O832" s="18" t="s">
        <v>88</v>
      </c>
      <c r="P832" s="18">
        <v>881</v>
      </c>
      <c r="Q832" s="18">
        <v>30</v>
      </c>
      <c r="R832" s="18" t="s">
        <v>778</v>
      </c>
      <c r="S832" s="18" t="s">
        <v>801</v>
      </c>
      <c r="T832" s="18" t="s">
        <v>794</v>
      </c>
      <c r="U8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32" s="19">
        <f>IF(AUDITORIA[[#This Row],[CAT]]="",0,1)</f>
        <v>1</v>
      </c>
      <c r="W832" s="20">
        <v>46163</v>
      </c>
      <c r="X832" s="21" t="str">
        <f>UPPER(IF(AUDITORIA[[#This Row],[DATA VERIFICAÇÃO]]="","",TEXT(AUDITORIA[[#This Row],[DATA VERIFICAÇÃO]],"mmm")))</f>
        <v>MAI</v>
      </c>
      <c r="Y832" t="s">
        <v>598</v>
      </c>
      <c r="Z832" t="s">
        <v>831</v>
      </c>
      <c r="AA832" t="s">
        <v>832</v>
      </c>
    </row>
    <row r="833" spans="1:27" ht="14.4" hidden="1" customHeight="1" x14ac:dyDescent="0.3">
      <c r="A833" s="4" t="s">
        <v>0</v>
      </c>
      <c r="B833" s="4" t="s">
        <v>17</v>
      </c>
      <c r="C833" s="16" t="s">
        <v>18</v>
      </c>
      <c r="D833" s="4">
        <v>10</v>
      </c>
      <c r="E833" s="4" t="s">
        <v>745</v>
      </c>
      <c r="F833" t="s">
        <v>181</v>
      </c>
      <c r="G833" t="s">
        <v>85</v>
      </c>
      <c r="J833" s="4" t="s">
        <v>88</v>
      </c>
      <c r="K833" s="4" t="s">
        <v>21</v>
      </c>
      <c r="L833" s="4" t="s">
        <v>742</v>
      </c>
      <c r="M833" s="17">
        <v>30</v>
      </c>
      <c r="N833" s="17">
        <v>862</v>
      </c>
      <c r="O833" s="18" t="s">
        <v>88</v>
      </c>
      <c r="P833" s="18">
        <v>862</v>
      </c>
      <c r="Q833" s="18">
        <v>30</v>
      </c>
      <c r="R833" s="18" t="s">
        <v>778</v>
      </c>
      <c r="S833" s="18" t="s">
        <v>798</v>
      </c>
      <c r="T833" s="18" t="s">
        <v>781</v>
      </c>
      <c r="U8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33" s="19">
        <f>IF(AUDITORIA[[#This Row],[CAT]]="",0,1)</f>
        <v>1</v>
      </c>
      <c r="W833" s="20">
        <v>46163</v>
      </c>
      <c r="X833" s="21" t="str">
        <f>UPPER(IF(AUDITORIA[[#This Row],[DATA VERIFICAÇÃO]]="","",TEXT(AUDITORIA[[#This Row],[DATA VERIFICAÇÃO]],"mmm")))</f>
        <v>MAI</v>
      </c>
      <c r="Y833" t="s">
        <v>598</v>
      </c>
      <c r="Z833" t="s">
        <v>831</v>
      </c>
      <c r="AA833" t="s">
        <v>832</v>
      </c>
    </row>
    <row r="834" spans="1:27" ht="14.4" hidden="1" customHeight="1" x14ac:dyDescent="0.3">
      <c r="A834" s="4" t="s">
        <v>0</v>
      </c>
      <c r="B834" s="4" t="s">
        <v>17</v>
      </c>
      <c r="C834" s="16" t="s">
        <v>18</v>
      </c>
      <c r="D834" s="4">
        <v>10</v>
      </c>
      <c r="E834" s="4" t="s">
        <v>745</v>
      </c>
      <c r="F834" t="s">
        <v>179</v>
      </c>
      <c r="G834" t="s">
        <v>85</v>
      </c>
      <c r="J834" s="4" t="s">
        <v>88</v>
      </c>
      <c r="K834" s="4" t="s">
        <v>21</v>
      </c>
      <c r="L834" s="4" t="s">
        <v>742</v>
      </c>
      <c r="M834" s="17">
        <v>30</v>
      </c>
      <c r="N834" s="17">
        <v>896</v>
      </c>
      <c r="O834" s="18" t="s">
        <v>88</v>
      </c>
      <c r="P834" s="18">
        <v>896</v>
      </c>
      <c r="Q834" s="18">
        <v>30</v>
      </c>
      <c r="R834" s="18" t="s">
        <v>778</v>
      </c>
      <c r="S834" s="18" t="s">
        <v>798</v>
      </c>
      <c r="T834" s="18" t="s">
        <v>782</v>
      </c>
      <c r="U8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34" s="19">
        <f>IF(AUDITORIA[[#This Row],[CAT]]="",0,1)</f>
        <v>1</v>
      </c>
      <c r="W834" s="20">
        <v>46163</v>
      </c>
      <c r="X834" s="21" t="str">
        <f>UPPER(IF(AUDITORIA[[#This Row],[DATA VERIFICAÇÃO]]="","",TEXT(AUDITORIA[[#This Row],[DATA VERIFICAÇÃO]],"mmm")))</f>
        <v>MAI</v>
      </c>
      <c r="Y834" t="s">
        <v>598</v>
      </c>
      <c r="Z834" t="s">
        <v>831</v>
      </c>
      <c r="AA834" t="s">
        <v>832</v>
      </c>
    </row>
    <row r="835" spans="1:27" ht="14.4" hidden="1" customHeight="1" x14ac:dyDescent="0.3">
      <c r="A835" s="4" t="s">
        <v>0</v>
      </c>
      <c r="B835" s="4" t="s">
        <v>17</v>
      </c>
      <c r="C835" s="16" t="s">
        <v>18</v>
      </c>
      <c r="D835" s="4">
        <v>10</v>
      </c>
      <c r="E835" s="4" t="s">
        <v>745</v>
      </c>
      <c r="F835" t="s">
        <v>176</v>
      </c>
      <c r="G835" t="s">
        <v>85</v>
      </c>
      <c r="J835" s="4" t="s">
        <v>88</v>
      </c>
      <c r="K835" s="4" t="s">
        <v>21</v>
      </c>
      <c r="L835" s="4" t="s">
        <v>742</v>
      </c>
      <c r="M835" s="17">
        <v>30</v>
      </c>
      <c r="N835" s="17">
        <v>904</v>
      </c>
      <c r="O835" s="18" t="s">
        <v>88</v>
      </c>
      <c r="P835" s="18">
        <v>904</v>
      </c>
      <c r="Q835" s="18">
        <v>30</v>
      </c>
      <c r="R835" s="18" t="s">
        <v>778</v>
      </c>
      <c r="S835" s="18" t="s">
        <v>796</v>
      </c>
      <c r="T835" s="18" t="s">
        <v>780</v>
      </c>
      <c r="U8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35" s="19">
        <f>IF(AUDITORIA[[#This Row],[CAT]]="",0,1)</f>
        <v>1</v>
      </c>
      <c r="W835" s="20">
        <v>46163</v>
      </c>
      <c r="X835" s="21" t="str">
        <f>UPPER(IF(AUDITORIA[[#This Row],[DATA VERIFICAÇÃO]]="","",TEXT(AUDITORIA[[#This Row],[DATA VERIFICAÇÃO]],"mmm")))</f>
        <v>MAI</v>
      </c>
      <c r="Y835" t="s">
        <v>598</v>
      </c>
      <c r="Z835" t="s">
        <v>831</v>
      </c>
      <c r="AA835" t="s">
        <v>832</v>
      </c>
    </row>
    <row r="836" spans="1:27" ht="14.4" hidden="1" customHeight="1" x14ac:dyDescent="0.3">
      <c r="A836" s="4" t="s">
        <v>0</v>
      </c>
      <c r="B836" s="4" t="s">
        <v>17</v>
      </c>
      <c r="C836" s="16" t="s">
        <v>18</v>
      </c>
      <c r="D836" s="4">
        <v>10</v>
      </c>
      <c r="E836" s="4" t="s">
        <v>745</v>
      </c>
      <c r="F836" t="s">
        <v>174</v>
      </c>
      <c r="G836" t="s">
        <v>85</v>
      </c>
      <c r="J836" s="4" t="s">
        <v>88</v>
      </c>
      <c r="K836" s="4" t="s">
        <v>21</v>
      </c>
      <c r="L836" s="4" t="s">
        <v>742</v>
      </c>
      <c r="M836" s="17">
        <v>30</v>
      </c>
      <c r="N836" s="17">
        <v>882</v>
      </c>
      <c r="O836" s="18" t="s">
        <v>88</v>
      </c>
      <c r="P836" s="18">
        <v>882</v>
      </c>
      <c r="Q836" s="18">
        <v>30</v>
      </c>
      <c r="R836" s="18" t="s">
        <v>778</v>
      </c>
      <c r="S836" s="18" t="s">
        <v>798</v>
      </c>
      <c r="T836" s="18" t="s">
        <v>794</v>
      </c>
      <c r="U8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36" s="19">
        <f>IF(AUDITORIA[[#This Row],[CAT]]="",0,1)</f>
        <v>1</v>
      </c>
      <c r="W836" s="20">
        <v>46163</v>
      </c>
      <c r="X836" s="21" t="str">
        <f>UPPER(IF(AUDITORIA[[#This Row],[DATA VERIFICAÇÃO]]="","",TEXT(AUDITORIA[[#This Row],[DATA VERIFICAÇÃO]],"mmm")))</f>
        <v>MAI</v>
      </c>
      <c r="Y836" t="s">
        <v>598</v>
      </c>
      <c r="Z836" t="s">
        <v>831</v>
      </c>
      <c r="AA836" t="s">
        <v>832</v>
      </c>
    </row>
    <row r="837" spans="1:27" ht="14.4" hidden="1" customHeight="1" x14ac:dyDescent="0.3">
      <c r="A837" s="4" t="s">
        <v>0</v>
      </c>
      <c r="B837" s="4" t="s">
        <v>17</v>
      </c>
      <c r="C837" s="16" t="s">
        <v>18</v>
      </c>
      <c r="D837" s="4">
        <v>10</v>
      </c>
      <c r="E837" s="4" t="s">
        <v>745</v>
      </c>
      <c r="F837" t="s">
        <v>172</v>
      </c>
      <c r="G837" t="s">
        <v>85</v>
      </c>
      <c r="J837" s="4" t="s">
        <v>88</v>
      </c>
      <c r="K837" s="4" t="s">
        <v>21</v>
      </c>
      <c r="L837" s="4" t="s">
        <v>742</v>
      </c>
      <c r="M837" s="17">
        <v>30</v>
      </c>
      <c r="N837" s="17">
        <v>882</v>
      </c>
      <c r="O837" s="18" t="s">
        <v>88</v>
      </c>
      <c r="P837" s="18">
        <v>882</v>
      </c>
      <c r="Q837" s="18">
        <v>30</v>
      </c>
      <c r="R837" s="18" t="s">
        <v>778</v>
      </c>
      <c r="S837" s="18" t="s">
        <v>796</v>
      </c>
      <c r="T837" s="18" t="s">
        <v>781</v>
      </c>
      <c r="U8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37" s="19">
        <f>IF(AUDITORIA[[#This Row],[CAT]]="",0,1)</f>
        <v>1</v>
      </c>
      <c r="W837" s="20">
        <v>46163</v>
      </c>
      <c r="X837" s="21" t="str">
        <f>UPPER(IF(AUDITORIA[[#This Row],[DATA VERIFICAÇÃO]]="","",TEXT(AUDITORIA[[#This Row],[DATA VERIFICAÇÃO]],"mmm")))</f>
        <v>MAI</v>
      </c>
      <c r="Y837" t="s">
        <v>598</v>
      </c>
      <c r="Z837" t="s">
        <v>831</v>
      </c>
      <c r="AA837" t="s">
        <v>832</v>
      </c>
    </row>
    <row r="838" spans="1:27" ht="14.4" hidden="1" customHeight="1" x14ac:dyDescent="0.3">
      <c r="A838" s="4" t="s">
        <v>0</v>
      </c>
      <c r="B838" s="4" t="s">
        <v>17</v>
      </c>
      <c r="C838" s="16" t="s">
        <v>18</v>
      </c>
      <c r="D838" s="4">
        <v>10</v>
      </c>
      <c r="E838" s="4" t="s">
        <v>745</v>
      </c>
      <c r="F838" t="s">
        <v>171</v>
      </c>
      <c r="G838" t="s">
        <v>85</v>
      </c>
      <c r="J838" s="4" t="s">
        <v>88</v>
      </c>
      <c r="K838" s="4" t="s">
        <v>21</v>
      </c>
      <c r="L838" s="4" t="s">
        <v>742</v>
      </c>
      <c r="M838" s="17">
        <v>30</v>
      </c>
      <c r="N838" s="17">
        <v>904</v>
      </c>
      <c r="O838" s="18" t="s">
        <v>88</v>
      </c>
      <c r="P838" s="18">
        <v>904</v>
      </c>
      <c r="Q838" s="18">
        <v>30</v>
      </c>
      <c r="R838" s="18" t="s">
        <v>778</v>
      </c>
      <c r="S838" s="18" t="s">
        <v>796</v>
      </c>
      <c r="T838" s="18" t="s">
        <v>782</v>
      </c>
      <c r="U8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38" s="19">
        <f>IF(AUDITORIA[[#This Row],[CAT]]="",0,1)</f>
        <v>1</v>
      </c>
      <c r="W838" s="20">
        <v>46163</v>
      </c>
      <c r="X838" s="21" t="str">
        <f>UPPER(IF(AUDITORIA[[#This Row],[DATA VERIFICAÇÃO]]="","",TEXT(AUDITORIA[[#This Row],[DATA VERIFICAÇÃO]],"mmm")))</f>
        <v>MAI</v>
      </c>
      <c r="Y838" t="s">
        <v>598</v>
      </c>
      <c r="Z838" t="s">
        <v>831</v>
      </c>
      <c r="AA838" t="s">
        <v>832</v>
      </c>
    </row>
    <row r="839" spans="1:27" ht="14.4" hidden="1" customHeight="1" x14ac:dyDescent="0.3">
      <c r="A839" s="4" t="s">
        <v>0</v>
      </c>
      <c r="B839" s="4" t="s">
        <v>17</v>
      </c>
      <c r="C839" s="16" t="s">
        <v>18</v>
      </c>
      <c r="D839" s="4">
        <v>10</v>
      </c>
      <c r="E839" s="4" t="s">
        <v>745</v>
      </c>
      <c r="F839" t="s">
        <v>168</v>
      </c>
      <c r="G839" t="s">
        <v>85</v>
      </c>
      <c r="J839" s="4" t="s">
        <v>88</v>
      </c>
      <c r="K839" s="4" t="s">
        <v>21</v>
      </c>
      <c r="L839" s="4" t="s">
        <v>742</v>
      </c>
      <c r="M839" s="17">
        <v>30</v>
      </c>
      <c r="N839" s="17">
        <v>897</v>
      </c>
      <c r="O839" s="18" t="s">
        <v>88</v>
      </c>
      <c r="P839" s="18">
        <v>897</v>
      </c>
      <c r="Q839" s="18">
        <v>30</v>
      </c>
      <c r="R839" s="18" t="s">
        <v>778</v>
      </c>
      <c r="S839" s="18" t="s">
        <v>796</v>
      </c>
      <c r="T839" s="18" t="s">
        <v>794</v>
      </c>
      <c r="U8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39" s="19">
        <f>IF(AUDITORIA[[#This Row],[CAT]]="",0,1)</f>
        <v>1</v>
      </c>
      <c r="W839" s="20">
        <v>46163</v>
      </c>
      <c r="X839" s="21" t="str">
        <f>UPPER(IF(AUDITORIA[[#This Row],[DATA VERIFICAÇÃO]]="","",TEXT(AUDITORIA[[#This Row],[DATA VERIFICAÇÃO]],"mmm")))</f>
        <v>MAI</v>
      </c>
      <c r="Y839" t="s">
        <v>598</v>
      </c>
      <c r="Z839" t="s">
        <v>831</v>
      </c>
      <c r="AA839" t="s">
        <v>832</v>
      </c>
    </row>
    <row r="840" spans="1:27" ht="14.4" hidden="1" customHeight="1" x14ac:dyDescent="0.3">
      <c r="A840" s="4" t="s">
        <v>0</v>
      </c>
      <c r="B840" s="4" t="s">
        <v>17</v>
      </c>
      <c r="C840" s="16" t="s">
        <v>18</v>
      </c>
      <c r="D840" s="4">
        <v>10</v>
      </c>
      <c r="E840" s="4" t="s">
        <v>745</v>
      </c>
      <c r="F840" t="s">
        <v>166</v>
      </c>
      <c r="G840" t="s">
        <v>85</v>
      </c>
      <c r="J840" s="4" t="s">
        <v>88</v>
      </c>
      <c r="K840" s="4" t="s">
        <v>21</v>
      </c>
      <c r="L840" s="4" t="s">
        <v>742</v>
      </c>
      <c r="M840" s="17">
        <v>30</v>
      </c>
      <c r="N840" s="17">
        <v>876</v>
      </c>
      <c r="O840" s="18" t="s">
        <v>88</v>
      </c>
      <c r="P840" s="18">
        <v>876</v>
      </c>
      <c r="Q840" s="18">
        <v>30</v>
      </c>
      <c r="R840" s="18" t="s">
        <v>778</v>
      </c>
      <c r="S840" s="18" t="s">
        <v>784</v>
      </c>
      <c r="T840" s="18" t="s">
        <v>780</v>
      </c>
      <c r="U8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40" s="19">
        <f>IF(AUDITORIA[[#This Row],[CAT]]="",0,1)</f>
        <v>1</v>
      </c>
      <c r="W840" s="20">
        <v>46163</v>
      </c>
      <c r="X840" s="21" t="str">
        <f>UPPER(IF(AUDITORIA[[#This Row],[DATA VERIFICAÇÃO]]="","",TEXT(AUDITORIA[[#This Row],[DATA VERIFICAÇÃO]],"mmm")))</f>
        <v>MAI</v>
      </c>
      <c r="Y840" t="s">
        <v>598</v>
      </c>
      <c r="Z840" t="s">
        <v>831</v>
      </c>
      <c r="AA840" t="s">
        <v>832</v>
      </c>
    </row>
    <row r="841" spans="1:27" ht="14.4" hidden="1" customHeight="1" x14ac:dyDescent="0.3">
      <c r="A841" s="4" t="s">
        <v>0</v>
      </c>
      <c r="B841" s="4" t="s">
        <v>17</v>
      </c>
      <c r="C841" s="16" t="s">
        <v>18</v>
      </c>
      <c r="D841" s="4">
        <v>10</v>
      </c>
      <c r="E841" s="4" t="s">
        <v>745</v>
      </c>
      <c r="F841" t="s">
        <v>163</v>
      </c>
      <c r="G841" t="s">
        <v>85</v>
      </c>
      <c r="J841" s="4" t="s">
        <v>88</v>
      </c>
      <c r="K841" s="4" t="s">
        <v>21</v>
      </c>
      <c r="L841" s="4" t="s">
        <v>742</v>
      </c>
      <c r="M841" s="17">
        <v>30</v>
      </c>
      <c r="N841" s="17">
        <v>866</v>
      </c>
      <c r="O841" s="18" t="s">
        <v>88</v>
      </c>
      <c r="P841" s="18">
        <v>866</v>
      </c>
      <c r="Q841" s="18">
        <v>30</v>
      </c>
      <c r="R841" s="18" t="s">
        <v>778</v>
      </c>
      <c r="S841" s="18" t="s">
        <v>784</v>
      </c>
      <c r="T841" s="18" t="s">
        <v>781</v>
      </c>
      <c r="U8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41" s="19">
        <f>IF(AUDITORIA[[#This Row],[CAT]]="",0,1)</f>
        <v>1</v>
      </c>
      <c r="W841" s="20">
        <v>46163</v>
      </c>
      <c r="X841" s="21" t="str">
        <f>UPPER(IF(AUDITORIA[[#This Row],[DATA VERIFICAÇÃO]]="","",TEXT(AUDITORIA[[#This Row],[DATA VERIFICAÇÃO]],"mmm")))</f>
        <v>MAI</v>
      </c>
      <c r="Y841" t="s">
        <v>598</v>
      </c>
      <c r="Z841" t="s">
        <v>831</v>
      </c>
      <c r="AA841" t="s">
        <v>832</v>
      </c>
    </row>
    <row r="842" spans="1:27" ht="14.4" hidden="1" customHeight="1" x14ac:dyDescent="0.3">
      <c r="A842" s="4" t="s">
        <v>0</v>
      </c>
      <c r="B842" s="4" t="s">
        <v>17</v>
      </c>
      <c r="C842" s="16" t="s">
        <v>18</v>
      </c>
      <c r="D842" s="4">
        <v>10</v>
      </c>
      <c r="E842" s="4" t="s">
        <v>745</v>
      </c>
      <c r="F842" t="s">
        <v>161</v>
      </c>
      <c r="G842" t="s">
        <v>85</v>
      </c>
      <c r="J842" s="4" t="s">
        <v>88</v>
      </c>
      <c r="K842" s="4" t="s">
        <v>21</v>
      </c>
      <c r="L842" s="4" t="s">
        <v>742</v>
      </c>
      <c r="M842" s="17">
        <v>30</v>
      </c>
      <c r="N842" s="17">
        <v>876</v>
      </c>
      <c r="O842" s="18" t="s">
        <v>88</v>
      </c>
      <c r="P842" s="18">
        <v>876</v>
      </c>
      <c r="Q842" s="18">
        <v>30</v>
      </c>
      <c r="R842" s="18" t="s">
        <v>778</v>
      </c>
      <c r="S842" s="18" t="s">
        <v>784</v>
      </c>
      <c r="T842" s="18" t="s">
        <v>782</v>
      </c>
      <c r="U8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42" s="19">
        <f>IF(AUDITORIA[[#This Row],[CAT]]="",0,1)</f>
        <v>1</v>
      </c>
      <c r="W842" s="20">
        <v>46163</v>
      </c>
      <c r="X842" s="21" t="str">
        <f>UPPER(IF(AUDITORIA[[#This Row],[DATA VERIFICAÇÃO]]="","",TEXT(AUDITORIA[[#This Row],[DATA VERIFICAÇÃO]],"mmm")))</f>
        <v>MAI</v>
      </c>
      <c r="Y842" t="s">
        <v>598</v>
      </c>
      <c r="Z842" t="s">
        <v>831</v>
      </c>
      <c r="AA842" t="s">
        <v>832</v>
      </c>
    </row>
    <row r="843" spans="1:27" ht="14.4" hidden="1" customHeight="1" x14ac:dyDescent="0.3">
      <c r="A843" s="4" t="s">
        <v>0</v>
      </c>
      <c r="B843" s="4" t="s">
        <v>17</v>
      </c>
      <c r="C843" s="16" t="s">
        <v>18</v>
      </c>
      <c r="D843" s="4">
        <v>10</v>
      </c>
      <c r="E843" s="4" t="s">
        <v>745</v>
      </c>
      <c r="F843" t="s">
        <v>158</v>
      </c>
      <c r="G843" t="s">
        <v>85</v>
      </c>
      <c r="J843" s="4" t="s">
        <v>88</v>
      </c>
      <c r="K843" s="4" t="s">
        <v>21</v>
      </c>
      <c r="L843" s="4" t="s">
        <v>742</v>
      </c>
      <c r="M843" s="17">
        <v>30</v>
      </c>
      <c r="N843" s="17">
        <v>884</v>
      </c>
      <c r="O843" s="18" t="s">
        <v>88</v>
      </c>
      <c r="P843" s="18">
        <v>884</v>
      </c>
      <c r="Q843" s="18">
        <v>30</v>
      </c>
      <c r="R843" s="18" t="s">
        <v>778</v>
      </c>
      <c r="S843" s="18" t="s">
        <v>784</v>
      </c>
      <c r="T843" s="18" t="s">
        <v>794</v>
      </c>
      <c r="U8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43" s="19">
        <f>IF(AUDITORIA[[#This Row],[CAT]]="",0,1)</f>
        <v>1</v>
      </c>
      <c r="W843" s="20">
        <v>46163</v>
      </c>
      <c r="X843" s="21" t="str">
        <f>UPPER(IF(AUDITORIA[[#This Row],[DATA VERIFICAÇÃO]]="","",TEXT(AUDITORIA[[#This Row],[DATA VERIFICAÇÃO]],"mmm")))</f>
        <v>MAI</v>
      </c>
      <c r="Y843" t="s">
        <v>598</v>
      </c>
      <c r="Z843" t="s">
        <v>831</v>
      </c>
      <c r="AA843" t="s">
        <v>832</v>
      </c>
    </row>
    <row r="844" spans="1:27" ht="14.4" hidden="1" customHeight="1" x14ac:dyDescent="0.3">
      <c r="A844" s="4" t="s">
        <v>0</v>
      </c>
      <c r="B844" s="4" t="s">
        <v>17</v>
      </c>
      <c r="C844" s="16" t="s">
        <v>18</v>
      </c>
      <c r="D844" s="4">
        <v>10</v>
      </c>
      <c r="E844" s="4" t="s">
        <v>745</v>
      </c>
      <c r="F844" t="s">
        <v>156</v>
      </c>
      <c r="G844" t="s">
        <v>85</v>
      </c>
      <c r="J844" s="4" t="s">
        <v>88</v>
      </c>
      <c r="K844" s="4" t="s">
        <v>21</v>
      </c>
      <c r="L844" s="4" t="s">
        <v>742</v>
      </c>
      <c r="M844" s="17">
        <v>30</v>
      </c>
      <c r="N844" s="17">
        <v>832</v>
      </c>
      <c r="O844" s="18" t="s">
        <v>88</v>
      </c>
      <c r="P844" s="18">
        <v>832</v>
      </c>
      <c r="Q844" s="18">
        <v>30</v>
      </c>
      <c r="R844" s="18" t="s">
        <v>778</v>
      </c>
      <c r="S844" s="18" t="s">
        <v>804</v>
      </c>
      <c r="T844" s="18" t="s">
        <v>781</v>
      </c>
      <c r="U8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44" s="19">
        <f>IF(AUDITORIA[[#This Row],[CAT]]="",0,1)</f>
        <v>1</v>
      </c>
      <c r="W844" s="20">
        <v>46163</v>
      </c>
      <c r="X844" s="21" t="str">
        <f>UPPER(IF(AUDITORIA[[#This Row],[DATA VERIFICAÇÃO]]="","",TEXT(AUDITORIA[[#This Row],[DATA VERIFICAÇÃO]],"mmm")))</f>
        <v>MAI</v>
      </c>
      <c r="Y844" t="s">
        <v>598</v>
      </c>
      <c r="Z844" t="s">
        <v>831</v>
      </c>
      <c r="AA844" t="s">
        <v>832</v>
      </c>
    </row>
    <row r="845" spans="1:27" ht="14.4" hidden="1" customHeight="1" x14ac:dyDescent="0.3">
      <c r="A845" s="4" t="s">
        <v>0</v>
      </c>
      <c r="B845" s="4" t="s">
        <v>17</v>
      </c>
      <c r="C845" s="16" t="s">
        <v>18</v>
      </c>
      <c r="D845" s="4">
        <v>10</v>
      </c>
      <c r="E845" s="4" t="s">
        <v>745</v>
      </c>
      <c r="F845" t="s">
        <v>153</v>
      </c>
      <c r="G845" t="s">
        <v>85</v>
      </c>
      <c r="J845" s="4" t="s">
        <v>88</v>
      </c>
      <c r="K845" s="4" t="s">
        <v>21</v>
      </c>
      <c r="L845" s="4" t="s">
        <v>742</v>
      </c>
      <c r="M845" s="17">
        <v>30</v>
      </c>
      <c r="N845" s="17">
        <v>848</v>
      </c>
      <c r="O845" s="18" t="s">
        <v>88</v>
      </c>
      <c r="P845" s="18">
        <v>848</v>
      </c>
      <c r="Q845" s="18">
        <v>30</v>
      </c>
      <c r="R845" s="18" t="s">
        <v>778</v>
      </c>
      <c r="S845" s="18" t="s">
        <v>804</v>
      </c>
      <c r="T845" s="18" t="s">
        <v>780</v>
      </c>
      <c r="U8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45" s="19">
        <f>IF(AUDITORIA[[#This Row],[CAT]]="",0,1)</f>
        <v>1</v>
      </c>
      <c r="W845" s="20">
        <v>46163</v>
      </c>
      <c r="X845" s="21" t="str">
        <f>UPPER(IF(AUDITORIA[[#This Row],[DATA VERIFICAÇÃO]]="","",TEXT(AUDITORIA[[#This Row],[DATA VERIFICAÇÃO]],"mmm")))</f>
        <v>MAI</v>
      </c>
      <c r="Y845" t="s">
        <v>598</v>
      </c>
      <c r="Z845" t="s">
        <v>831</v>
      </c>
      <c r="AA845" t="s">
        <v>832</v>
      </c>
    </row>
    <row r="846" spans="1:27" ht="14.4" hidden="1" customHeight="1" x14ac:dyDescent="0.3">
      <c r="A846" s="4" t="s">
        <v>0</v>
      </c>
      <c r="B846" s="4" t="s">
        <v>17</v>
      </c>
      <c r="C846" s="16" t="s">
        <v>18</v>
      </c>
      <c r="D846" s="4">
        <v>10</v>
      </c>
      <c r="E846" s="4" t="s">
        <v>745</v>
      </c>
      <c r="F846" t="s">
        <v>151</v>
      </c>
      <c r="G846" t="s">
        <v>85</v>
      </c>
      <c r="J846" s="4" t="s">
        <v>88</v>
      </c>
      <c r="K846" s="4" t="s">
        <v>21</v>
      </c>
      <c r="L846" s="4" t="s">
        <v>742</v>
      </c>
      <c r="M846" s="17">
        <v>30</v>
      </c>
      <c r="N846" s="17">
        <v>877</v>
      </c>
      <c r="O846" s="18" t="s">
        <v>88</v>
      </c>
      <c r="P846" s="18">
        <v>877</v>
      </c>
      <c r="Q846" s="18">
        <v>30</v>
      </c>
      <c r="R846" s="18" t="s">
        <v>778</v>
      </c>
      <c r="S846" s="18" t="s">
        <v>804</v>
      </c>
      <c r="T846" s="18" t="s">
        <v>782</v>
      </c>
      <c r="U8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46" s="19">
        <f>IF(AUDITORIA[[#This Row],[CAT]]="",0,1)</f>
        <v>1</v>
      </c>
      <c r="W846" s="20">
        <v>46163</v>
      </c>
      <c r="X846" s="21" t="str">
        <f>UPPER(IF(AUDITORIA[[#This Row],[DATA VERIFICAÇÃO]]="","",TEXT(AUDITORIA[[#This Row],[DATA VERIFICAÇÃO]],"mmm")))</f>
        <v>MAI</v>
      </c>
      <c r="Y846" t="s">
        <v>598</v>
      </c>
      <c r="Z846" t="s">
        <v>831</v>
      </c>
      <c r="AA846" t="s">
        <v>832</v>
      </c>
    </row>
    <row r="847" spans="1:27" ht="14.4" hidden="1" customHeight="1" x14ac:dyDescent="0.3">
      <c r="A847" s="4" t="s">
        <v>0</v>
      </c>
      <c r="B847" s="4" t="s">
        <v>17</v>
      </c>
      <c r="C847" s="16" t="s">
        <v>18</v>
      </c>
      <c r="D847" s="4">
        <v>10</v>
      </c>
      <c r="E847" s="4" t="s">
        <v>745</v>
      </c>
      <c r="F847" t="s">
        <v>149</v>
      </c>
      <c r="G847" t="s">
        <v>85</v>
      </c>
      <c r="J847" s="4" t="s">
        <v>88</v>
      </c>
      <c r="K847" s="4" t="s">
        <v>21</v>
      </c>
      <c r="L847" s="4" t="s">
        <v>742</v>
      </c>
      <c r="M847" s="17">
        <v>30</v>
      </c>
      <c r="N847" s="17">
        <v>892</v>
      </c>
      <c r="O847" s="18" t="s">
        <v>88</v>
      </c>
      <c r="P847" s="18">
        <v>892</v>
      </c>
      <c r="Q847" s="18">
        <v>30</v>
      </c>
      <c r="R847" s="18" t="s">
        <v>778</v>
      </c>
      <c r="S847" s="18" t="s">
        <v>808</v>
      </c>
      <c r="T847" s="18" t="s">
        <v>780</v>
      </c>
      <c r="U8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47" s="19">
        <f>IF(AUDITORIA[[#This Row],[CAT]]="",0,1)</f>
        <v>1</v>
      </c>
      <c r="W847" s="20">
        <v>46163</v>
      </c>
      <c r="X847" s="21" t="str">
        <f>UPPER(IF(AUDITORIA[[#This Row],[DATA VERIFICAÇÃO]]="","",TEXT(AUDITORIA[[#This Row],[DATA VERIFICAÇÃO]],"mmm")))</f>
        <v>MAI</v>
      </c>
      <c r="Y847" t="s">
        <v>598</v>
      </c>
      <c r="Z847" t="s">
        <v>831</v>
      </c>
      <c r="AA847" t="s">
        <v>832</v>
      </c>
    </row>
    <row r="848" spans="1:27" ht="14.4" hidden="1" customHeight="1" x14ac:dyDescent="0.3">
      <c r="A848" s="4" t="s">
        <v>0</v>
      </c>
      <c r="B848" s="4" t="s">
        <v>17</v>
      </c>
      <c r="C848" s="16" t="s">
        <v>18</v>
      </c>
      <c r="D848" s="4">
        <v>10</v>
      </c>
      <c r="E848" s="4" t="s">
        <v>745</v>
      </c>
      <c r="F848" t="s">
        <v>146</v>
      </c>
      <c r="G848" t="s">
        <v>85</v>
      </c>
      <c r="J848" s="4" t="s">
        <v>88</v>
      </c>
      <c r="K848" s="4" t="s">
        <v>21</v>
      </c>
      <c r="L848" s="4" t="s">
        <v>742</v>
      </c>
      <c r="M848" s="17">
        <v>30</v>
      </c>
      <c r="N848" s="17">
        <v>883</v>
      </c>
      <c r="O848" s="18" t="s">
        <v>88</v>
      </c>
      <c r="P848" s="18">
        <v>883</v>
      </c>
      <c r="Q848" s="18">
        <v>30</v>
      </c>
      <c r="R848" s="18" t="s">
        <v>778</v>
      </c>
      <c r="S848" s="18" t="s">
        <v>808</v>
      </c>
      <c r="T848" s="18" t="s">
        <v>781</v>
      </c>
      <c r="U8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48" s="19">
        <f>IF(AUDITORIA[[#This Row],[CAT]]="",0,1)</f>
        <v>1</v>
      </c>
      <c r="W848" s="20">
        <v>46163</v>
      </c>
      <c r="X848" s="21" t="str">
        <f>UPPER(IF(AUDITORIA[[#This Row],[DATA VERIFICAÇÃO]]="","",TEXT(AUDITORIA[[#This Row],[DATA VERIFICAÇÃO]],"mmm")))</f>
        <v>MAI</v>
      </c>
      <c r="Y848" t="s">
        <v>598</v>
      </c>
      <c r="Z848" t="s">
        <v>831</v>
      </c>
      <c r="AA848" t="s">
        <v>832</v>
      </c>
    </row>
    <row r="849" spans="1:27" ht="14.4" hidden="1" customHeight="1" x14ac:dyDescent="0.3">
      <c r="A849" s="4" t="s">
        <v>0</v>
      </c>
      <c r="B849" s="4" t="s">
        <v>17</v>
      </c>
      <c r="C849" s="16" t="s">
        <v>18</v>
      </c>
      <c r="D849" s="4">
        <v>10</v>
      </c>
      <c r="E849" s="4" t="s">
        <v>745</v>
      </c>
      <c r="F849" t="s">
        <v>144</v>
      </c>
      <c r="G849" t="s">
        <v>85</v>
      </c>
      <c r="J849" s="4" t="s">
        <v>88</v>
      </c>
      <c r="K849" s="4" t="s">
        <v>21</v>
      </c>
      <c r="L849" s="4" t="s">
        <v>742</v>
      </c>
      <c r="M849" s="17">
        <v>30</v>
      </c>
      <c r="N849" s="17">
        <v>883</v>
      </c>
      <c r="O849" s="18" t="s">
        <v>88</v>
      </c>
      <c r="P849" s="18">
        <v>883</v>
      </c>
      <c r="Q849" s="18">
        <v>30</v>
      </c>
      <c r="R849" s="18" t="s">
        <v>778</v>
      </c>
      <c r="S849" s="18" t="s">
        <v>808</v>
      </c>
      <c r="T849" s="18" t="s">
        <v>782</v>
      </c>
      <c r="U8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49" s="19">
        <f>IF(AUDITORIA[[#This Row],[CAT]]="",0,1)</f>
        <v>1</v>
      </c>
      <c r="W849" s="20">
        <v>46163</v>
      </c>
      <c r="X849" s="21" t="str">
        <f>UPPER(IF(AUDITORIA[[#This Row],[DATA VERIFICAÇÃO]]="","",TEXT(AUDITORIA[[#This Row],[DATA VERIFICAÇÃO]],"mmm")))</f>
        <v>MAI</v>
      </c>
      <c r="Y849" t="s">
        <v>598</v>
      </c>
      <c r="Z849" t="s">
        <v>831</v>
      </c>
      <c r="AA849" t="s">
        <v>832</v>
      </c>
    </row>
    <row r="850" spans="1:27" ht="14.4" hidden="1" customHeight="1" x14ac:dyDescent="0.3">
      <c r="A850" s="4" t="s">
        <v>0</v>
      </c>
      <c r="B850" s="4" t="s">
        <v>17</v>
      </c>
      <c r="C850" s="16" t="s">
        <v>18</v>
      </c>
      <c r="D850" s="4">
        <v>10</v>
      </c>
      <c r="E850" s="4" t="s">
        <v>745</v>
      </c>
      <c r="F850" t="s">
        <v>142</v>
      </c>
      <c r="G850" t="s">
        <v>85</v>
      </c>
      <c r="J850" s="4" t="s">
        <v>88</v>
      </c>
      <c r="K850" s="4" t="s">
        <v>21</v>
      </c>
      <c r="L850" s="4" t="s">
        <v>742</v>
      </c>
      <c r="M850" s="17">
        <v>30</v>
      </c>
      <c r="N850" s="17">
        <v>867</v>
      </c>
      <c r="O850" s="18" t="s">
        <v>88</v>
      </c>
      <c r="P850" s="18">
        <v>867</v>
      </c>
      <c r="Q850" s="18">
        <v>30</v>
      </c>
      <c r="R850" s="18" t="s">
        <v>778</v>
      </c>
      <c r="S850" s="18" t="s">
        <v>813</v>
      </c>
      <c r="T850" s="18" t="s">
        <v>780</v>
      </c>
      <c r="U8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50" s="19">
        <f>IF(AUDITORIA[[#This Row],[CAT]]="",0,1)</f>
        <v>1</v>
      </c>
      <c r="W850" s="20">
        <v>46163</v>
      </c>
      <c r="X850" s="21" t="str">
        <f>UPPER(IF(AUDITORIA[[#This Row],[DATA VERIFICAÇÃO]]="","",TEXT(AUDITORIA[[#This Row],[DATA VERIFICAÇÃO]],"mmm")))</f>
        <v>MAI</v>
      </c>
      <c r="Y850" t="s">
        <v>598</v>
      </c>
      <c r="Z850" t="s">
        <v>831</v>
      </c>
      <c r="AA850" t="s">
        <v>832</v>
      </c>
    </row>
    <row r="851" spans="1:27" ht="14.4" hidden="1" customHeight="1" x14ac:dyDescent="0.3">
      <c r="A851" s="4" t="s">
        <v>0</v>
      </c>
      <c r="B851" s="4" t="s">
        <v>17</v>
      </c>
      <c r="C851" s="16" t="s">
        <v>18</v>
      </c>
      <c r="D851" s="4">
        <v>10</v>
      </c>
      <c r="E851" s="4" t="s">
        <v>745</v>
      </c>
      <c r="F851" t="s">
        <v>139</v>
      </c>
      <c r="G851" t="s">
        <v>85</v>
      </c>
      <c r="J851" s="4" t="s">
        <v>88</v>
      </c>
      <c r="K851" s="4" t="s">
        <v>21</v>
      </c>
      <c r="L851" s="4" t="s">
        <v>742</v>
      </c>
      <c r="M851" s="17">
        <v>30</v>
      </c>
      <c r="N851" s="17">
        <v>852</v>
      </c>
      <c r="O851" s="18" t="s">
        <v>88</v>
      </c>
      <c r="P851" s="18">
        <v>852</v>
      </c>
      <c r="Q851" s="18">
        <v>30</v>
      </c>
      <c r="R851" s="18" t="s">
        <v>778</v>
      </c>
      <c r="S851" s="18" t="s">
        <v>813</v>
      </c>
      <c r="T851" s="18" t="s">
        <v>781</v>
      </c>
      <c r="U8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51" s="19">
        <f>IF(AUDITORIA[[#This Row],[CAT]]="",0,1)</f>
        <v>1</v>
      </c>
      <c r="W851" s="20">
        <v>46163</v>
      </c>
      <c r="X851" s="21" t="str">
        <f>UPPER(IF(AUDITORIA[[#This Row],[DATA VERIFICAÇÃO]]="","",TEXT(AUDITORIA[[#This Row],[DATA VERIFICAÇÃO]],"mmm")))</f>
        <v>MAI</v>
      </c>
      <c r="Y851" t="s">
        <v>598</v>
      </c>
      <c r="Z851" t="s">
        <v>831</v>
      </c>
      <c r="AA851" t="s">
        <v>832</v>
      </c>
    </row>
    <row r="852" spans="1:27" ht="14.4" hidden="1" customHeight="1" x14ac:dyDescent="0.3">
      <c r="A852" s="4" t="s">
        <v>0</v>
      </c>
      <c r="B852" s="4" t="s">
        <v>17</v>
      </c>
      <c r="C852" s="16" t="s">
        <v>18</v>
      </c>
      <c r="D852" s="4">
        <v>10</v>
      </c>
      <c r="E852" s="4" t="s">
        <v>745</v>
      </c>
      <c r="F852" t="s">
        <v>137</v>
      </c>
      <c r="G852" t="s">
        <v>85</v>
      </c>
      <c r="J852" s="4" t="s">
        <v>88</v>
      </c>
      <c r="K852" s="4" t="s">
        <v>21</v>
      </c>
      <c r="L852" s="4" t="s">
        <v>742</v>
      </c>
      <c r="M852" s="17">
        <v>30</v>
      </c>
      <c r="N852" s="17">
        <v>879</v>
      </c>
      <c r="O852" s="18" t="s">
        <v>88</v>
      </c>
      <c r="P852" s="18">
        <v>879</v>
      </c>
      <c r="Q852" s="18">
        <v>30</v>
      </c>
      <c r="R852" s="18" t="s">
        <v>778</v>
      </c>
      <c r="S852" s="18" t="s">
        <v>811</v>
      </c>
      <c r="T852" s="18" t="s">
        <v>780</v>
      </c>
      <c r="U8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52" s="19">
        <f>IF(AUDITORIA[[#This Row],[CAT]]="",0,1)</f>
        <v>1</v>
      </c>
      <c r="W852" s="20">
        <v>46163</v>
      </c>
      <c r="X852" s="21" t="str">
        <f>UPPER(IF(AUDITORIA[[#This Row],[DATA VERIFICAÇÃO]]="","",TEXT(AUDITORIA[[#This Row],[DATA VERIFICAÇÃO]],"mmm")))</f>
        <v>MAI</v>
      </c>
      <c r="Y852" t="s">
        <v>598</v>
      </c>
      <c r="Z852" t="s">
        <v>831</v>
      </c>
      <c r="AA852" t="s">
        <v>832</v>
      </c>
    </row>
    <row r="853" spans="1:27" ht="14.4" hidden="1" customHeight="1" x14ac:dyDescent="0.3">
      <c r="A853" s="4" t="s">
        <v>0</v>
      </c>
      <c r="B853" s="4" t="s">
        <v>17</v>
      </c>
      <c r="C853" s="16" t="s">
        <v>18</v>
      </c>
      <c r="D853" s="4">
        <v>10</v>
      </c>
      <c r="E853" s="4" t="s">
        <v>745</v>
      </c>
      <c r="F853" t="s">
        <v>135</v>
      </c>
      <c r="G853" t="s">
        <v>85</v>
      </c>
      <c r="J853" s="4" t="s">
        <v>88</v>
      </c>
      <c r="K853" s="4" t="s">
        <v>21</v>
      </c>
      <c r="L853" s="4" t="s">
        <v>742</v>
      </c>
      <c r="M853" s="17">
        <v>30</v>
      </c>
      <c r="N853" s="17">
        <v>861</v>
      </c>
      <c r="O853" s="18" t="s">
        <v>88</v>
      </c>
      <c r="P853" s="18">
        <v>861</v>
      </c>
      <c r="Q853" s="18">
        <v>30</v>
      </c>
      <c r="R853" s="18" t="s">
        <v>778</v>
      </c>
      <c r="S853" s="18" t="s">
        <v>813</v>
      </c>
      <c r="T853" s="18" t="s">
        <v>782</v>
      </c>
      <c r="U8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53" s="19">
        <f>IF(AUDITORIA[[#This Row],[CAT]]="",0,1)</f>
        <v>1</v>
      </c>
      <c r="W853" s="20">
        <v>46163</v>
      </c>
      <c r="X853" s="21" t="str">
        <f>UPPER(IF(AUDITORIA[[#This Row],[DATA VERIFICAÇÃO]]="","",TEXT(AUDITORIA[[#This Row],[DATA VERIFICAÇÃO]],"mmm")))</f>
        <v>MAI</v>
      </c>
      <c r="Y853" t="s">
        <v>598</v>
      </c>
      <c r="Z853" t="s">
        <v>831</v>
      </c>
      <c r="AA853" t="s">
        <v>832</v>
      </c>
    </row>
    <row r="854" spans="1:27" ht="14.4" hidden="1" customHeight="1" x14ac:dyDescent="0.3">
      <c r="A854" s="4" t="s">
        <v>0</v>
      </c>
      <c r="B854" s="4" t="s">
        <v>17</v>
      </c>
      <c r="C854" s="16" t="s">
        <v>18</v>
      </c>
      <c r="D854" s="4">
        <v>10</v>
      </c>
      <c r="E854" s="4" t="s">
        <v>745</v>
      </c>
      <c r="F854" t="s">
        <v>130</v>
      </c>
      <c r="G854" t="s">
        <v>85</v>
      </c>
      <c r="J854" s="4" t="s">
        <v>88</v>
      </c>
      <c r="K854" s="4" t="s">
        <v>21</v>
      </c>
      <c r="L854" s="4" t="s">
        <v>742</v>
      </c>
      <c r="M854" s="17">
        <v>30</v>
      </c>
      <c r="N854" s="17">
        <v>853</v>
      </c>
      <c r="O854" s="18" t="s">
        <v>88</v>
      </c>
      <c r="P854" s="18">
        <v>853</v>
      </c>
      <c r="Q854" s="18">
        <v>30</v>
      </c>
      <c r="R854" s="18" t="s">
        <v>778</v>
      </c>
      <c r="S854" s="18" t="s">
        <v>811</v>
      </c>
      <c r="T854" s="18" t="s">
        <v>781</v>
      </c>
      <c r="U8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54" s="19">
        <f>IF(AUDITORIA[[#This Row],[CAT]]="",0,1)</f>
        <v>1</v>
      </c>
      <c r="W854" s="20">
        <v>46163</v>
      </c>
      <c r="X854" s="21" t="str">
        <f>UPPER(IF(AUDITORIA[[#This Row],[DATA VERIFICAÇÃO]]="","",TEXT(AUDITORIA[[#This Row],[DATA VERIFICAÇÃO]],"mmm")))</f>
        <v>MAI</v>
      </c>
      <c r="Y854" t="s">
        <v>598</v>
      </c>
      <c r="Z854" t="s">
        <v>831</v>
      </c>
      <c r="AA854" t="s">
        <v>832</v>
      </c>
    </row>
    <row r="855" spans="1:27" ht="14.4" hidden="1" customHeight="1" x14ac:dyDescent="0.3">
      <c r="A855" s="4" t="s">
        <v>0</v>
      </c>
      <c r="B855" s="4" t="s">
        <v>17</v>
      </c>
      <c r="C855" s="16" t="s">
        <v>18</v>
      </c>
      <c r="D855" s="4">
        <v>10</v>
      </c>
      <c r="E855" s="4" t="s">
        <v>745</v>
      </c>
      <c r="F855" t="s">
        <v>126</v>
      </c>
      <c r="G855" t="s">
        <v>85</v>
      </c>
      <c r="J855" s="4" t="s">
        <v>88</v>
      </c>
      <c r="K855" s="4" t="s">
        <v>21</v>
      </c>
      <c r="L855" s="4" t="s">
        <v>742</v>
      </c>
      <c r="M855" s="17">
        <v>26</v>
      </c>
      <c r="N855" s="17">
        <v>820</v>
      </c>
      <c r="O855" s="18" t="s">
        <v>88</v>
      </c>
      <c r="P855" s="18">
        <v>820</v>
      </c>
      <c r="Q855" s="18">
        <v>26</v>
      </c>
      <c r="R855" s="18" t="s">
        <v>778</v>
      </c>
      <c r="S855" s="18" t="s">
        <v>811</v>
      </c>
      <c r="T855" s="18" t="s">
        <v>782</v>
      </c>
      <c r="U8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55" s="19">
        <f>IF(AUDITORIA[[#This Row],[CAT]]="",0,1)</f>
        <v>1</v>
      </c>
      <c r="W855" s="20">
        <v>46163</v>
      </c>
      <c r="X855" s="21" t="str">
        <f>UPPER(IF(AUDITORIA[[#This Row],[DATA VERIFICAÇÃO]]="","",TEXT(AUDITORIA[[#This Row],[DATA VERIFICAÇÃO]],"mmm")))</f>
        <v>MAI</v>
      </c>
      <c r="Y855" t="s">
        <v>598</v>
      </c>
      <c r="Z855" t="s">
        <v>831</v>
      </c>
      <c r="AA855" t="s">
        <v>832</v>
      </c>
    </row>
    <row r="856" spans="1:27" ht="14.4" hidden="1" customHeight="1" x14ac:dyDescent="0.3">
      <c r="A856" s="4" t="s">
        <v>0</v>
      </c>
      <c r="B856" s="4" t="s">
        <v>17</v>
      </c>
      <c r="C856" s="16" t="s">
        <v>18</v>
      </c>
      <c r="D856" s="4">
        <v>10</v>
      </c>
      <c r="E856" s="4" t="s">
        <v>745</v>
      </c>
      <c r="F856" t="s">
        <v>103</v>
      </c>
      <c r="G856" t="s">
        <v>85</v>
      </c>
      <c r="J856" s="4" t="s">
        <v>88</v>
      </c>
      <c r="K856" s="4" t="s">
        <v>21</v>
      </c>
      <c r="L856" s="4" t="s">
        <v>742</v>
      </c>
      <c r="M856" s="17">
        <v>30</v>
      </c>
      <c r="N856" s="17">
        <v>878</v>
      </c>
      <c r="O856" s="18" t="s">
        <v>88</v>
      </c>
      <c r="P856" s="18">
        <v>878</v>
      </c>
      <c r="Q856" s="18">
        <v>30</v>
      </c>
      <c r="R856" s="18" t="s">
        <v>778</v>
      </c>
      <c r="S856" s="18" t="s">
        <v>787</v>
      </c>
      <c r="T856" s="18" t="s">
        <v>781</v>
      </c>
      <c r="U8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56" s="19">
        <f>IF(AUDITORIA[[#This Row],[CAT]]="",0,1)</f>
        <v>1</v>
      </c>
      <c r="W856" s="20">
        <v>46163</v>
      </c>
      <c r="X856" s="21" t="str">
        <f>UPPER(IF(AUDITORIA[[#This Row],[DATA VERIFICAÇÃO]]="","",TEXT(AUDITORIA[[#This Row],[DATA VERIFICAÇÃO]],"mmm")))</f>
        <v>MAI</v>
      </c>
      <c r="Y856" t="s">
        <v>598</v>
      </c>
      <c r="Z856" t="s">
        <v>831</v>
      </c>
      <c r="AA856" t="s">
        <v>832</v>
      </c>
    </row>
    <row r="857" spans="1:27" ht="14.4" hidden="1" customHeight="1" x14ac:dyDescent="0.3">
      <c r="A857" s="4" t="s">
        <v>0</v>
      </c>
      <c r="B857" s="4" t="s">
        <v>17</v>
      </c>
      <c r="C857" s="16" t="s">
        <v>18</v>
      </c>
      <c r="D857" s="4">
        <v>10</v>
      </c>
      <c r="E857" s="4" t="s">
        <v>745</v>
      </c>
      <c r="F857" t="s">
        <v>101</v>
      </c>
      <c r="G857" t="s">
        <v>85</v>
      </c>
      <c r="J857" s="4" t="s">
        <v>88</v>
      </c>
      <c r="K857" s="4" t="s">
        <v>21</v>
      </c>
      <c r="L857" s="4" t="s">
        <v>742</v>
      </c>
      <c r="M857" s="17">
        <v>30</v>
      </c>
      <c r="N857" s="17">
        <v>859</v>
      </c>
      <c r="O857" s="18" t="s">
        <v>88</v>
      </c>
      <c r="P857" s="18">
        <v>859</v>
      </c>
      <c r="Q857" s="18">
        <v>30</v>
      </c>
      <c r="R857" s="18" t="s">
        <v>778</v>
      </c>
      <c r="S857" s="18" t="s">
        <v>787</v>
      </c>
      <c r="T857" s="18" t="s">
        <v>780</v>
      </c>
      <c r="U8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57" s="19">
        <f>IF(AUDITORIA[[#This Row],[CAT]]="",0,1)</f>
        <v>1</v>
      </c>
      <c r="W857" s="20">
        <v>46163</v>
      </c>
      <c r="X857" s="21" t="str">
        <f>UPPER(IF(AUDITORIA[[#This Row],[DATA VERIFICAÇÃO]]="","",TEXT(AUDITORIA[[#This Row],[DATA VERIFICAÇÃO]],"mmm")))</f>
        <v>MAI</v>
      </c>
      <c r="Y857" t="s">
        <v>598</v>
      </c>
      <c r="Z857" t="s">
        <v>831</v>
      </c>
      <c r="AA857" t="s">
        <v>832</v>
      </c>
    </row>
    <row r="858" spans="1:27" ht="14.4" hidden="1" customHeight="1" x14ac:dyDescent="0.3">
      <c r="A858" s="4" t="s">
        <v>0</v>
      </c>
      <c r="B858" s="4" t="s">
        <v>17</v>
      </c>
      <c r="C858" s="16" t="s">
        <v>18</v>
      </c>
      <c r="D858" s="4">
        <v>10</v>
      </c>
      <c r="E858" s="4" t="s">
        <v>745</v>
      </c>
      <c r="F858" t="s">
        <v>98</v>
      </c>
      <c r="G858" t="s">
        <v>85</v>
      </c>
      <c r="J858" s="4" t="s">
        <v>88</v>
      </c>
      <c r="K858" s="4" t="s">
        <v>21</v>
      </c>
      <c r="L858" s="4" t="s">
        <v>742</v>
      </c>
      <c r="M858" s="17">
        <v>30</v>
      </c>
      <c r="N858" s="17">
        <v>879</v>
      </c>
      <c r="O858" s="18" t="s">
        <v>88</v>
      </c>
      <c r="P858" s="18">
        <v>879</v>
      </c>
      <c r="Q858" s="18">
        <v>30</v>
      </c>
      <c r="R858" s="18" t="s">
        <v>778</v>
      </c>
      <c r="S858" s="18" t="s">
        <v>785</v>
      </c>
      <c r="T858" s="18" t="s">
        <v>782</v>
      </c>
      <c r="U8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58" s="19">
        <f>IF(AUDITORIA[[#This Row],[CAT]]="",0,1)</f>
        <v>1</v>
      </c>
      <c r="W858" s="20">
        <v>46163</v>
      </c>
      <c r="X858" s="21" t="str">
        <f>UPPER(IF(AUDITORIA[[#This Row],[DATA VERIFICAÇÃO]]="","",TEXT(AUDITORIA[[#This Row],[DATA VERIFICAÇÃO]],"mmm")))</f>
        <v>MAI</v>
      </c>
      <c r="Y858" t="s">
        <v>598</v>
      </c>
      <c r="Z858" t="s">
        <v>831</v>
      </c>
      <c r="AA858" t="s">
        <v>832</v>
      </c>
    </row>
    <row r="859" spans="1:27" ht="14.4" hidden="1" customHeight="1" x14ac:dyDescent="0.3">
      <c r="A859" s="4" t="s">
        <v>0</v>
      </c>
      <c r="B859" s="4" t="s">
        <v>17</v>
      </c>
      <c r="C859" s="16" t="s">
        <v>18</v>
      </c>
      <c r="D859" s="4">
        <v>10</v>
      </c>
      <c r="E859" s="4" t="s">
        <v>745</v>
      </c>
      <c r="F859" t="s">
        <v>96</v>
      </c>
      <c r="G859" t="s">
        <v>85</v>
      </c>
      <c r="J859" s="4" t="s">
        <v>88</v>
      </c>
      <c r="K859" s="4" t="s">
        <v>21</v>
      </c>
      <c r="L859" s="4" t="s">
        <v>742</v>
      </c>
      <c r="M859" s="17">
        <v>30</v>
      </c>
      <c r="N859" s="17">
        <v>872</v>
      </c>
      <c r="O859" s="18" t="s">
        <v>88</v>
      </c>
      <c r="P859" s="18">
        <v>872</v>
      </c>
      <c r="Q859" s="18">
        <v>30</v>
      </c>
      <c r="R859" s="18" t="s">
        <v>778</v>
      </c>
      <c r="S859" s="18" t="s">
        <v>785</v>
      </c>
      <c r="T859" s="18" t="s">
        <v>781</v>
      </c>
      <c r="U8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59" s="19">
        <f>IF(AUDITORIA[[#This Row],[CAT]]="",0,1)</f>
        <v>1</v>
      </c>
      <c r="W859" s="20">
        <v>46163</v>
      </c>
      <c r="X859" s="21" t="str">
        <f>UPPER(IF(AUDITORIA[[#This Row],[DATA VERIFICAÇÃO]]="","",TEXT(AUDITORIA[[#This Row],[DATA VERIFICAÇÃO]],"mmm")))</f>
        <v>MAI</v>
      </c>
      <c r="Y859" t="s">
        <v>598</v>
      </c>
      <c r="Z859" t="s">
        <v>831</v>
      </c>
      <c r="AA859" t="s">
        <v>832</v>
      </c>
    </row>
    <row r="860" spans="1:27" ht="14.4" hidden="1" customHeight="1" x14ac:dyDescent="0.3">
      <c r="A860" s="4" t="s">
        <v>0</v>
      </c>
      <c r="B860" s="4" t="s">
        <v>17</v>
      </c>
      <c r="C860" s="16" t="s">
        <v>18</v>
      </c>
      <c r="D860" s="4">
        <v>10</v>
      </c>
      <c r="E860" s="4" t="s">
        <v>745</v>
      </c>
      <c r="F860" t="s">
        <v>95</v>
      </c>
      <c r="G860" t="s">
        <v>85</v>
      </c>
      <c r="J860" s="4" t="s">
        <v>88</v>
      </c>
      <c r="K860" s="4" t="s">
        <v>21</v>
      </c>
      <c r="L860" s="4" t="s">
        <v>742</v>
      </c>
      <c r="M860" s="17">
        <v>30</v>
      </c>
      <c r="N860" s="17">
        <v>876</v>
      </c>
      <c r="O860" s="18" t="s">
        <v>88</v>
      </c>
      <c r="P860" s="18">
        <v>876</v>
      </c>
      <c r="Q860" s="18">
        <v>30</v>
      </c>
      <c r="R860" s="18" t="s">
        <v>778</v>
      </c>
      <c r="S860" s="18" t="s">
        <v>785</v>
      </c>
      <c r="T860" s="18" t="s">
        <v>780</v>
      </c>
      <c r="U8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60" s="19">
        <f>IF(AUDITORIA[[#This Row],[CAT]]="",0,1)</f>
        <v>1</v>
      </c>
      <c r="W860" s="20">
        <v>46163</v>
      </c>
      <c r="X860" s="21" t="str">
        <f>UPPER(IF(AUDITORIA[[#This Row],[DATA VERIFICAÇÃO]]="","",TEXT(AUDITORIA[[#This Row],[DATA VERIFICAÇÃO]],"mmm")))</f>
        <v>MAI</v>
      </c>
      <c r="Y860" t="s">
        <v>598</v>
      </c>
      <c r="Z860" t="s">
        <v>831</v>
      </c>
      <c r="AA860" t="s">
        <v>832</v>
      </c>
    </row>
    <row r="861" spans="1:27" ht="14.4" hidden="1" customHeight="1" x14ac:dyDescent="0.3">
      <c r="A861" s="4" t="s">
        <v>0</v>
      </c>
      <c r="B861" s="4" t="s">
        <v>17</v>
      </c>
      <c r="C861" s="16" t="s">
        <v>18</v>
      </c>
      <c r="D861" s="4">
        <v>10</v>
      </c>
      <c r="E861" s="4" t="s">
        <v>745</v>
      </c>
      <c r="F861" t="s">
        <v>93</v>
      </c>
      <c r="G861" t="s">
        <v>85</v>
      </c>
      <c r="J861" s="4" t="s">
        <v>88</v>
      </c>
      <c r="K861" s="4" t="s">
        <v>21</v>
      </c>
      <c r="L861" s="4" t="s">
        <v>742</v>
      </c>
      <c r="M861" s="17">
        <v>30</v>
      </c>
      <c r="N861" s="17">
        <v>872</v>
      </c>
      <c r="O861" s="18" t="s">
        <v>88</v>
      </c>
      <c r="P861" s="18">
        <v>872</v>
      </c>
      <c r="Q861" s="18">
        <v>30</v>
      </c>
      <c r="R861" s="18" t="s">
        <v>778</v>
      </c>
      <c r="S861" s="18" t="s">
        <v>787</v>
      </c>
      <c r="T861" s="18" t="s">
        <v>782</v>
      </c>
      <c r="U8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61" s="19">
        <f>IF(AUDITORIA[[#This Row],[CAT]]="",0,1)</f>
        <v>1</v>
      </c>
      <c r="W861" s="20">
        <v>46163</v>
      </c>
      <c r="X861" s="21" t="str">
        <f>UPPER(IF(AUDITORIA[[#This Row],[DATA VERIFICAÇÃO]]="","",TEXT(AUDITORIA[[#This Row],[DATA VERIFICAÇÃO]],"mmm")))</f>
        <v>MAI</v>
      </c>
      <c r="Y861" t="s">
        <v>598</v>
      </c>
      <c r="Z861" t="s">
        <v>831</v>
      </c>
      <c r="AA861" t="s">
        <v>832</v>
      </c>
    </row>
    <row r="862" spans="1:27" ht="14.4" hidden="1" customHeight="1" x14ac:dyDescent="0.3">
      <c r="A862" s="4" t="s">
        <v>0</v>
      </c>
      <c r="B862" s="4" t="s">
        <v>17</v>
      </c>
      <c r="C862" s="16" t="s">
        <v>18</v>
      </c>
      <c r="D862" s="4">
        <v>10</v>
      </c>
      <c r="E862" s="4" t="s">
        <v>745</v>
      </c>
      <c r="F862" t="s">
        <v>90</v>
      </c>
      <c r="G862" t="s">
        <v>85</v>
      </c>
      <c r="J862" s="4" t="s">
        <v>88</v>
      </c>
      <c r="K862" s="4" t="s">
        <v>21</v>
      </c>
      <c r="L862" s="4" t="s">
        <v>742</v>
      </c>
      <c r="M862" s="17">
        <v>30</v>
      </c>
      <c r="N862" s="17">
        <v>871</v>
      </c>
      <c r="O862" s="18" t="s">
        <v>88</v>
      </c>
      <c r="P862" s="18">
        <v>871</v>
      </c>
      <c r="Q862" s="18">
        <v>30</v>
      </c>
      <c r="R862" s="18" t="s">
        <v>814</v>
      </c>
      <c r="S862" s="18" t="s">
        <v>806</v>
      </c>
      <c r="T862" s="18" t="s">
        <v>781</v>
      </c>
      <c r="U8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62" s="19">
        <f>IF(AUDITORIA[[#This Row],[CAT]]="",0,1)</f>
        <v>1</v>
      </c>
      <c r="W862" s="20">
        <v>46163</v>
      </c>
      <c r="X862" s="21" t="str">
        <f>UPPER(IF(AUDITORIA[[#This Row],[DATA VERIFICAÇÃO]]="","",TEXT(AUDITORIA[[#This Row],[DATA VERIFICAÇÃO]],"mmm")))</f>
        <v>MAI</v>
      </c>
      <c r="Y862" t="s">
        <v>598</v>
      </c>
      <c r="Z862" t="s">
        <v>831</v>
      </c>
      <c r="AA862" t="s">
        <v>832</v>
      </c>
    </row>
    <row r="863" spans="1:27" ht="14.4" hidden="1" customHeight="1" x14ac:dyDescent="0.3">
      <c r="A863" s="4" t="s">
        <v>0</v>
      </c>
      <c r="B863" s="4" t="s">
        <v>17</v>
      </c>
      <c r="C863" s="16" t="s">
        <v>18</v>
      </c>
      <c r="D863" s="4">
        <v>10</v>
      </c>
      <c r="E863" s="4" t="s">
        <v>745</v>
      </c>
      <c r="F863" t="s">
        <v>89</v>
      </c>
      <c r="G863" t="s">
        <v>85</v>
      </c>
      <c r="J863" s="4" t="s">
        <v>88</v>
      </c>
      <c r="K863" s="4" t="s">
        <v>21</v>
      </c>
      <c r="L863" s="4" t="s">
        <v>742</v>
      </c>
      <c r="M863" s="17">
        <v>23</v>
      </c>
      <c r="N863" s="17">
        <v>870</v>
      </c>
      <c r="O863" s="18" t="s">
        <v>88</v>
      </c>
      <c r="P863" s="18">
        <v>870</v>
      </c>
      <c r="Q863" s="18">
        <v>23</v>
      </c>
      <c r="R863" s="18" t="s">
        <v>814</v>
      </c>
      <c r="S863" s="18" t="s">
        <v>806</v>
      </c>
      <c r="T863" s="18" t="s">
        <v>780</v>
      </c>
      <c r="U8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63" s="19">
        <f>IF(AUDITORIA[[#This Row],[CAT]]="",0,1)</f>
        <v>1</v>
      </c>
      <c r="W863" s="20">
        <v>46163</v>
      </c>
      <c r="X863" s="21" t="str">
        <f>UPPER(IF(AUDITORIA[[#This Row],[DATA VERIFICAÇÃO]]="","",TEXT(AUDITORIA[[#This Row],[DATA VERIFICAÇÃO]],"mmm")))</f>
        <v>MAI</v>
      </c>
      <c r="Y863" t="s">
        <v>598</v>
      </c>
      <c r="Z863" t="s">
        <v>831</v>
      </c>
      <c r="AA863" t="s">
        <v>832</v>
      </c>
    </row>
    <row r="864" spans="1:27" ht="14.4" hidden="1" customHeight="1" x14ac:dyDescent="0.3">
      <c r="A864" s="4" t="s">
        <v>0</v>
      </c>
      <c r="B864" s="4" t="s">
        <v>17</v>
      </c>
      <c r="C864" s="16" t="s">
        <v>18</v>
      </c>
      <c r="D864" s="4">
        <v>10</v>
      </c>
      <c r="E864" s="4" t="s">
        <v>745</v>
      </c>
      <c r="F864" t="s">
        <v>642</v>
      </c>
      <c r="G864" t="s">
        <v>281</v>
      </c>
      <c r="J864" s="4" t="s">
        <v>31</v>
      </c>
      <c r="K864" s="4" t="s">
        <v>20</v>
      </c>
      <c r="L864" s="4" t="s">
        <v>742</v>
      </c>
      <c r="M864" s="17">
        <v>30</v>
      </c>
      <c r="N864" s="17">
        <v>729</v>
      </c>
      <c r="O864" s="18" t="s">
        <v>31</v>
      </c>
      <c r="P864" s="18">
        <v>729</v>
      </c>
      <c r="Q864" s="18">
        <v>30</v>
      </c>
      <c r="R864" s="18" t="s">
        <v>814</v>
      </c>
      <c r="S864" s="18" t="s">
        <v>783</v>
      </c>
      <c r="T864" s="18" t="s">
        <v>780</v>
      </c>
      <c r="U8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64" s="19">
        <f>IF(AUDITORIA[[#This Row],[CAT]]="",0,1)</f>
        <v>1</v>
      </c>
      <c r="W864" s="20">
        <v>46163</v>
      </c>
      <c r="X864" s="21" t="str">
        <f>UPPER(IF(AUDITORIA[[#This Row],[DATA VERIFICAÇÃO]]="","",TEXT(AUDITORIA[[#This Row],[DATA VERIFICAÇÃO]],"mmm")))</f>
        <v>MAI</v>
      </c>
      <c r="Y864" t="s">
        <v>598</v>
      </c>
      <c r="Z864" t="s">
        <v>831</v>
      </c>
      <c r="AA864" t="s">
        <v>832</v>
      </c>
    </row>
    <row r="865" spans="1:27" ht="14.4" hidden="1" customHeight="1" x14ac:dyDescent="0.3">
      <c r="A865" s="4" t="s">
        <v>0</v>
      </c>
      <c r="B865" s="4" t="s">
        <v>17</v>
      </c>
      <c r="C865" s="16" t="s">
        <v>18</v>
      </c>
      <c r="D865" s="4">
        <v>10</v>
      </c>
      <c r="E865" s="4" t="s">
        <v>745</v>
      </c>
      <c r="F865" t="s">
        <v>640</v>
      </c>
      <c r="G865" t="s">
        <v>281</v>
      </c>
      <c r="J865" s="4" t="s">
        <v>31</v>
      </c>
      <c r="K865" s="4" t="s">
        <v>20</v>
      </c>
      <c r="L865" s="4" t="s">
        <v>742</v>
      </c>
      <c r="M865" s="17">
        <v>30</v>
      </c>
      <c r="N865" s="17">
        <v>760</v>
      </c>
      <c r="O865" s="18" t="s">
        <v>31</v>
      </c>
      <c r="P865" s="18">
        <v>760</v>
      </c>
      <c r="Q865" s="18">
        <v>30</v>
      </c>
      <c r="R865" s="18" t="s">
        <v>814</v>
      </c>
      <c r="S865" s="18" t="s">
        <v>783</v>
      </c>
      <c r="T865" s="18" t="s">
        <v>781</v>
      </c>
      <c r="U8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65" s="19">
        <f>IF(AUDITORIA[[#This Row],[CAT]]="",0,1)</f>
        <v>1</v>
      </c>
      <c r="W865" s="20">
        <v>46163</v>
      </c>
      <c r="X865" s="21" t="str">
        <f>UPPER(IF(AUDITORIA[[#This Row],[DATA VERIFICAÇÃO]]="","",TEXT(AUDITORIA[[#This Row],[DATA VERIFICAÇÃO]],"mmm")))</f>
        <v>MAI</v>
      </c>
      <c r="Y865" t="s">
        <v>598</v>
      </c>
      <c r="Z865" t="s">
        <v>831</v>
      </c>
      <c r="AA865" t="s">
        <v>832</v>
      </c>
    </row>
    <row r="866" spans="1:27" ht="14.4" hidden="1" customHeight="1" x14ac:dyDescent="0.3">
      <c r="A866" s="4" t="s">
        <v>0</v>
      </c>
      <c r="B866" s="4" t="s">
        <v>17</v>
      </c>
      <c r="C866" s="16" t="s">
        <v>18</v>
      </c>
      <c r="D866" s="4">
        <v>10</v>
      </c>
      <c r="E866" s="4" t="s">
        <v>745</v>
      </c>
      <c r="F866" t="s">
        <v>638</v>
      </c>
      <c r="G866" t="s">
        <v>281</v>
      </c>
      <c r="J866" s="4" t="s">
        <v>31</v>
      </c>
      <c r="K866" s="4" t="s">
        <v>20</v>
      </c>
      <c r="L866" s="4" t="s">
        <v>742</v>
      </c>
      <c r="M866" s="17">
        <v>30</v>
      </c>
      <c r="N866" s="17">
        <v>740</v>
      </c>
      <c r="O866" s="18" t="s">
        <v>31</v>
      </c>
      <c r="P866" s="18">
        <v>740</v>
      </c>
      <c r="Q866" s="18">
        <v>30</v>
      </c>
      <c r="R866" s="18" t="s">
        <v>814</v>
      </c>
      <c r="S866" s="18" t="s">
        <v>783</v>
      </c>
      <c r="T866" s="18" t="s">
        <v>782</v>
      </c>
      <c r="U8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66" s="19">
        <f>IF(AUDITORIA[[#This Row],[CAT]]="",0,1)</f>
        <v>1</v>
      </c>
      <c r="W866" s="20">
        <v>46163</v>
      </c>
      <c r="X866" s="21" t="str">
        <f>UPPER(IF(AUDITORIA[[#This Row],[DATA VERIFICAÇÃO]]="","",TEXT(AUDITORIA[[#This Row],[DATA VERIFICAÇÃO]],"mmm")))</f>
        <v>MAI</v>
      </c>
      <c r="Y866" t="s">
        <v>598</v>
      </c>
      <c r="Z866" t="s">
        <v>831</v>
      </c>
      <c r="AA866" t="s">
        <v>832</v>
      </c>
    </row>
    <row r="867" spans="1:27" ht="14.4" hidden="1" customHeight="1" x14ac:dyDescent="0.3">
      <c r="A867" s="4" t="s">
        <v>0</v>
      </c>
      <c r="B867" s="4" t="s">
        <v>17</v>
      </c>
      <c r="C867" s="16" t="s">
        <v>18</v>
      </c>
      <c r="D867" s="4">
        <v>10</v>
      </c>
      <c r="E867" s="4" t="s">
        <v>745</v>
      </c>
      <c r="F867" t="s">
        <v>637</v>
      </c>
      <c r="G867" t="s">
        <v>281</v>
      </c>
      <c r="J867" s="4" t="s">
        <v>31</v>
      </c>
      <c r="K867" s="4" t="s">
        <v>20</v>
      </c>
      <c r="L867" s="4" t="s">
        <v>742</v>
      </c>
      <c r="M867" s="17">
        <v>6</v>
      </c>
      <c r="N867" s="17">
        <v>733</v>
      </c>
      <c r="O867" s="18" t="s">
        <v>31</v>
      </c>
      <c r="P867" s="18">
        <v>733</v>
      </c>
      <c r="Q867" s="18">
        <v>6</v>
      </c>
      <c r="R867" s="18" t="s">
        <v>814</v>
      </c>
      <c r="S867" s="18" t="s">
        <v>818</v>
      </c>
      <c r="T867" s="18" t="s">
        <v>819</v>
      </c>
      <c r="U8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67" s="19">
        <f>IF(AUDITORIA[[#This Row],[CAT]]="",0,1)</f>
        <v>1</v>
      </c>
      <c r="W867" s="20">
        <v>46163</v>
      </c>
      <c r="X867" s="21" t="str">
        <f>UPPER(IF(AUDITORIA[[#This Row],[DATA VERIFICAÇÃO]]="","",TEXT(AUDITORIA[[#This Row],[DATA VERIFICAÇÃO]],"mmm")))</f>
        <v>MAI</v>
      </c>
      <c r="Y867" t="s">
        <v>598</v>
      </c>
      <c r="Z867" t="s">
        <v>831</v>
      </c>
      <c r="AA867" t="s">
        <v>832</v>
      </c>
    </row>
    <row r="868" spans="1:27" ht="14.4" hidden="1" customHeight="1" x14ac:dyDescent="0.3">
      <c r="A868" s="4" t="s">
        <v>0</v>
      </c>
      <c r="B868" s="4" t="s">
        <v>17</v>
      </c>
      <c r="C868" s="16" t="s">
        <v>18</v>
      </c>
      <c r="D868" s="4">
        <v>10</v>
      </c>
      <c r="E868" s="4" t="s">
        <v>745</v>
      </c>
      <c r="F868" t="s">
        <v>641</v>
      </c>
      <c r="G868" t="s">
        <v>281</v>
      </c>
      <c r="J868" s="4" t="s">
        <v>31</v>
      </c>
      <c r="K868" s="4" t="s">
        <v>21</v>
      </c>
      <c r="L868" s="4" t="s">
        <v>742</v>
      </c>
      <c r="M868" s="17">
        <v>30</v>
      </c>
      <c r="N868" s="17">
        <v>929</v>
      </c>
      <c r="O868" s="18" t="s">
        <v>31</v>
      </c>
      <c r="P868" s="18">
        <v>929</v>
      </c>
      <c r="Q868" s="18">
        <v>30</v>
      </c>
      <c r="R868" s="18" t="s">
        <v>814</v>
      </c>
      <c r="S868" s="18" t="s">
        <v>779</v>
      </c>
      <c r="T868" s="18" t="s">
        <v>782</v>
      </c>
      <c r="U8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68" s="19">
        <f>IF(AUDITORIA[[#This Row],[CAT]]="",0,1)</f>
        <v>1</v>
      </c>
      <c r="W868" s="20">
        <v>46163</v>
      </c>
      <c r="X868" s="21" t="str">
        <f>UPPER(IF(AUDITORIA[[#This Row],[DATA VERIFICAÇÃO]]="","",TEXT(AUDITORIA[[#This Row],[DATA VERIFICAÇÃO]],"mmm")))</f>
        <v>MAI</v>
      </c>
      <c r="Y868" t="s">
        <v>598</v>
      </c>
      <c r="Z868" t="s">
        <v>831</v>
      </c>
      <c r="AA868" t="s">
        <v>832</v>
      </c>
    </row>
    <row r="869" spans="1:27" ht="14.4" hidden="1" customHeight="1" x14ac:dyDescent="0.3">
      <c r="A869" s="4" t="s">
        <v>0</v>
      </c>
      <c r="B869" s="4" t="s">
        <v>17</v>
      </c>
      <c r="C869" s="16" t="s">
        <v>18</v>
      </c>
      <c r="D869" s="4">
        <v>10</v>
      </c>
      <c r="E869" s="4" t="s">
        <v>745</v>
      </c>
      <c r="F869" t="s">
        <v>639</v>
      </c>
      <c r="G869" t="s">
        <v>281</v>
      </c>
      <c r="J869" s="4" t="s">
        <v>31</v>
      </c>
      <c r="K869" s="4" t="s">
        <v>21</v>
      </c>
      <c r="L869" s="4" t="s">
        <v>742</v>
      </c>
      <c r="M869" s="17">
        <v>30</v>
      </c>
      <c r="N869" s="17">
        <v>913</v>
      </c>
      <c r="O869" s="18" t="s">
        <v>31</v>
      </c>
      <c r="P869" s="18">
        <v>913</v>
      </c>
      <c r="Q869" s="18">
        <v>30</v>
      </c>
      <c r="R869" s="18" t="s">
        <v>814</v>
      </c>
      <c r="S869" s="18" t="s">
        <v>786</v>
      </c>
      <c r="T869" s="18" t="s">
        <v>780</v>
      </c>
      <c r="U8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69" s="19">
        <f>IF(AUDITORIA[[#This Row],[CAT]]="",0,1)</f>
        <v>1</v>
      </c>
      <c r="W869" s="20">
        <v>46163</v>
      </c>
      <c r="X869" s="21" t="str">
        <f>UPPER(IF(AUDITORIA[[#This Row],[DATA VERIFICAÇÃO]]="","",TEXT(AUDITORIA[[#This Row],[DATA VERIFICAÇÃO]],"mmm")))</f>
        <v>MAI</v>
      </c>
      <c r="Y869" t="s">
        <v>598</v>
      </c>
      <c r="Z869" t="s">
        <v>831</v>
      </c>
      <c r="AA869" t="s">
        <v>832</v>
      </c>
    </row>
    <row r="870" spans="1:27" ht="14.4" hidden="1" customHeight="1" x14ac:dyDescent="0.3">
      <c r="A870" s="4" t="s">
        <v>0</v>
      </c>
      <c r="B870" s="4" t="s">
        <v>17</v>
      </c>
      <c r="C870" s="16" t="s">
        <v>18</v>
      </c>
      <c r="D870" s="4">
        <v>10</v>
      </c>
      <c r="E870" s="4" t="s">
        <v>745</v>
      </c>
      <c r="F870" t="s">
        <v>636</v>
      </c>
      <c r="G870" t="s">
        <v>281</v>
      </c>
      <c r="J870" s="4" t="s">
        <v>31</v>
      </c>
      <c r="K870" s="4" t="s">
        <v>21</v>
      </c>
      <c r="L870" s="4" t="s">
        <v>742</v>
      </c>
      <c r="M870" s="17">
        <v>30</v>
      </c>
      <c r="N870" s="17">
        <v>900</v>
      </c>
      <c r="O870" s="18" t="s">
        <v>31</v>
      </c>
      <c r="P870" s="18">
        <v>900</v>
      </c>
      <c r="Q870" s="18">
        <v>30</v>
      </c>
      <c r="R870" s="18" t="s">
        <v>814</v>
      </c>
      <c r="S870" s="18" t="s">
        <v>786</v>
      </c>
      <c r="T870" s="18" t="s">
        <v>781</v>
      </c>
      <c r="U8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70" s="19">
        <f>IF(AUDITORIA[[#This Row],[CAT]]="",0,1)</f>
        <v>1</v>
      </c>
      <c r="W870" s="20">
        <v>46163</v>
      </c>
      <c r="X870" s="21" t="str">
        <f>UPPER(IF(AUDITORIA[[#This Row],[DATA VERIFICAÇÃO]]="","",TEXT(AUDITORIA[[#This Row],[DATA VERIFICAÇÃO]],"mmm")))</f>
        <v>MAI</v>
      </c>
      <c r="Y870" t="s">
        <v>598</v>
      </c>
      <c r="Z870" t="s">
        <v>831</v>
      </c>
      <c r="AA870" t="s">
        <v>832</v>
      </c>
    </row>
    <row r="871" spans="1:27" ht="14.4" hidden="1" customHeight="1" x14ac:dyDescent="0.3">
      <c r="A871" s="4" t="s">
        <v>0</v>
      </c>
      <c r="B871" s="4" t="s">
        <v>17</v>
      </c>
      <c r="C871" s="16" t="s">
        <v>18</v>
      </c>
      <c r="D871" s="4">
        <v>10</v>
      </c>
      <c r="E871" s="4" t="s">
        <v>745</v>
      </c>
      <c r="F871" t="s">
        <v>632</v>
      </c>
      <c r="G871" t="s">
        <v>625</v>
      </c>
      <c r="J871" s="4" t="s">
        <v>31</v>
      </c>
      <c r="K871" s="4" t="s">
        <v>20</v>
      </c>
      <c r="L871" s="4" t="s">
        <v>742</v>
      </c>
      <c r="M871" s="17">
        <v>30</v>
      </c>
      <c r="N871" s="17">
        <v>583</v>
      </c>
      <c r="O871" s="18" t="s">
        <v>31</v>
      </c>
      <c r="P871" s="18">
        <v>583</v>
      </c>
      <c r="Q871" s="18">
        <v>30</v>
      </c>
      <c r="R871" s="18" t="s">
        <v>814</v>
      </c>
      <c r="S871" s="18" t="s">
        <v>811</v>
      </c>
      <c r="T871" s="18" t="s">
        <v>780</v>
      </c>
      <c r="U8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71" s="19">
        <f>IF(AUDITORIA[[#This Row],[CAT]]="",0,1)</f>
        <v>1</v>
      </c>
      <c r="W871" s="20">
        <v>46163</v>
      </c>
      <c r="X871" s="21" t="str">
        <f>UPPER(IF(AUDITORIA[[#This Row],[DATA VERIFICAÇÃO]]="","",TEXT(AUDITORIA[[#This Row],[DATA VERIFICAÇÃO]],"mmm")))</f>
        <v>MAI</v>
      </c>
      <c r="Y871" t="s">
        <v>598</v>
      </c>
      <c r="Z871" t="s">
        <v>831</v>
      </c>
      <c r="AA871" t="s">
        <v>832</v>
      </c>
    </row>
    <row r="872" spans="1:27" ht="14.4" hidden="1" customHeight="1" x14ac:dyDescent="0.3">
      <c r="A872" s="4" t="s">
        <v>0</v>
      </c>
      <c r="B872" s="4" t="s">
        <v>17</v>
      </c>
      <c r="C872" s="16" t="s">
        <v>18</v>
      </c>
      <c r="D872" s="4">
        <v>10</v>
      </c>
      <c r="E872" s="4" t="s">
        <v>745</v>
      </c>
      <c r="F872" t="s">
        <v>627</v>
      </c>
      <c r="G872" t="s">
        <v>625</v>
      </c>
      <c r="J872" s="4" t="s">
        <v>31</v>
      </c>
      <c r="K872" s="4" t="s">
        <v>20</v>
      </c>
      <c r="L872" s="4" t="s">
        <v>742</v>
      </c>
      <c r="M872" s="17">
        <v>30</v>
      </c>
      <c r="N872" s="17">
        <v>544</v>
      </c>
      <c r="O872" s="18" t="s">
        <v>31</v>
      </c>
      <c r="P872" s="18">
        <v>544</v>
      </c>
      <c r="Q872" s="18">
        <v>30</v>
      </c>
      <c r="R872" s="18" t="s">
        <v>814</v>
      </c>
      <c r="S872" s="18" t="s">
        <v>811</v>
      </c>
      <c r="T872" s="18" t="s">
        <v>781</v>
      </c>
      <c r="U8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72" s="19">
        <f>IF(AUDITORIA[[#This Row],[CAT]]="",0,1)</f>
        <v>1</v>
      </c>
      <c r="W872" s="20">
        <v>46163</v>
      </c>
      <c r="X872" s="21" t="str">
        <f>UPPER(IF(AUDITORIA[[#This Row],[DATA VERIFICAÇÃO]]="","",TEXT(AUDITORIA[[#This Row],[DATA VERIFICAÇÃO]],"mmm")))</f>
        <v>MAI</v>
      </c>
      <c r="Y872" t="s">
        <v>598</v>
      </c>
      <c r="Z872" t="s">
        <v>831</v>
      </c>
      <c r="AA872" t="s">
        <v>832</v>
      </c>
    </row>
    <row r="873" spans="1:27" ht="14.4" hidden="1" customHeight="1" x14ac:dyDescent="0.3">
      <c r="A873" s="4" t="s">
        <v>0</v>
      </c>
      <c r="B873" s="4" t="s">
        <v>17</v>
      </c>
      <c r="C873" s="16" t="s">
        <v>18</v>
      </c>
      <c r="D873" s="4">
        <v>10</v>
      </c>
      <c r="E873" s="4" t="s">
        <v>745</v>
      </c>
      <c r="F873" t="s">
        <v>626</v>
      </c>
      <c r="G873" t="s">
        <v>625</v>
      </c>
      <c r="J873" s="4" t="s">
        <v>31</v>
      </c>
      <c r="K873" s="4" t="s">
        <v>20</v>
      </c>
      <c r="L873" s="4" t="s">
        <v>742</v>
      </c>
      <c r="M873" s="17">
        <v>9</v>
      </c>
      <c r="N873" s="17">
        <v>553</v>
      </c>
      <c r="O873" s="18" t="s">
        <v>31</v>
      </c>
      <c r="P873" s="18">
        <v>553</v>
      </c>
      <c r="Q873" s="18">
        <v>9</v>
      </c>
      <c r="R873" s="18" t="s">
        <v>814</v>
      </c>
      <c r="S873" s="18" t="s">
        <v>818</v>
      </c>
      <c r="T873" s="18" t="s">
        <v>819</v>
      </c>
      <c r="U8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73" s="19">
        <f>IF(AUDITORIA[[#This Row],[CAT]]="",0,1)</f>
        <v>1</v>
      </c>
      <c r="W873" s="20">
        <v>46163</v>
      </c>
      <c r="X873" s="21" t="str">
        <f>UPPER(IF(AUDITORIA[[#This Row],[DATA VERIFICAÇÃO]]="","",TEXT(AUDITORIA[[#This Row],[DATA VERIFICAÇÃO]],"mmm")))</f>
        <v>MAI</v>
      </c>
      <c r="Y873" t="s">
        <v>598</v>
      </c>
      <c r="Z873" t="s">
        <v>831</v>
      </c>
      <c r="AA873" t="s">
        <v>832</v>
      </c>
    </row>
    <row r="874" spans="1:27" ht="14.4" hidden="1" customHeight="1" x14ac:dyDescent="0.3">
      <c r="A874" s="4" t="s">
        <v>0</v>
      </c>
      <c r="B874" s="4" t="s">
        <v>17</v>
      </c>
      <c r="C874" s="16" t="s">
        <v>18</v>
      </c>
      <c r="D874" s="4">
        <v>10</v>
      </c>
      <c r="E874" s="4" t="s">
        <v>745</v>
      </c>
      <c r="F874" t="s">
        <v>635</v>
      </c>
      <c r="G874" t="s">
        <v>625</v>
      </c>
      <c r="J874" s="4" t="s">
        <v>31</v>
      </c>
      <c r="K874" s="4" t="s">
        <v>21</v>
      </c>
      <c r="L874" s="4" t="s">
        <v>742</v>
      </c>
      <c r="M874" s="17">
        <v>30</v>
      </c>
      <c r="N874" s="17">
        <v>712</v>
      </c>
      <c r="O874" s="18" t="s">
        <v>31</v>
      </c>
      <c r="P874" s="18">
        <v>712</v>
      </c>
      <c r="Q874" s="18">
        <v>30</v>
      </c>
      <c r="R874" s="18" t="s">
        <v>814</v>
      </c>
      <c r="S874" s="18" t="s">
        <v>813</v>
      </c>
      <c r="T874" s="18" t="s">
        <v>780</v>
      </c>
      <c r="U8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74" s="19">
        <f>IF(AUDITORIA[[#This Row],[CAT]]="",0,1)</f>
        <v>1</v>
      </c>
      <c r="W874" s="20">
        <v>46163</v>
      </c>
      <c r="X874" s="21" t="str">
        <f>UPPER(IF(AUDITORIA[[#This Row],[DATA VERIFICAÇÃO]]="","",TEXT(AUDITORIA[[#This Row],[DATA VERIFICAÇÃO]],"mmm")))</f>
        <v>MAI</v>
      </c>
      <c r="Y874" t="s">
        <v>598</v>
      </c>
      <c r="Z874" t="s">
        <v>831</v>
      </c>
      <c r="AA874" t="s">
        <v>832</v>
      </c>
    </row>
    <row r="875" spans="1:27" ht="14.4" hidden="1" customHeight="1" x14ac:dyDescent="0.3">
      <c r="A875" s="4" t="s">
        <v>0</v>
      </c>
      <c r="B875" s="4" t="s">
        <v>17</v>
      </c>
      <c r="C875" s="16" t="s">
        <v>18</v>
      </c>
      <c r="D875" s="4">
        <v>10</v>
      </c>
      <c r="E875" s="4" t="s">
        <v>745</v>
      </c>
      <c r="F875" t="s">
        <v>634</v>
      </c>
      <c r="G875" t="s">
        <v>625</v>
      </c>
      <c r="J875" s="4" t="s">
        <v>31</v>
      </c>
      <c r="K875" s="4" t="s">
        <v>21</v>
      </c>
      <c r="L875" s="4" t="s">
        <v>742</v>
      </c>
      <c r="M875" s="17">
        <v>30</v>
      </c>
      <c r="N875" s="17">
        <v>720</v>
      </c>
      <c r="O875" s="18" t="s">
        <v>31</v>
      </c>
      <c r="P875" s="18">
        <v>720</v>
      </c>
      <c r="Q875" s="18">
        <v>30</v>
      </c>
      <c r="R875" s="18" t="s">
        <v>814</v>
      </c>
      <c r="S875" s="18" t="s">
        <v>813</v>
      </c>
      <c r="T875" s="18" t="s">
        <v>781</v>
      </c>
      <c r="U8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75" s="19">
        <f>IF(AUDITORIA[[#This Row],[CAT]]="",0,1)</f>
        <v>1</v>
      </c>
      <c r="W875" s="20">
        <v>46163</v>
      </c>
      <c r="X875" s="21" t="str">
        <f>UPPER(IF(AUDITORIA[[#This Row],[DATA VERIFICAÇÃO]]="","",TEXT(AUDITORIA[[#This Row],[DATA VERIFICAÇÃO]],"mmm")))</f>
        <v>MAI</v>
      </c>
      <c r="Y875" t="s">
        <v>598</v>
      </c>
      <c r="Z875" t="s">
        <v>831</v>
      </c>
      <c r="AA875" t="s">
        <v>832</v>
      </c>
    </row>
    <row r="876" spans="1:27" ht="14.4" hidden="1" customHeight="1" x14ac:dyDescent="0.3">
      <c r="A876" s="4" t="s">
        <v>0</v>
      </c>
      <c r="B876" s="4" t="s">
        <v>17</v>
      </c>
      <c r="C876" s="16" t="s">
        <v>18</v>
      </c>
      <c r="D876" s="4">
        <v>10</v>
      </c>
      <c r="E876" s="4" t="s">
        <v>745</v>
      </c>
      <c r="F876" t="s">
        <v>633</v>
      </c>
      <c r="G876" t="s">
        <v>625</v>
      </c>
      <c r="J876" s="4" t="s">
        <v>31</v>
      </c>
      <c r="K876" s="4" t="s">
        <v>21</v>
      </c>
      <c r="L876" s="4" t="s">
        <v>742</v>
      </c>
      <c r="M876" s="17">
        <v>30</v>
      </c>
      <c r="N876" s="17">
        <v>770</v>
      </c>
      <c r="O876" s="18" t="s">
        <v>31</v>
      </c>
      <c r="P876" s="18">
        <v>770</v>
      </c>
      <c r="Q876" s="18">
        <v>30</v>
      </c>
      <c r="R876" s="18" t="s">
        <v>814</v>
      </c>
      <c r="S876" s="18" t="s">
        <v>813</v>
      </c>
      <c r="T876" s="18" t="s">
        <v>782</v>
      </c>
      <c r="U8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76" s="19">
        <f>IF(AUDITORIA[[#This Row],[CAT]]="",0,1)</f>
        <v>1</v>
      </c>
      <c r="W876" s="20">
        <v>46163</v>
      </c>
      <c r="X876" s="21" t="str">
        <f>UPPER(IF(AUDITORIA[[#This Row],[DATA VERIFICAÇÃO]]="","",TEXT(AUDITORIA[[#This Row],[DATA VERIFICAÇÃO]],"mmm")))</f>
        <v>MAI</v>
      </c>
      <c r="Y876" t="s">
        <v>598</v>
      </c>
      <c r="Z876" t="s">
        <v>831</v>
      </c>
      <c r="AA876" t="s">
        <v>832</v>
      </c>
    </row>
    <row r="877" spans="1:27" ht="14.4" hidden="1" customHeight="1" x14ac:dyDescent="0.3">
      <c r="A877" s="4" t="s">
        <v>0</v>
      </c>
      <c r="B877" s="4" t="s">
        <v>17</v>
      </c>
      <c r="C877" s="16" t="s">
        <v>18</v>
      </c>
      <c r="D877" s="4">
        <v>10</v>
      </c>
      <c r="E877" s="4" t="s">
        <v>745</v>
      </c>
      <c r="F877" t="s">
        <v>631</v>
      </c>
      <c r="G877" t="s">
        <v>625</v>
      </c>
      <c r="J877" s="4" t="s">
        <v>31</v>
      </c>
      <c r="K877" s="4" t="s">
        <v>21</v>
      </c>
      <c r="L877" s="4" t="s">
        <v>742</v>
      </c>
      <c r="M877" s="17">
        <v>30</v>
      </c>
      <c r="N877" s="17">
        <v>718</v>
      </c>
      <c r="O877" s="18" t="s">
        <v>31</v>
      </c>
      <c r="P877" s="18">
        <v>718</v>
      </c>
      <c r="Q877" s="18">
        <v>30</v>
      </c>
      <c r="R877" s="18" t="s">
        <v>814</v>
      </c>
      <c r="S877" s="18" t="s">
        <v>813</v>
      </c>
      <c r="T877" s="18" t="s">
        <v>794</v>
      </c>
      <c r="U8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77" s="19">
        <f>IF(AUDITORIA[[#This Row],[CAT]]="",0,1)</f>
        <v>1</v>
      </c>
      <c r="W877" s="20">
        <v>46163</v>
      </c>
      <c r="X877" s="21" t="str">
        <f>UPPER(IF(AUDITORIA[[#This Row],[DATA VERIFICAÇÃO]]="","",TEXT(AUDITORIA[[#This Row],[DATA VERIFICAÇÃO]],"mmm")))</f>
        <v>MAI</v>
      </c>
      <c r="Y877" t="s">
        <v>598</v>
      </c>
      <c r="Z877" t="s">
        <v>831</v>
      </c>
      <c r="AA877" t="s">
        <v>832</v>
      </c>
    </row>
    <row r="878" spans="1:27" ht="14.4" hidden="1" customHeight="1" x14ac:dyDescent="0.3">
      <c r="A878" s="4" t="s">
        <v>0</v>
      </c>
      <c r="B878" s="4" t="s">
        <v>17</v>
      </c>
      <c r="C878" s="16" t="s">
        <v>18</v>
      </c>
      <c r="D878" s="4">
        <v>10</v>
      </c>
      <c r="E878" s="4" t="s">
        <v>745</v>
      </c>
      <c r="F878" t="s">
        <v>630</v>
      </c>
      <c r="G878" t="s">
        <v>625</v>
      </c>
      <c r="J878" s="4" t="s">
        <v>31</v>
      </c>
      <c r="K878" s="4" t="s">
        <v>21</v>
      </c>
      <c r="L878" s="4" t="s">
        <v>742</v>
      </c>
      <c r="M878" s="17">
        <v>30</v>
      </c>
      <c r="N878" s="17">
        <v>720</v>
      </c>
      <c r="O878" s="18" t="s">
        <v>31</v>
      </c>
      <c r="P878" s="18">
        <v>720</v>
      </c>
      <c r="Q878" s="18">
        <v>30</v>
      </c>
      <c r="R878" s="18" t="s">
        <v>814</v>
      </c>
      <c r="S878" s="18" t="s">
        <v>812</v>
      </c>
      <c r="T878" s="18" t="s">
        <v>781</v>
      </c>
      <c r="U8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78" s="19">
        <f>IF(AUDITORIA[[#This Row],[CAT]]="",0,1)</f>
        <v>1</v>
      </c>
      <c r="W878" s="20">
        <v>46163</v>
      </c>
      <c r="X878" s="21" t="str">
        <f>UPPER(IF(AUDITORIA[[#This Row],[DATA VERIFICAÇÃO]]="","",TEXT(AUDITORIA[[#This Row],[DATA VERIFICAÇÃO]],"mmm")))</f>
        <v>MAI</v>
      </c>
      <c r="Y878" t="s">
        <v>598</v>
      </c>
      <c r="Z878" t="s">
        <v>831</v>
      </c>
      <c r="AA878" t="s">
        <v>832</v>
      </c>
    </row>
    <row r="879" spans="1:27" ht="14.4" hidden="1" customHeight="1" x14ac:dyDescent="0.3">
      <c r="A879" s="4" t="s">
        <v>0</v>
      </c>
      <c r="B879" s="4" t="s">
        <v>17</v>
      </c>
      <c r="C879" s="16" t="s">
        <v>18</v>
      </c>
      <c r="D879" s="4">
        <v>10</v>
      </c>
      <c r="E879" s="4" t="s">
        <v>745</v>
      </c>
      <c r="F879" t="s">
        <v>629</v>
      </c>
      <c r="G879" t="s">
        <v>625</v>
      </c>
      <c r="J879" s="4" t="s">
        <v>31</v>
      </c>
      <c r="K879" s="4" t="s">
        <v>21</v>
      </c>
      <c r="L879" s="4" t="s">
        <v>742</v>
      </c>
      <c r="M879" s="17">
        <v>30</v>
      </c>
      <c r="N879" s="17">
        <v>717</v>
      </c>
      <c r="O879" s="18" t="s">
        <v>31</v>
      </c>
      <c r="P879" s="18">
        <v>717</v>
      </c>
      <c r="Q879" s="18">
        <v>30</v>
      </c>
      <c r="R879" s="18" t="s">
        <v>814</v>
      </c>
      <c r="S879" s="18" t="s">
        <v>812</v>
      </c>
      <c r="T879" s="18" t="s">
        <v>782</v>
      </c>
      <c r="U8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79" s="19">
        <f>IF(AUDITORIA[[#This Row],[CAT]]="",0,1)</f>
        <v>1</v>
      </c>
      <c r="W879" s="20">
        <v>46163</v>
      </c>
      <c r="X879" s="21" t="str">
        <f>UPPER(IF(AUDITORIA[[#This Row],[DATA VERIFICAÇÃO]]="","",TEXT(AUDITORIA[[#This Row],[DATA VERIFICAÇÃO]],"mmm")))</f>
        <v>MAI</v>
      </c>
      <c r="Y879" t="s">
        <v>598</v>
      </c>
      <c r="Z879" t="s">
        <v>831</v>
      </c>
      <c r="AA879" t="s">
        <v>832</v>
      </c>
    </row>
    <row r="880" spans="1:27" ht="14.4" hidden="1" customHeight="1" x14ac:dyDescent="0.3">
      <c r="A880" s="4" t="s">
        <v>0</v>
      </c>
      <c r="B880" s="4" t="s">
        <v>17</v>
      </c>
      <c r="C880" s="16" t="s">
        <v>18</v>
      </c>
      <c r="D880" s="4">
        <v>10</v>
      </c>
      <c r="E880" s="4" t="s">
        <v>745</v>
      </c>
      <c r="F880" t="s">
        <v>628</v>
      </c>
      <c r="G880" t="s">
        <v>625</v>
      </c>
      <c r="J880" s="4" t="s">
        <v>31</v>
      </c>
      <c r="K880" s="4" t="s">
        <v>21</v>
      </c>
      <c r="L880" s="4" t="s">
        <v>742</v>
      </c>
      <c r="M880" s="17">
        <v>30</v>
      </c>
      <c r="N880" s="17">
        <v>725</v>
      </c>
      <c r="O880" s="18" t="s">
        <v>31</v>
      </c>
      <c r="P880" s="18">
        <v>725</v>
      </c>
      <c r="Q880" s="18">
        <v>30</v>
      </c>
      <c r="R880" s="18" t="s">
        <v>814</v>
      </c>
      <c r="S880" s="18" t="s">
        <v>812</v>
      </c>
      <c r="T880" s="18" t="s">
        <v>780</v>
      </c>
      <c r="U8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80" s="19">
        <f>IF(AUDITORIA[[#This Row],[CAT]]="",0,1)</f>
        <v>1</v>
      </c>
      <c r="W880" s="20">
        <v>46163</v>
      </c>
      <c r="X880" s="21" t="str">
        <f>UPPER(IF(AUDITORIA[[#This Row],[DATA VERIFICAÇÃO]]="","",TEXT(AUDITORIA[[#This Row],[DATA VERIFICAÇÃO]],"mmm")))</f>
        <v>MAI</v>
      </c>
      <c r="Y880" t="s">
        <v>598</v>
      </c>
      <c r="Z880" t="s">
        <v>831</v>
      </c>
      <c r="AA880" t="s">
        <v>832</v>
      </c>
    </row>
    <row r="881" spans="1:27" ht="14.4" hidden="1" customHeight="1" x14ac:dyDescent="0.3">
      <c r="A881" s="4" t="s">
        <v>0</v>
      </c>
      <c r="B881" s="4" t="s">
        <v>17</v>
      </c>
      <c r="C881" s="16" t="s">
        <v>18</v>
      </c>
      <c r="D881" s="4">
        <v>10</v>
      </c>
      <c r="E881" s="4" t="s">
        <v>745</v>
      </c>
      <c r="F881" t="s">
        <v>624</v>
      </c>
      <c r="G881" t="s">
        <v>625</v>
      </c>
      <c r="J881" s="4" t="s">
        <v>31</v>
      </c>
      <c r="K881" s="4" t="s">
        <v>21</v>
      </c>
      <c r="L881" s="4" t="s">
        <v>742</v>
      </c>
      <c r="M881" s="17">
        <v>18</v>
      </c>
      <c r="N881" s="17">
        <v>723</v>
      </c>
      <c r="O881" s="18" t="s">
        <v>31</v>
      </c>
      <c r="P881" s="18">
        <v>723</v>
      </c>
      <c r="Q881" s="18">
        <v>18</v>
      </c>
      <c r="R881" s="18" t="s">
        <v>814</v>
      </c>
      <c r="S881" s="18" t="s">
        <v>818</v>
      </c>
      <c r="T881" s="18" t="s">
        <v>819</v>
      </c>
      <c r="U8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81" s="19">
        <f>IF(AUDITORIA[[#This Row],[CAT]]="",0,1)</f>
        <v>1</v>
      </c>
      <c r="W881" s="20">
        <v>46163</v>
      </c>
      <c r="X881" s="21" t="str">
        <f>UPPER(IF(AUDITORIA[[#This Row],[DATA VERIFICAÇÃO]]="","",TEXT(AUDITORIA[[#This Row],[DATA VERIFICAÇÃO]],"mmm")))</f>
        <v>MAI</v>
      </c>
      <c r="Y881" t="s">
        <v>598</v>
      </c>
      <c r="Z881" t="s">
        <v>831</v>
      </c>
      <c r="AA881" t="s">
        <v>832</v>
      </c>
    </row>
    <row r="882" spans="1:27" ht="14.4" hidden="1" customHeight="1" x14ac:dyDescent="0.3">
      <c r="A882" s="4" t="s">
        <v>0</v>
      </c>
      <c r="B882" s="4" t="s">
        <v>17</v>
      </c>
      <c r="C882" s="16" t="s">
        <v>18</v>
      </c>
      <c r="D882" s="4">
        <v>10</v>
      </c>
      <c r="E882" s="4" t="s">
        <v>745</v>
      </c>
      <c r="F882" t="s">
        <v>83</v>
      </c>
      <c r="G882" t="s">
        <v>66</v>
      </c>
      <c r="J882" s="4" t="s">
        <v>55</v>
      </c>
      <c r="K882" s="4" t="s">
        <v>20</v>
      </c>
      <c r="L882" s="4" t="s">
        <v>742</v>
      </c>
      <c r="M882" s="17">
        <v>30</v>
      </c>
      <c r="N882" s="17">
        <v>765</v>
      </c>
      <c r="O882" s="18" t="s">
        <v>55</v>
      </c>
      <c r="P882" s="18">
        <v>765</v>
      </c>
      <c r="Q882" s="18">
        <v>30</v>
      </c>
      <c r="R882" s="18" t="s">
        <v>814</v>
      </c>
      <c r="S882" s="18" t="s">
        <v>807</v>
      </c>
      <c r="T882" s="18" t="s">
        <v>780</v>
      </c>
      <c r="U8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82" s="19">
        <f>IF(AUDITORIA[[#This Row],[CAT]]="",0,1)</f>
        <v>1</v>
      </c>
      <c r="W882" s="20">
        <v>46163</v>
      </c>
      <c r="X882" s="21" t="str">
        <f>UPPER(IF(AUDITORIA[[#This Row],[DATA VERIFICAÇÃO]]="","",TEXT(AUDITORIA[[#This Row],[DATA VERIFICAÇÃO]],"mmm")))</f>
        <v>MAI</v>
      </c>
      <c r="Y882" t="s">
        <v>598</v>
      </c>
      <c r="Z882" t="s">
        <v>831</v>
      </c>
      <c r="AA882" t="s">
        <v>832</v>
      </c>
    </row>
    <row r="883" spans="1:27" ht="14.4" hidden="1" customHeight="1" x14ac:dyDescent="0.3">
      <c r="A883" s="4" t="s">
        <v>0</v>
      </c>
      <c r="B883" s="4" t="s">
        <v>17</v>
      </c>
      <c r="C883" s="16" t="s">
        <v>18</v>
      </c>
      <c r="D883" s="4">
        <v>10</v>
      </c>
      <c r="E883" s="4" t="s">
        <v>745</v>
      </c>
      <c r="F883" t="s">
        <v>81</v>
      </c>
      <c r="G883" t="s">
        <v>66</v>
      </c>
      <c r="J883" s="4" t="s">
        <v>55</v>
      </c>
      <c r="K883" s="4" t="s">
        <v>20</v>
      </c>
      <c r="L883" s="4" t="s">
        <v>742</v>
      </c>
      <c r="M883" s="17">
        <v>30</v>
      </c>
      <c r="N883" s="17">
        <v>771</v>
      </c>
      <c r="O883" s="18" t="s">
        <v>55</v>
      </c>
      <c r="P883" s="18">
        <v>771</v>
      </c>
      <c r="Q883" s="18">
        <v>30</v>
      </c>
      <c r="R883" s="18" t="s">
        <v>814</v>
      </c>
      <c r="S883" s="18" t="s">
        <v>807</v>
      </c>
      <c r="T883" s="18" t="s">
        <v>781</v>
      </c>
      <c r="U8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83" s="19">
        <f>IF(AUDITORIA[[#This Row],[CAT]]="",0,1)</f>
        <v>1</v>
      </c>
      <c r="W883" s="20">
        <v>46163</v>
      </c>
      <c r="X883" s="21" t="str">
        <f>UPPER(IF(AUDITORIA[[#This Row],[DATA VERIFICAÇÃO]]="","",TEXT(AUDITORIA[[#This Row],[DATA VERIFICAÇÃO]],"mmm")))</f>
        <v>MAI</v>
      </c>
      <c r="Y883" t="s">
        <v>598</v>
      </c>
      <c r="Z883" t="s">
        <v>831</v>
      </c>
      <c r="AA883" t="s">
        <v>832</v>
      </c>
    </row>
    <row r="884" spans="1:27" ht="14.4" hidden="1" customHeight="1" x14ac:dyDescent="0.3">
      <c r="A884" s="4" t="s">
        <v>0</v>
      </c>
      <c r="B884" s="4" t="s">
        <v>17</v>
      </c>
      <c r="C884" s="16" t="s">
        <v>18</v>
      </c>
      <c r="D884" s="4">
        <v>10</v>
      </c>
      <c r="E884" s="4" t="s">
        <v>745</v>
      </c>
      <c r="F884" t="s">
        <v>80</v>
      </c>
      <c r="G884" t="s">
        <v>66</v>
      </c>
      <c r="J884" s="4" t="s">
        <v>55</v>
      </c>
      <c r="K884" s="4" t="s">
        <v>20</v>
      </c>
      <c r="L884" s="4" t="s">
        <v>742</v>
      </c>
      <c r="M884" s="17">
        <v>30</v>
      </c>
      <c r="N884" s="17">
        <v>780</v>
      </c>
      <c r="O884" s="18" t="s">
        <v>55</v>
      </c>
      <c r="P884" s="18">
        <v>780</v>
      </c>
      <c r="Q884" s="18">
        <v>30</v>
      </c>
      <c r="R884" s="18" t="s">
        <v>814</v>
      </c>
      <c r="S884" s="18" t="s">
        <v>806</v>
      </c>
      <c r="T884" s="18" t="s">
        <v>782</v>
      </c>
      <c r="U8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84" s="19">
        <f>IF(AUDITORIA[[#This Row],[CAT]]="",0,1)</f>
        <v>1</v>
      </c>
      <c r="W884" s="20">
        <v>46163</v>
      </c>
      <c r="X884" s="21" t="str">
        <f>UPPER(IF(AUDITORIA[[#This Row],[DATA VERIFICAÇÃO]]="","",TEXT(AUDITORIA[[#This Row],[DATA VERIFICAÇÃO]],"mmm")))</f>
        <v>MAI</v>
      </c>
      <c r="Y884" t="s">
        <v>598</v>
      </c>
      <c r="Z884" t="s">
        <v>831</v>
      </c>
      <c r="AA884" t="s">
        <v>832</v>
      </c>
    </row>
    <row r="885" spans="1:27" ht="14.4" hidden="1" customHeight="1" x14ac:dyDescent="0.3">
      <c r="A885" s="4" t="s">
        <v>0</v>
      </c>
      <c r="B885" s="4" t="s">
        <v>17</v>
      </c>
      <c r="C885" s="16" t="s">
        <v>18</v>
      </c>
      <c r="D885" s="4">
        <v>10</v>
      </c>
      <c r="E885" s="4" t="s">
        <v>745</v>
      </c>
      <c r="F885" t="s">
        <v>78</v>
      </c>
      <c r="G885" t="s">
        <v>66</v>
      </c>
      <c r="J885" s="4" t="s">
        <v>55</v>
      </c>
      <c r="K885" s="4" t="s">
        <v>20</v>
      </c>
      <c r="L885" s="4" t="s">
        <v>742</v>
      </c>
      <c r="M885" s="17">
        <v>10</v>
      </c>
      <c r="N885" s="17">
        <v>767</v>
      </c>
      <c r="O885" s="18" t="s">
        <v>55</v>
      </c>
      <c r="P885" s="18">
        <v>767</v>
      </c>
      <c r="Q885" s="18">
        <v>10</v>
      </c>
      <c r="R885" s="18" t="s">
        <v>814</v>
      </c>
      <c r="S885" s="18" t="s">
        <v>818</v>
      </c>
      <c r="T885" s="18" t="s">
        <v>819</v>
      </c>
      <c r="U8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85" s="19">
        <f>IF(AUDITORIA[[#This Row],[CAT]]="",0,1)</f>
        <v>1</v>
      </c>
      <c r="W885" s="20">
        <v>46163</v>
      </c>
      <c r="X885" s="21" t="str">
        <f>UPPER(IF(AUDITORIA[[#This Row],[DATA VERIFICAÇÃO]]="","",TEXT(AUDITORIA[[#This Row],[DATA VERIFICAÇÃO]],"mmm")))</f>
        <v>MAI</v>
      </c>
      <c r="Y885" t="s">
        <v>598</v>
      </c>
      <c r="Z885" t="s">
        <v>831</v>
      </c>
      <c r="AA885" t="s">
        <v>832</v>
      </c>
    </row>
    <row r="886" spans="1:27" ht="14.4" hidden="1" customHeight="1" x14ac:dyDescent="0.3">
      <c r="A886" s="4" t="s">
        <v>0</v>
      </c>
      <c r="B886" s="4" t="s">
        <v>17</v>
      </c>
      <c r="C886" s="16" t="s">
        <v>18</v>
      </c>
      <c r="D886" s="4">
        <v>10</v>
      </c>
      <c r="E886" s="4" t="s">
        <v>745</v>
      </c>
      <c r="F886" t="s">
        <v>76</v>
      </c>
      <c r="G886" t="s">
        <v>66</v>
      </c>
      <c r="J886" s="4" t="s">
        <v>55</v>
      </c>
      <c r="K886" s="4" t="s">
        <v>20</v>
      </c>
      <c r="L886" s="4" t="s">
        <v>742</v>
      </c>
      <c r="M886" s="17">
        <v>30</v>
      </c>
      <c r="N886" s="17">
        <v>695</v>
      </c>
      <c r="O886" s="18" t="s">
        <v>55</v>
      </c>
      <c r="P886" s="18">
        <v>695</v>
      </c>
      <c r="Q886" s="18">
        <v>30</v>
      </c>
      <c r="R886" s="18" t="s">
        <v>814</v>
      </c>
      <c r="S886" s="18" t="s">
        <v>807</v>
      </c>
      <c r="T886" s="18" t="s">
        <v>782</v>
      </c>
      <c r="U8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86" s="19">
        <f>IF(AUDITORIA[[#This Row],[CAT]]="",0,1)</f>
        <v>1</v>
      </c>
      <c r="W886" s="20">
        <v>46163</v>
      </c>
      <c r="X886" s="21" t="str">
        <f>UPPER(IF(AUDITORIA[[#This Row],[DATA VERIFICAÇÃO]]="","",TEXT(AUDITORIA[[#This Row],[DATA VERIFICAÇÃO]],"mmm")))</f>
        <v>MAI</v>
      </c>
      <c r="Y886" t="s">
        <v>598</v>
      </c>
      <c r="Z886" t="s">
        <v>831</v>
      </c>
      <c r="AA886" t="s">
        <v>832</v>
      </c>
    </row>
    <row r="887" spans="1:27" ht="14.4" hidden="1" customHeight="1" x14ac:dyDescent="0.3">
      <c r="A887" s="4" t="s">
        <v>0</v>
      </c>
      <c r="B887" s="4" t="s">
        <v>17</v>
      </c>
      <c r="C887" s="16" t="s">
        <v>18</v>
      </c>
      <c r="D887" s="4">
        <v>10</v>
      </c>
      <c r="E887" s="4" t="s">
        <v>745</v>
      </c>
      <c r="F887" t="s">
        <v>71</v>
      </c>
      <c r="G887" t="s">
        <v>66</v>
      </c>
      <c r="J887" s="4" t="s">
        <v>55</v>
      </c>
      <c r="K887" s="4" t="s">
        <v>20</v>
      </c>
      <c r="L887" s="4" t="s">
        <v>742</v>
      </c>
      <c r="M887" s="17">
        <v>30</v>
      </c>
      <c r="N887" s="17">
        <v>694</v>
      </c>
      <c r="O887" s="18" t="s">
        <v>55</v>
      </c>
      <c r="P887" s="18">
        <v>694</v>
      </c>
      <c r="Q887" s="18">
        <v>30</v>
      </c>
      <c r="R887" s="18" t="s">
        <v>814</v>
      </c>
      <c r="S887" s="18" t="s">
        <v>804</v>
      </c>
      <c r="T887" s="18" t="s">
        <v>781</v>
      </c>
      <c r="U8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87" s="19">
        <f>IF(AUDITORIA[[#This Row],[CAT]]="",0,1)</f>
        <v>1</v>
      </c>
      <c r="W887" s="20">
        <v>46163</v>
      </c>
      <c r="X887" s="21" t="str">
        <f>UPPER(IF(AUDITORIA[[#This Row],[DATA VERIFICAÇÃO]]="","",TEXT(AUDITORIA[[#This Row],[DATA VERIFICAÇÃO]],"mmm")))</f>
        <v>MAI</v>
      </c>
      <c r="Y887" t="s">
        <v>598</v>
      </c>
      <c r="Z887" t="s">
        <v>831</v>
      </c>
      <c r="AA887" t="s">
        <v>832</v>
      </c>
    </row>
    <row r="888" spans="1:27" ht="14.4" hidden="1" customHeight="1" x14ac:dyDescent="0.3">
      <c r="A888" s="4" t="s">
        <v>0</v>
      </c>
      <c r="B888" s="4" t="s">
        <v>17</v>
      </c>
      <c r="C888" s="16" t="s">
        <v>18</v>
      </c>
      <c r="D888" s="4">
        <v>10</v>
      </c>
      <c r="E888" s="4" t="s">
        <v>745</v>
      </c>
      <c r="F888" t="s">
        <v>65</v>
      </c>
      <c r="G888" t="s">
        <v>66</v>
      </c>
      <c r="J888" s="4" t="s">
        <v>55</v>
      </c>
      <c r="K888" s="4" t="s">
        <v>20</v>
      </c>
      <c r="L888" s="4" t="s">
        <v>742</v>
      </c>
      <c r="M888" s="17">
        <v>30</v>
      </c>
      <c r="N888" s="17">
        <v>696</v>
      </c>
      <c r="O888" s="18" t="s">
        <v>55</v>
      </c>
      <c r="P888" s="18">
        <v>696</v>
      </c>
      <c r="Q888" s="18">
        <v>30</v>
      </c>
      <c r="R888" s="18" t="s">
        <v>814</v>
      </c>
      <c r="S888" s="18" t="s">
        <v>804</v>
      </c>
      <c r="T888" s="18" t="s">
        <v>780</v>
      </c>
      <c r="U8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88" s="19">
        <f>IF(AUDITORIA[[#This Row],[CAT]]="",0,1)</f>
        <v>1</v>
      </c>
      <c r="W888" s="20">
        <v>46163</v>
      </c>
      <c r="X888" s="21" t="str">
        <f>UPPER(IF(AUDITORIA[[#This Row],[DATA VERIFICAÇÃO]]="","",TEXT(AUDITORIA[[#This Row],[DATA VERIFICAÇÃO]],"mmm")))</f>
        <v>MAI</v>
      </c>
      <c r="Y888" t="s">
        <v>598</v>
      </c>
      <c r="Z888" t="s">
        <v>831</v>
      </c>
      <c r="AA888" t="s">
        <v>832</v>
      </c>
    </row>
    <row r="889" spans="1:27" ht="14.4" hidden="1" customHeight="1" x14ac:dyDescent="0.3">
      <c r="A889" s="4" t="s">
        <v>0</v>
      </c>
      <c r="B889" s="4" t="s">
        <v>17</v>
      </c>
      <c r="C889" s="16" t="s">
        <v>18</v>
      </c>
      <c r="D889" s="4">
        <v>10</v>
      </c>
      <c r="E889" s="4" t="s">
        <v>745</v>
      </c>
      <c r="F889" t="s">
        <v>687</v>
      </c>
      <c r="G889" t="s">
        <v>66</v>
      </c>
      <c r="J889" s="4" t="s">
        <v>55</v>
      </c>
      <c r="K889" s="4" t="s">
        <v>20</v>
      </c>
      <c r="L889" s="4" t="s">
        <v>742</v>
      </c>
      <c r="M889" s="17">
        <v>30</v>
      </c>
      <c r="N889" s="17">
        <v>711</v>
      </c>
      <c r="O889" s="18" t="s">
        <v>55</v>
      </c>
      <c r="P889" s="18">
        <v>711</v>
      </c>
      <c r="Q889" s="18">
        <v>30</v>
      </c>
      <c r="R889" s="18" t="s">
        <v>814</v>
      </c>
      <c r="S889" s="18" t="s">
        <v>816</v>
      </c>
      <c r="T889" s="18" t="s">
        <v>780</v>
      </c>
      <c r="U8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89" s="19">
        <f>IF(AUDITORIA[[#This Row],[CAT]]="",0,1)</f>
        <v>1</v>
      </c>
      <c r="W889" s="20">
        <v>46163</v>
      </c>
      <c r="X889" s="21" t="str">
        <f>UPPER(IF(AUDITORIA[[#This Row],[DATA VERIFICAÇÃO]]="","",TEXT(AUDITORIA[[#This Row],[DATA VERIFICAÇÃO]],"mmm")))</f>
        <v>MAI</v>
      </c>
      <c r="Y889" t="s">
        <v>598</v>
      </c>
      <c r="Z889" t="s">
        <v>831</v>
      </c>
      <c r="AA889" t="s">
        <v>832</v>
      </c>
    </row>
    <row r="890" spans="1:27" ht="14.4" hidden="1" customHeight="1" x14ac:dyDescent="0.3">
      <c r="A890" s="4" t="s">
        <v>0</v>
      </c>
      <c r="B890" s="4" t="s">
        <v>17</v>
      </c>
      <c r="C890" s="16" t="s">
        <v>18</v>
      </c>
      <c r="D890" s="4">
        <v>10</v>
      </c>
      <c r="E890" s="4" t="s">
        <v>745</v>
      </c>
      <c r="F890" t="s">
        <v>685</v>
      </c>
      <c r="G890" t="s">
        <v>66</v>
      </c>
      <c r="J890" s="4" t="s">
        <v>55</v>
      </c>
      <c r="K890" s="4" t="s">
        <v>20</v>
      </c>
      <c r="L890" s="4" t="s">
        <v>742</v>
      </c>
      <c r="M890" s="17">
        <v>30</v>
      </c>
      <c r="N890" s="17">
        <v>706</v>
      </c>
      <c r="O890" s="18" t="s">
        <v>55</v>
      </c>
      <c r="P890" s="18">
        <v>706</v>
      </c>
      <c r="Q890" s="18">
        <v>30</v>
      </c>
      <c r="R890" s="18" t="s">
        <v>814</v>
      </c>
      <c r="S890" s="18" t="s">
        <v>816</v>
      </c>
      <c r="T890" s="18" t="s">
        <v>781</v>
      </c>
      <c r="U8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90" s="19">
        <f>IF(AUDITORIA[[#This Row],[CAT]]="",0,1)</f>
        <v>1</v>
      </c>
      <c r="W890" s="20">
        <v>46163</v>
      </c>
      <c r="X890" s="21" t="str">
        <f>UPPER(IF(AUDITORIA[[#This Row],[DATA VERIFICAÇÃO]]="","",TEXT(AUDITORIA[[#This Row],[DATA VERIFICAÇÃO]],"mmm")))</f>
        <v>MAI</v>
      </c>
      <c r="Y890" t="s">
        <v>598</v>
      </c>
      <c r="Z890" t="s">
        <v>831</v>
      </c>
      <c r="AA890" t="s">
        <v>832</v>
      </c>
    </row>
    <row r="891" spans="1:27" ht="14.4" hidden="1" customHeight="1" x14ac:dyDescent="0.3">
      <c r="A891" s="4" t="s">
        <v>0</v>
      </c>
      <c r="B891" s="4" t="s">
        <v>17</v>
      </c>
      <c r="C891" s="16" t="s">
        <v>18</v>
      </c>
      <c r="D891" s="4">
        <v>10</v>
      </c>
      <c r="E891" s="4" t="s">
        <v>745</v>
      </c>
      <c r="F891" t="s">
        <v>683</v>
      </c>
      <c r="G891" t="s">
        <v>66</v>
      </c>
      <c r="J891" s="4" t="s">
        <v>55</v>
      </c>
      <c r="K891" s="4" t="s">
        <v>20</v>
      </c>
      <c r="L891" s="4" t="s">
        <v>742</v>
      </c>
      <c r="M891" s="17">
        <v>30</v>
      </c>
      <c r="N891" s="17">
        <v>705</v>
      </c>
      <c r="O891" s="18" t="s">
        <v>55</v>
      </c>
      <c r="P891" s="18">
        <v>705</v>
      </c>
      <c r="Q891" s="18">
        <v>30</v>
      </c>
      <c r="R891" s="18" t="s">
        <v>814</v>
      </c>
      <c r="S891" s="18" t="s">
        <v>816</v>
      </c>
      <c r="T891" s="18" t="s">
        <v>782</v>
      </c>
      <c r="U8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91" s="19">
        <f>IF(AUDITORIA[[#This Row],[CAT]]="",0,1)</f>
        <v>1</v>
      </c>
      <c r="W891" s="20">
        <v>46163</v>
      </c>
      <c r="X891" s="21" t="str">
        <f>UPPER(IF(AUDITORIA[[#This Row],[DATA VERIFICAÇÃO]]="","",TEXT(AUDITORIA[[#This Row],[DATA VERIFICAÇÃO]],"mmm")))</f>
        <v>MAI</v>
      </c>
      <c r="Y891" t="s">
        <v>598</v>
      </c>
      <c r="Z891" t="s">
        <v>831</v>
      </c>
      <c r="AA891" t="s">
        <v>832</v>
      </c>
    </row>
    <row r="892" spans="1:27" ht="14.4" hidden="1" customHeight="1" x14ac:dyDescent="0.3">
      <c r="A892" s="4" t="s">
        <v>0</v>
      </c>
      <c r="B892" s="4" t="s">
        <v>17</v>
      </c>
      <c r="C892" s="16" t="s">
        <v>18</v>
      </c>
      <c r="D892" s="4">
        <v>10</v>
      </c>
      <c r="E892" s="4" t="s">
        <v>745</v>
      </c>
      <c r="F892" t="s">
        <v>680</v>
      </c>
      <c r="G892" t="s">
        <v>66</v>
      </c>
      <c r="J892" s="4" t="s">
        <v>55</v>
      </c>
      <c r="K892" s="4" t="s">
        <v>20</v>
      </c>
      <c r="L892" s="4" t="s">
        <v>742</v>
      </c>
      <c r="M892" s="17">
        <v>30</v>
      </c>
      <c r="N892" s="17">
        <v>705</v>
      </c>
      <c r="O892" s="18" t="s">
        <v>55</v>
      </c>
      <c r="P892" s="18">
        <v>705</v>
      </c>
      <c r="Q892" s="18">
        <v>30</v>
      </c>
      <c r="R892" s="18" t="s">
        <v>814</v>
      </c>
      <c r="S892" s="18" t="s">
        <v>816</v>
      </c>
      <c r="T892" s="18" t="s">
        <v>794</v>
      </c>
      <c r="U8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92" s="19">
        <f>IF(AUDITORIA[[#This Row],[CAT]]="",0,1)</f>
        <v>1</v>
      </c>
      <c r="W892" s="20">
        <v>46163</v>
      </c>
      <c r="X892" s="21" t="str">
        <f>UPPER(IF(AUDITORIA[[#This Row],[DATA VERIFICAÇÃO]]="","",TEXT(AUDITORIA[[#This Row],[DATA VERIFICAÇÃO]],"mmm")))</f>
        <v>MAI</v>
      </c>
      <c r="Y892" t="s">
        <v>598</v>
      </c>
      <c r="Z892" t="s">
        <v>831</v>
      </c>
      <c r="AA892" t="s">
        <v>832</v>
      </c>
    </row>
    <row r="893" spans="1:27" ht="14.4" hidden="1" customHeight="1" x14ac:dyDescent="0.3">
      <c r="A893" s="4" t="s">
        <v>0</v>
      </c>
      <c r="B893" s="4" t="s">
        <v>17</v>
      </c>
      <c r="C893" s="16" t="s">
        <v>18</v>
      </c>
      <c r="D893" s="4">
        <v>10</v>
      </c>
      <c r="E893" s="4" t="s">
        <v>745</v>
      </c>
      <c r="F893" t="s">
        <v>677</v>
      </c>
      <c r="G893" t="s">
        <v>66</v>
      </c>
      <c r="J893" s="4" t="s">
        <v>55</v>
      </c>
      <c r="K893" s="4" t="s">
        <v>20</v>
      </c>
      <c r="L893" s="4" t="s">
        <v>742</v>
      </c>
      <c r="M893" s="17">
        <v>30</v>
      </c>
      <c r="N893" s="17">
        <v>711</v>
      </c>
      <c r="O893" s="18" t="s">
        <v>55</v>
      </c>
      <c r="P893" s="18">
        <v>711</v>
      </c>
      <c r="Q893" s="18">
        <v>30</v>
      </c>
      <c r="R893" s="18" t="s">
        <v>814</v>
      </c>
      <c r="S893" s="18" t="s">
        <v>820</v>
      </c>
      <c r="T893" s="18" t="s">
        <v>781</v>
      </c>
      <c r="U8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93" s="19">
        <f>IF(AUDITORIA[[#This Row],[CAT]]="",0,1)</f>
        <v>1</v>
      </c>
      <c r="W893" s="20">
        <v>46163</v>
      </c>
      <c r="X893" s="21" t="str">
        <f>UPPER(IF(AUDITORIA[[#This Row],[DATA VERIFICAÇÃO]]="","",TEXT(AUDITORIA[[#This Row],[DATA VERIFICAÇÃO]],"mmm")))</f>
        <v>MAI</v>
      </c>
      <c r="Y893" t="s">
        <v>598</v>
      </c>
      <c r="Z893" t="s">
        <v>831</v>
      </c>
      <c r="AA893" t="s">
        <v>832</v>
      </c>
    </row>
    <row r="894" spans="1:27" ht="14.4" hidden="1" customHeight="1" x14ac:dyDescent="0.3">
      <c r="A894" s="4" t="s">
        <v>0</v>
      </c>
      <c r="B894" s="4" t="s">
        <v>17</v>
      </c>
      <c r="C894" s="16" t="s">
        <v>18</v>
      </c>
      <c r="D894" s="4">
        <v>10</v>
      </c>
      <c r="E894" s="4" t="s">
        <v>745</v>
      </c>
      <c r="F894" t="s">
        <v>674</v>
      </c>
      <c r="G894" t="s">
        <v>66</v>
      </c>
      <c r="J894" s="4" t="s">
        <v>55</v>
      </c>
      <c r="K894" s="4" t="s">
        <v>20</v>
      </c>
      <c r="L894" s="4" t="s">
        <v>742</v>
      </c>
      <c r="M894" s="17">
        <v>30</v>
      </c>
      <c r="N894" s="17">
        <v>707</v>
      </c>
      <c r="O894" s="18" t="s">
        <v>55</v>
      </c>
      <c r="P894" s="18">
        <v>707</v>
      </c>
      <c r="Q894" s="18">
        <v>30</v>
      </c>
      <c r="R894" s="18" t="s">
        <v>814</v>
      </c>
      <c r="S894" s="18" t="s">
        <v>820</v>
      </c>
      <c r="T894" s="18" t="s">
        <v>780</v>
      </c>
      <c r="U8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94" s="19">
        <f>IF(AUDITORIA[[#This Row],[CAT]]="",0,1)</f>
        <v>1</v>
      </c>
      <c r="W894" s="20">
        <v>46163</v>
      </c>
      <c r="X894" s="21" t="str">
        <f>UPPER(IF(AUDITORIA[[#This Row],[DATA VERIFICAÇÃO]]="","",TEXT(AUDITORIA[[#This Row],[DATA VERIFICAÇÃO]],"mmm")))</f>
        <v>MAI</v>
      </c>
      <c r="Y894" t="s">
        <v>598</v>
      </c>
      <c r="Z894" t="s">
        <v>831</v>
      </c>
      <c r="AA894" t="s">
        <v>832</v>
      </c>
    </row>
    <row r="895" spans="1:27" ht="14.4" hidden="1" customHeight="1" x14ac:dyDescent="0.3">
      <c r="A895" s="4" t="s">
        <v>0</v>
      </c>
      <c r="B895" s="4" t="s">
        <v>17</v>
      </c>
      <c r="C895" s="16" t="s">
        <v>18</v>
      </c>
      <c r="D895" s="4">
        <v>10</v>
      </c>
      <c r="E895" s="4" t="s">
        <v>745</v>
      </c>
      <c r="F895" t="s">
        <v>672</v>
      </c>
      <c r="G895" t="s">
        <v>66</v>
      </c>
      <c r="J895" s="4" t="s">
        <v>55</v>
      </c>
      <c r="K895" s="4" t="s">
        <v>20</v>
      </c>
      <c r="L895" s="4" t="s">
        <v>742</v>
      </c>
      <c r="M895" s="17">
        <v>30</v>
      </c>
      <c r="N895" s="17">
        <v>701</v>
      </c>
      <c r="O895" s="18" t="s">
        <v>55</v>
      </c>
      <c r="P895" s="18">
        <v>701</v>
      </c>
      <c r="Q895" s="18">
        <v>30</v>
      </c>
      <c r="R895" s="18" t="s">
        <v>814</v>
      </c>
      <c r="S895" s="18" t="s">
        <v>820</v>
      </c>
      <c r="T895" s="18" t="s">
        <v>782</v>
      </c>
      <c r="U8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95" s="19">
        <f>IF(AUDITORIA[[#This Row],[CAT]]="",0,1)</f>
        <v>1</v>
      </c>
      <c r="W895" s="20">
        <v>46163</v>
      </c>
      <c r="X895" s="21" t="str">
        <f>UPPER(IF(AUDITORIA[[#This Row],[DATA VERIFICAÇÃO]]="","",TEXT(AUDITORIA[[#This Row],[DATA VERIFICAÇÃO]],"mmm")))</f>
        <v>MAI</v>
      </c>
      <c r="Y895" t="s">
        <v>598</v>
      </c>
      <c r="Z895" t="s">
        <v>831</v>
      </c>
      <c r="AA895" t="s">
        <v>832</v>
      </c>
    </row>
    <row r="896" spans="1:27" ht="14.4" hidden="1" customHeight="1" x14ac:dyDescent="0.3">
      <c r="A896" s="4" t="s">
        <v>0</v>
      </c>
      <c r="B896" s="4" t="s">
        <v>17</v>
      </c>
      <c r="C896" s="16" t="s">
        <v>18</v>
      </c>
      <c r="D896" s="4">
        <v>10</v>
      </c>
      <c r="E896" s="4" t="s">
        <v>745</v>
      </c>
      <c r="F896" t="s">
        <v>669</v>
      </c>
      <c r="G896" t="s">
        <v>66</v>
      </c>
      <c r="J896" s="4" t="s">
        <v>55</v>
      </c>
      <c r="K896" s="4" t="s">
        <v>20</v>
      </c>
      <c r="L896" s="4" t="s">
        <v>742</v>
      </c>
      <c r="M896" s="17">
        <v>30</v>
      </c>
      <c r="N896" s="17">
        <v>700</v>
      </c>
      <c r="O896" s="18" t="s">
        <v>55</v>
      </c>
      <c r="P896" s="18">
        <v>700</v>
      </c>
      <c r="Q896" s="18">
        <v>30</v>
      </c>
      <c r="R896" s="18" t="s">
        <v>814</v>
      </c>
      <c r="S896" s="18" t="s">
        <v>820</v>
      </c>
      <c r="T896" s="18" t="s">
        <v>794</v>
      </c>
      <c r="U8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96" s="19">
        <f>IF(AUDITORIA[[#This Row],[CAT]]="",0,1)</f>
        <v>1</v>
      </c>
      <c r="W896" s="20">
        <v>46163</v>
      </c>
      <c r="X896" s="21" t="str">
        <f>UPPER(IF(AUDITORIA[[#This Row],[DATA VERIFICAÇÃO]]="","",TEXT(AUDITORIA[[#This Row],[DATA VERIFICAÇÃO]],"mmm")))</f>
        <v>MAI</v>
      </c>
      <c r="Y896" t="s">
        <v>598</v>
      </c>
      <c r="Z896" t="s">
        <v>831</v>
      </c>
      <c r="AA896" t="s">
        <v>832</v>
      </c>
    </row>
    <row r="897" spans="1:27" ht="14.4" hidden="1" customHeight="1" x14ac:dyDescent="0.3">
      <c r="A897" s="4" t="s">
        <v>0</v>
      </c>
      <c r="B897" s="4" t="s">
        <v>17</v>
      </c>
      <c r="C897" s="16" t="s">
        <v>18</v>
      </c>
      <c r="D897" s="4">
        <v>10</v>
      </c>
      <c r="E897" s="4" t="s">
        <v>745</v>
      </c>
      <c r="F897" t="s">
        <v>666</v>
      </c>
      <c r="G897" t="s">
        <v>66</v>
      </c>
      <c r="J897" s="4" t="s">
        <v>55</v>
      </c>
      <c r="K897" s="4" t="s">
        <v>20</v>
      </c>
      <c r="L897" s="4" t="s">
        <v>742</v>
      </c>
      <c r="M897" s="17">
        <v>30</v>
      </c>
      <c r="N897" s="17">
        <v>708</v>
      </c>
      <c r="O897" s="18" t="s">
        <v>55</v>
      </c>
      <c r="P897" s="18">
        <v>708</v>
      </c>
      <c r="Q897" s="18">
        <v>30</v>
      </c>
      <c r="R897" s="18" t="s">
        <v>814</v>
      </c>
      <c r="S897" s="18" t="s">
        <v>823</v>
      </c>
      <c r="T897" s="18" t="s">
        <v>794</v>
      </c>
      <c r="U8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97" s="19">
        <f>IF(AUDITORIA[[#This Row],[CAT]]="",0,1)</f>
        <v>1</v>
      </c>
      <c r="W897" s="20">
        <v>46163</v>
      </c>
      <c r="X897" s="21" t="str">
        <f>UPPER(IF(AUDITORIA[[#This Row],[DATA VERIFICAÇÃO]]="","",TEXT(AUDITORIA[[#This Row],[DATA VERIFICAÇÃO]],"mmm")))</f>
        <v>MAI</v>
      </c>
      <c r="Y897" t="s">
        <v>598</v>
      </c>
      <c r="Z897" t="s">
        <v>831</v>
      </c>
      <c r="AA897" t="s">
        <v>832</v>
      </c>
    </row>
    <row r="898" spans="1:27" ht="14.4" hidden="1" customHeight="1" x14ac:dyDescent="0.3">
      <c r="A898" s="4" t="s">
        <v>0</v>
      </c>
      <c r="B898" s="4" t="s">
        <v>17</v>
      </c>
      <c r="C898" s="16" t="s">
        <v>18</v>
      </c>
      <c r="D898" s="4">
        <v>10</v>
      </c>
      <c r="E898" s="4" t="s">
        <v>745</v>
      </c>
      <c r="F898" t="s">
        <v>665</v>
      </c>
      <c r="G898" t="s">
        <v>66</v>
      </c>
      <c r="J898" s="4" t="s">
        <v>55</v>
      </c>
      <c r="K898" s="4" t="s">
        <v>20</v>
      </c>
      <c r="L898" s="4" t="s">
        <v>742</v>
      </c>
      <c r="M898" s="17">
        <v>30</v>
      </c>
      <c r="N898" s="17">
        <v>702</v>
      </c>
      <c r="O898" s="18" t="s">
        <v>55</v>
      </c>
      <c r="P898" s="18">
        <v>702</v>
      </c>
      <c r="Q898" s="18">
        <v>30</v>
      </c>
      <c r="R898" s="18" t="s">
        <v>814</v>
      </c>
      <c r="S898" s="18" t="s">
        <v>823</v>
      </c>
      <c r="T898" s="18" t="s">
        <v>781</v>
      </c>
      <c r="U8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98" s="19">
        <f>IF(AUDITORIA[[#This Row],[CAT]]="",0,1)</f>
        <v>1</v>
      </c>
      <c r="W898" s="20">
        <v>46163</v>
      </c>
      <c r="X898" s="21" t="str">
        <f>UPPER(IF(AUDITORIA[[#This Row],[DATA VERIFICAÇÃO]]="","",TEXT(AUDITORIA[[#This Row],[DATA VERIFICAÇÃO]],"mmm")))</f>
        <v>MAI</v>
      </c>
      <c r="Y898" t="s">
        <v>598</v>
      </c>
      <c r="Z898" t="s">
        <v>831</v>
      </c>
      <c r="AA898" t="s">
        <v>832</v>
      </c>
    </row>
    <row r="899" spans="1:27" ht="14.4" hidden="1" customHeight="1" x14ac:dyDescent="0.3">
      <c r="A899" s="4" t="s">
        <v>0</v>
      </c>
      <c r="B899" s="4" t="s">
        <v>17</v>
      </c>
      <c r="C899" s="16" t="s">
        <v>18</v>
      </c>
      <c r="D899" s="4">
        <v>10</v>
      </c>
      <c r="E899" s="4" t="s">
        <v>745</v>
      </c>
      <c r="F899" t="s">
        <v>662</v>
      </c>
      <c r="G899" t="s">
        <v>66</v>
      </c>
      <c r="J899" s="4" t="s">
        <v>55</v>
      </c>
      <c r="K899" s="4" t="s">
        <v>20</v>
      </c>
      <c r="L899" s="4" t="s">
        <v>742</v>
      </c>
      <c r="M899" s="17">
        <v>30</v>
      </c>
      <c r="N899" s="17">
        <v>692</v>
      </c>
      <c r="O899" s="18" t="s">
        <v>55</v>
      </c>
      <c r="P899" s="18">
        <v>692</v>
      </c>
      <c r="Q899" s="18">
        <v>30</v>
      </c>
      <c r="R899" s="18" t="s">
        <v>814</v>
      </c>
      <c r="S899" s="18" t="s">
        <v>823</v>
      </c>
      <c r="T899" s="18" t="s">
        <v>780</v>
      </c>
      <c r="U8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899" s="19">
        <f>IF(AUDITORIA[[#This Row],[CAT]]="",0,1)</f>
        <v>1</v>
      </c>
      <c r="W899" s="20">
        <v>46163</v>
      </c>
      <c r="X899" s="21" t="str">
        <f>UPPER(IF(AUDITORIA[[#This Row],[DATA VERIFICAÇÃO]]="","",TEXT(AUDITORIA[[#This Row],[DATA VERIFICAÇÃO]],"mmm")))</f>
        <v>MAI</v>
      </c>
      <c r="Y899" t="s">
        <v>598</v>
      </c>
      <c r="Z899" t="s">
        <v>831</v>
      </c>
      <c r="AA899" t="s">
        <v>832</v>
      </c>
    </row>
    <row r="900" spans="1:27" ht="14.4" hidden="1" customHeight="1" x14ac:dyDescent="0.3">
      <c r="A900" s="4" t="s">
        <v>0</v>
      </c>
      <c r="B900" s="4" t="s">
        <v>17</v>
      </c>
      <c r="C900" s="16" t="s">
        <v>18</v>
      </c>
      <c r="D900" s="4">
        <v>10</v>
      </c>
      <c r="E900" s="4" t="s">
        <v>745</v>
      </c>
      <c r="F900" t="s">
        <v>659</v>
      </c>
      <c r="G900" t="s">
        <v>66</v>
      </c>
      <c r="J900" s="4" t="s">
        <v>55</v>
      </c>
      <c r="K900" s="4" t="s">
        <v>20</v>
      </c>
      <c r="L900" s="4" t="s">
        <v>742</v>
      </c>
      <c r="M900" s="17">
        <v>30</v>
      </c>
      <c r="N900" s="17">
        <v>705</v>
      </c>
      <c r="O900" s="18" t="s">
        <v>55</v>
      </c>
      <c r="P900" s="18">
        <v>705</v>
      </c>
      <c r="Q900" s="18">
        <v>30</v>
      </c>
      <c r="R900" s="18" t="s">
        <v>814</v>
      </c>
      <c r="S900" s="18" t="s">
        <v>823</v>
      </c>
      <c r="T900" s="18" t="s">
        <v>782</v>
      </c>
      <c r="U9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00" s="19">
        <f>IF(AUDITORIA[[#This Row],[CAT]]="",0,1)</f>
        <v>1</v>
      </c>
      <c r="W900" s="20">
        <v>46163</v>
      </c>
      <c r="X900" s="21" t="str">
        <f>UPPER(IF(AUDITORIA[[#This Row],[DATA VERIFICAÇÃO]]="","",TEXT(AUDITORIA[[#This Row],[DATA VERIFICAÇÃO]],"mmm")))</f>
        <v>MAI</v>
      </c>
      <c r="Y900" t="s">
        <v>598</v>
      </c>
      <c r="Z900" t="s">
        <v>831</v>
      </c>
      <c r="AA900" t="s">
        <v>832</v>
      </c>
    </row>
    <row r="901" spans="1:27" ht="14.4" hidden="1" customHeight="1" x14ac:dyDescent="0.3">
      <c r="A901" s="4" t="s">
        <v>0</v>
      </c>
      <c r="B901" s="4" t="s">
        <v>17</v>
      </c>
      <c r="C901" s="16" t="s">
        <v>18</v>
      </c>
      <c r="D901" s="4">
        <v>10</v>
      </c>
      <c r="E901" s="4" t="s">
        <v>745</v>
      </c>
      <c r="F901" t="s">
        <v>657</v>
      </c>
      <c r="G901" t="s">
        <v>66</v>
      </c>
      <c r="J901" s="4" t="s">
        <v>55</v>
      </c>
      <c r="K901" s="4" t="s">
        <v>20</v>
      </c>
      <c r="L901" s="4" t="s">
        <v>742</v>
      </c>
      <c r="M901" s="17">
        <v>29</v>
      </c>
      <c r="N901" s="17">
        <v>710</v>
      </c>
      <c r="O901" s="18" t="s">
        <v>55</v>
      </c>
      <c r="P901" s="18">
        <v>710</v>
      </c>
      <c r="Q901" s="18">
        <v>29</v>
      </c>
      <c r="R901" s="18" t="s">
        <v>814</v>
      </c>
      <c r="S901" s="18" t="s">
        <v>810</v>
      </c>
      <c r="T901" s="18" t="s">
        <v>794</v>
      </c>
      <c r="U9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01" s="19">
        <f>IF(AUDITORIA[[#This Row],[CAT]]="",0,1)</f>
        <v>1</v>
      </c>
      <c r="W901" s="20">
        <v>46163</v>
      </c>
      <c r="X901" s="21" t="str">
        <f>UPPER(IF(AUDITORIA[[#This Row],[DATA VERIFICAÇÃO]]="","",TEXT(AUDITORIA[[#This Row],[DATA VERIFICAÇÃO]],"mmm")))</f>
        <v>MAI</v>
      </c>
      <c r="Y901" t="s">
        <v>598</v>
      </c>
      <c r="Z901" t="s">
        <v>831</v>
      </c>
      <c r="AA901" t="s">
        <v>832</v>
      </c>
    </row>
    <row r="902" spans="1:27" ht="14.4" hidden="1" customHeight="1" x14ac:dyDescent="0.3">
      <c r="A902" s="4" t="s">
        <v>0</v>
      </c>
      <c r="B902" s="4" t="s">
        <v>17</v>
      </c>
      <c r="C902" s="16" t="s">
        <v>18</v>
      </c>
      <c r="D902" s="4">
        <v>10</v>
      </c>
      <c r="E902" s="4" t="s">
        <v>745</v>
      </c>
      <c r="F902" t="s">
        <v>621</v>
      </c>
      <c r="G902" t="s">
        <v>66</v>
      </c>
      <c r="J902" s="4" t="s">
        <v>55</v>
      </c>
      <c r="K902" s="4" t="s">
        <v>20</v>
      </c>
      <c r="L902" s="4" t="s">
        <v>742</v>
      </c>
      <c r="M902" s="17">
        <v>30</v>
      </c>
      <c r="N902" s="17">
        <v>702</v>
      </c>
      <c r="O902" s="18" t="s">
        <v>55</v>
      </c>
      <c r="P902" s="18">
        <v>702</v>
      </c>
      <c r="Q902" s="18">
        <v>30</v>
      </c>
      <c r="R902" s="18" t="s">
        <v>814</v>
      </c>
      <c r="S902" s="18" t="s">
        <v>812</v>
      </c>
      <c r="T902" s="18" t="s">
        <v>794</v>
      </c>
      <c r="U9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02" s="19">
        <f>IF(AUDITORIA[[#This Row],[CAT]]="",0,1)</f>
        <v>1</v>
      </c>
      <c r="W902" s="20">
        <v>46163</v>
      </c>
      <c r="X902" s="21" t="str">
        <f>UPPER(IF(AUDITORIA[[#This Row],[DATA VERIFICAÇÃO]]="","",TEXT(AUDITORIA[[#This Row],[DATA VERIFICAÇÃO]],"mmm")))</f>
        <v>MAI</v>
      </c>
      <c r="Y902" t="s">
        <v>598</v>
      </c>
      <c r="Z902" t="s">
        <v>831</v>
      </c>
      <c r="AA902" t="s">
        <v>832</v>
      </c>
    </row>
    <row r="903" spans="1:27" ht="14.4" hidden="1" customHeight="1" x14ac:dyDescent="0.3">
      <c r="A903" s="4" t="s">
        <v>0</v>
      </c>
      <c r="B903" s="4" t="s">
        <v>17</v>
      </c>
      <c r="C903" s="16" t="s">
        <v>18</v>
      </c>
      <c r="D903" s="4">
        <v>10</v>
      </c>
      <c r="E903" s="4" t="s">
        <v>745</v>
      </c>
      <c r="F903" t="s">
        <v>619</v>
      </c>
      <c r="G903" t="s">
        <v>66</v>
      </c>
      <c r="J903" s="4" t="s">
        <v>55</v>
      </c>
      <c r="K903" s="4" t="s">
        <v>20</v>
      </c>
      <c r="L903" s="4" t="s">
        <v>742</v>
      </c>
      <c r="M903" s="17">
        <v>8</v>
      </c>
      <c r="N903" s="17">
        <v>715</v>
      </c>
      <c r="O903" s="18" t="s">
        <v>55</v>
      </c>
      <c r="P903" s="18">
        <v>715</v>
      </c>
      <c r="Q903" s="18">
        <v>8</v>
      </c>
      <c r="R903" s="18" t="s">
        <v>814</v>
      </c>
      <c r="S903" s="18" t="s">
        <v>818</v>
      </c>
      <c r="T903" s="18" t="s">
        <v>819</v>
      </c>
      <c r="U9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03" s="19">
        <f>IF(AUDITORIA[[#This Row],[CAT]]="",0,1)</f>
        <v>1</v>
      </c>
      <c r="W903" s="20">
        <v>46163</v>
      </c>
      <c r="X903" s="21" t="str">
        <f>UPPER(IF(AUDITORIA[[#This Row],[DATA VERIFICAÇÃO]]="","",TEXT(AUDITORIA[[#This Row],[DATA VERIFICAÇÃO]],"mmm")))</f>
        <v>MAI</v>
      </c>
      <c r="Y903" t="s">
        <v>598</v>
      </c>
      <c r="Z903" t="s">
        <v>831</v>
      </c>
      <c r="AA903" t="s">
        <v>832</v>
      </c>
    </row>
    <row r="904" spans="1:27" ht="14.4" hidden="1" customHeight="1" x14ac:dyDescent="0.3">
      <c r="A904" s="4" t="s">
        <v>0</v>
      </c>
      <c r="B904" s="4" t="s">
        <v>17</v>
      </c>
      <c r="C904" s="16" t="s">
        <v>18</v>
      </c>
      <c r="D904" s="4">
        <v>10</v>
      </c>
      <c r="E904" s="4" t="s">
        <v>745</v>
      </c>
      <c r="F904" t="s">
        <v>82</v>
      </c>
      <c r="G904" t="s">
        <v>66</v>
      </c>
      <c r="J904" s="4" t="s">
        <v>55</v>
      </c>
      <c r="K904" s="4" t="s">
        <v>21</v>
      </c>
      <c r="L904" s="4" t="s">
        <v>742</v>
      </c>
      <c r="M904" s="17">
        <v>27</v>
      </c>
      <c r="N904" s="17">
        <v>954</v>
      </c>
      <c r="O904" s="18" t="s">
        <v>55</v>
      </c>
      <c r="P904" s="18">
        <v>954</v>
      </c>
      <c r="Q904" s="18">
        <v>27</v>
      </c>
      <c r="R904" s="18" t="s">
        <v>814</v>
      </c>
      <c r="S904" s="18" t="s">
        <v>808</v>
      </c>
      <c r="T904" s="18" t="s">
        <v>782</v>
      </c>
      <c r="U9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04" s="19">
        <f>IF(AUDITORIA[[#This Row],[CAT]]="",0,1)</f>
        <v>1</v>
      </c>
      <c r="W904" s="20">
        <v>46163</v>
      </c>
      <c r="X904" s="21" t="str">
        <f>UPPER(IF(AUDITORIA[[#This Row],[DATA VERIFICAÇÃO]]="","",TEXT(AUDITORIA[[#This Row],[DATA VERIFICAÇÃO]],"mmm")))</f>
        <v>MAI</v>
      </c>
      <c r="Y904" t="s">
        <v>598</v>
      </c>
      <c r="Z904" t="s">
        <v>831</v>
      </c>
      <c r="AA904" t="s">
        <v>832</v>
      </c>
    </row>
    <row r="905" spans="1:27" ht="14.4" hidden="1" customHeight="1" x14ac:dyDescent="0.3">
      <c r="A905" s="4" t="s">
        <v>0</v>
      </c>
      <c r="B905" s="4" t="s">
        <v>17</v>
      </c>
      <c r="C905" s="16" t="s">
        <v>18</v>
      </c>
      <c r="D905" s="4">
        <v>10</v>
      </c>
      <c r="E905" s="4" t="s">
        <v>745</v>
      </c>
      <c r="F905" t="s">
        <v>79</v>
      </c>
      <c r="G905" t="s">
        <v>66</v>
      </c>
      <c r="J905" s="4" t="s">
        <v>55</v>
      </c>
      <c r="K905" s="4" t="s">
        <v>21</v>
      </c>
      <c r="L905" s="4" t="s">
        <v>742</v>
      </c>
      <c r="M905" s="17">
        <v>27</v>
      </c>
      <c r="N905" s="17">
        <v>972</v>
      </c>
      <c r="O905" s="18" t="s">
        <v>55</v>
      </c>
      <c r="P905" s="18">
        <v>972</v>
      </c>
      <c r="Q905" s="18">
        <v>27</v>
      </c>
      <c r="R905" s="18" t="s">
        <v>814</v>
      </c>
      <c r="S905" s="18" t="s">
        <v>808</v>
      </c>
      <c r="T905" s="18" t="s">
        <v>780</v>
      </c>
      <c r="U9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05" s="19">
        <f>IF(AUDITORIA[[#This Row],[CAT]]="",0,1)</f>
        <v>1</v>
      </c>
      <c r="W905" s="20">
        <v>46163</v>
      </c>
      <c r="X905" s="21" t="str">
        <f>UPPER(IF(AUDITORIA[[#This Row],[DATA VERIFICAÇÃO]]="","",TEXT(AUDITORIA[[#This Row],[DATA VERIFICAÇÃO]],"mmm")))</f>
        <v>MAI</v>
      </c>
      <c r="Y905" t="s">
        <v>598</v>
      </c>
      <c r="Z905" t="s">
        <v>831</v>
      </c>
      <c r="AA905" t="s">
        <v>832</v>
      </c>
    </row>
    <row r="906" spans="1:27" ht="14.4" hidden="1" customHeight="1" x14ac:dyDescent="0.3">
      <c r="A906" s="4" t="s">
        <v>0</v>
      </c>
      <c r="B906" s="4" t="s">
        <v>17</v>
      </c>
      <c r="C906" s="16" t="s">
        <v>18</v>
      </c>
      <c r="D906" s="4">
        <v>10</v>
      </c>
      <c r="E906" s="4" t="s">
        <v>745</v>
      </c>
      <c r="F906" t="s">
        <v>74</v>
      </c>
      <c r="G906" t="s">
        <v>66</v>
      </c>
      <c r="J906" s="4" t="s">
        <v>55</v>
      </c>
      <c r="K906" s="4" t="s">
        <v>21</v>
      </c>
      <c r="L906" s="4" t="s">
        <v>742</v>
      </c>
      <c r="M906" s="17">
        <v>6</v>
      </c>
      <c r="N906" s="17">
        <v>941</v>
      </c>
      <c r="O906" s="18" t="s">
        <v>55</v>
      </c>
      <c r="P906" s="18">
        <v>941</v>
      </c>
      <c r="Q906" s="18">
        <v>6</v>
      </c>
      <c r="R906" s="18" t="s">
        <v>814</v>
      </c>
      <c r="S906" s="18" t="s">
        <v>818</v>
      </c>
      <c r="T906" s="18" t="s">
        <v>819</v>
      </c>
      <c r="U9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06" s="19">
        <f>IF(AUDITORIA[[#This Row],[CAT]]="",0,1)</f>
        <v>1</v>
      </c>
      <c r="W906" s="20">
        <v>46163</v>
      </c>
      <c r="X906" s="21" t="str">
        <f>UPPER(IF(AUDITORIA[[#This Row],[DATA VERIFICAÇÃO]]="","",TEXT(AUDITORIA[[#This Row],[DATA VERIFICAÇÃO]],"mmm")))</f>
        <v>MAI</v>
      </c>
      <c r="Y906" t="s">
        <v>598</v>
      </c>
      <c r="Z906" t="s">
        <v>831</v>
      </c>
      <c r="AA906" t="s">
        <v>832</v>
      </c>
    </row>
    <row r="907" spans="1:27" ht="14.4" hidden="1" customHeight="1" x14ac:dyDescent="0.3">
      <c r="A907" s="4" t="s">
        <v>0</v>
      </c>
      <c r="B907" s="4" t="s">
        <v>17</v>
      </c>
      <c r="C907" s="16" t="s">
        <v>18</v>
      </c>
      <c r="D907" s="4">
        <v>10</v>
      </c>
      <c r="E907" s="4" t="s">
        <v>745</v>
      </c>
      <c r="F907" t="s">
        <v>77</v>
      </c>
      <c r="G907" t="s">
        <v>66</v>
      </c>
      <c r="J907" s="4" t="s">
        <v>55</v>
      </c>
      <c r="K907" s="4" t="s">
        <v>21</v>
      </c>
      <c r="L907" s="4" t="s">
        <v>742</v>
      </c>
      <c r="M907" s="17">
        <v>30</v>
      </c>
      <c r="N907" s="17">
        <v>895</v>
      </c>
      <c r="O907" s="18" t="s">
        <v>55</v>
      </c>
      <c r="P907" s="18">
        <v>895</v>
      </c>
      <c r="Q907" s="18">
        <v>30</v>
      </c>
      <c r="R907" s="18" t="s">
        <v>814</v>
      </c>
      <c r="S907" s="18" t="s">
        <v>809</v>
      </c>
      <c r="T907" s="18" t="s">
        <v>781</v>
      </c>
      <c r="U9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07" s="19">
        <f>IF(AUDITORIA[[#This Row],[CAT]]="",0,1)</f>
        <v>1</v>
      </c>
      <c r="W907" s="20">
        <v>46163</v>
      </c>
      <c r="X907" s="21" t="str">
        <f>UPPER(IF(AUDITORIA[[#This Row],[DATA VERIFICAÇÃO]]="","",TEXT(AUDITORIA[[#This Row],[DATA VERIFICAÇÃO]],"mmm")))</f>
        <v>MAI</v>
      </c>
      <c r="Y907" t="s">
        <v>598</v>
      </c>
      <c r="Z907" t="s">
        <v>831</v>
      </c>
      <c r="AA907" t="s">
        <v>832</v>
      </c>
    </row>
    <row r="908" spans="1:27" ht="14.4" hidden="1" customHeight="1" x14ac:dyDescent="0.3">
      <c r="A908" s="4" t="s">
        <v>0</v>
      </c>
      <c r="B908" s="4" t="s">
        <v>17</v>
      </c>
      <c r="C908" s="16" t="s">
        <v>18</v>
      </c>
      <c r="D908" s="4">
        <v>10</v>
      </c>
      <c r="E908" s="4" t="s">
        <v>745</v>
      </c>
      <c r="F908" t="s">
        <v>75</v>
      </c>
      <c r="G908" t="s">
        <v>66</v>
      </c>
      <c r="J908" s="4" t="s">
        <v>55</v>
      </c>
      <c r="K908" s="4" t="s">
        <v>21</v>
      </c>
      <c r="L908" s="4" t="s">
        <v>742</v>
      </c>
      <c r="M908" s="17">
        <v>30</v>
      </c>
      <c r="N908" s="17">
        <v>879</v>
      </c>
      <c r="O908" s="18" t="s">
        <v>55</v>
      </c>
      <c r="P908" s="18">
        <v>879</v>
      </c>
      <c r="Q908" s="18">
        <v>30</v>
      </c>
      <c r="R908" s="18" t="s">
        <v>814</v>
      </c>
      <c r="S908" s="18" t="s">
        <v>809</v>
      </c>
      <c r="T908" s="18" t="s">
        <v>780</v>
      </c>
      <c r="U9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08" s="19">
        <f>IF(AUDITORIA[[#This Row],[CAT]]="",0,1)</f>
        <v>1</v>
      </c>
      <c r="W908" s="20">
        <v>46163</v>
      </c>
      <c r="X908" s="21" t="str">
        <f>UPPER(IF(AUDITORIA[[#This Row],[DATA VERIFICAÇÃO]]="","",TEXT(AUDITORIA[[#This Row],[DATA VERIFICAÇÃO]],"mmm")))</f>
        <v>MAI</v>
      </c>
      <c r="Y908" t="s">
        <v>598</v>
      </c>
      <c r="Z908" t="s">
        <v>831</v>
      </c>
      <c r="AA908" t="s">
        <v>832</v>
      </c>
    </row>
    <row r="909" spans="1:27" ht="14.4" hidden="1" customHeight="1" x14ac:dyDescent="0.3">
      <c r="A909" s="4" t="s">
        <v>0</v>
      </c>
      <c r="B909" s="4" t="s">
        <v>17</v>
      </c>
      <c r="C909" s="16" t="s">
        <v>18</v>
      </c>
      <c r="D909" s="4">
        <v>10</v>
      </c>
      <c r="E909" s="4" t="s">
        <v>745</v>
      </c>
      <c r="F909" t="s">
        <v>73</v>
      </c>
      <c r="G909" t="s">
        <v>66</v>
      </c>
      <c r="J909" s="4" t="s">
        <v>55</v>
      </c>
      <c r="K909" s="4" t="s">
        <v>21</v>
      </c>
      <c r="L909" s="4" t="s">
        <v>742</v>
      </c>
      <c r="M909" s="17">
        <v>30</v>
      </c>
      <c r="N909" s="17">
        <v>882</v>
      </c>
      <c r="O909" s="18" t="s">
        <v>55</v>
      </c>
      <c r="P909" s="18">
        <v>882</v>
      </c>
      <c r="Q909" s="18">
        <v>30</v>
      </c>
      <c r="R909" s="18" t="s">
        <v>778</v>
      </c>
      <c r="S909" s="18" t="s">
        <v>783</v>
      </c>
      <c r="T909" s="18" t="s">
        <v>782</v>
      </c>
      <c r="U9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09" s="19">
        <f>IF(AUDITORIA[[#This Row],[CAT]]="",0,1)</f>
        <v>1</v>
      </c>
      <c r="W909" s="20">
        <v>46163</v>
      </c>
      <c r="X909" s="21" t="str">
        <f>UPPER(IF(AUDITORIA[[#This Row],[DATA VERIFICAÇÃO]]="","",TEXT(AUDITORIA[[#This Row],[DATA VERIFICAÇÃO]],"mmm")))</f>
        <v>MAI</v>
      </c>
      <c r="Y909" t="s">
        <v>598</v>
      </c>
      <c r="Z909" t="s">
        <v>831</v>
      </c>
      <c r="AA909" t="s">
        <v>832</v>
      </c>
    </row>
    <row r="910" spans="1:27" ht="14.4" hidden="1" customHeight="1" x14ac:dyDescent="0.3">
      <c r="A910" s="4" t="s">
        <v>0</v>
      </c>
      <c r="B910" s="4" t="s">
        <v>17</v>
      </c>
      <c r="C910" s="16" t="s">
        <v>18</v>
      </c>
      <c r="D910" s="4">
        <v>10</v>
      </c>
      <c r="E910" s="4" t="s">
        <v>745</v>
      </c>
      <c r="F910" t="s">
        <v>72</v>
      </c>
      <c r="G910" t="s">
        <v>66</v>
      </c>
      <c r="J910" s="4" t="s">
        <v>55</v>
      </c>
      <c r="K910" s="4" t="s">
        <v>21</v>
      </c>
      <c r="L910" s="4" t="s">
        <v>742</v>
      </c>
      <c r="M910" s="17">
        <v>27</v>
      </c>
      <c r="N910" s="17">
        <v>921</v>
      </c>
      <c r="O910" s="18" t="s">
        <v>55</v>
      </c>
      <c r="P910" s="18">
        <v>921</v>
      </c>
      <c r="Q910" s="18">
        <v>27</v>
      </c>
      <c r="R910" s="18" t="s">
        <v>814</v>
      </c>
      <c r="S910" s="18" t="s">
        <v>808</v>
      </c>
      <c r="T910" s="18" t="s">
        <v>781</v>
      </c>
      <c r="U9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10" s="19">
        <f>IF(AUDITORIA[[#This Row],[CAT]]="",0,1)</f>
        <v>1</v>
      </c>
      <c r="W910" s="20">
        <v>46163</v>
      </c>
      <c r="X910" s="21" t="str">
        <f>UPPER(IF(AUDITORIA[[#This Row],[DATA VERIFICAÇÃO]]="","",TEXT(AUDITORIA[[#This Row],[DATA VERIFICAÇÃO]],"mmm")))</f>
        <v>MAI</v>
      </c>
      <c r="Y910" t="s">
        <v>598</v>
      </c>
      <c r="Z910" t="s">
        <v>831</v>
      </c>
      <c r="AA910" t="s">
        <v>832</v>
      </c>
    </row>
    <row r="911" spans="1:27" ht="14.4" hidden="1" customHeight="1" x14ac:dyDescent="0.3">
      <c r="A911" s="4" t="s">
        <v>0</v>
      </c>
      <c r="B911" s="4" t="s">
        <v>17</v>
      </c>
      <c r="C911" s="16" t="s">
        <v>18</v>
      </c>
      <c r="D911" s="4">
        <v>10</v>
      </c>
      <c r="E911" s="4" t="s">
        <v>745</v>
      </c>
      <c r="F911" t="s">
        <v>70</v>
      </c>
      <c r="G911" t="s">
        <v>66</v>
      </c>
      <c r="J911" s="4" t="s">
        <v>55</v>
      </c>
      <c r="K911" s="4" t="s">
        <v>21</v>
      </c>
      <c r="L911" s="4" t="s">
        <v>742</v>
      </c>
      <c r="M911" s="17">
        <v>30</v>
      </c>
      <c r="N911" s="17">
        <v>898</v>
      </c>
      <c r="O911" s="18" t="s">
        <v>55</v>
      </c>
      <c r="P911" s="18">
        <v>898</v>
      </c>
      <c r="Q911" s="18">
        <v>30</v>
      </c>
      <c r="R911" s="18" t="s">
        <v>814</v>
      </c>
      <c r="S911" s="18" t="s">
        <v>809</v>
      </c>
      <c r="T911" s="18" t="s">
        <v>782</v>
      </c>
      <c r="U9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11" s="19">
        <f>IF(AUDITORIA[[#This Row],[CAT]]="",0,1)</f>
        <v>1</v>
      </c>
      <c r="W911" s="20">
        <v>46163</v>
      </c>
      <c r="X911" s="21" t="str">
        <f>UPPER(IF(AUDITORIA[[#This Row],[DATA VERIFICAÇÃO]]="","",TEXT(AUDITORIA[[#This Row],[DATA VERIFICAÇÃO]],"mmm")))</f>
        <v>MAI</v>
      </c>
      <c r="Y911" t="s">
        <v>598</v>
      </c>
      <c r="Z911" t="s">
        <v>831</v>
      </c>
      <c r="AA911" t="s">
        <v>832</v>
      </c>
    </row>
    <row r="912" spans="1:27" ht="14.4" hidden="1" customHeight="1" x14ac:dyDescent="0.3">
      <c r="A912" s="4" t="s">
        <v>0</v>
      </c>
      <c r="B912" s="4" t="s">
        <v>17</v>
      </c>
      <c r="C912" s="16" t="s">
        <v>18</v>
      </c>
      <c r="D912" s="4">
        <v>10</v>
      </c>
      <c r="E912" s="4" t="s">
        <v>745</v>
      </c>
      <c r="F912" t="s">
        <v>69</v>
      </c>
      <c r="G912" t="s">
        <v>66</v>
      </c>
      <c r="J912" s="4" t="s">
        <v>55</v>
      </c>
      <c r="K912" s="4" t="s">
        <v>21</v>
      </c>
      <c r="L912" s="4" t="s">
        <v>742</v>
      </c>
      <c r="M912" s="17">
        <v>30</v>
      </c>
      <c r="N912" s="17">
        <v>904</v>
      </c>
      <c r="O912" s="18" t="s">
        <v>55</v>
      </c>
      <c r="P912" s="18">
        <v>904</v>
      </c>
      <c r="Q912" s="18">
        <v>30</v>
      </c>
      <c r="R912" s="18" t="s">
        <v>814</v>
      </c>
      <c r="S912" s="18" t="s">
        <v>805</v>
      </c>
      <c r="T912" s="18" t="s">
        <v>780</v>
      </c>
      <c r="U9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12" s="19">
        <f>IF(AUDITORIA[[#This Row],[CAT]]="",0,1)</f>
        <v>1</v>
      </c>
      <c r="W912" s="20">
        <v>46163</v>
      </c>
      <c r="X912" s="21" t="str">
        <f>UPPER(IF(AUDITORIA[[#This Row],[DATA VERIFICAÇÃO]]="","",TEXT(AUDITORIA[[#This Row],[DATA VERIFICAÇÃO]],"mmm")))</f>
        <v>MAI</v>
      </c>
      <c r="Y912" t="s">
        <v>598</v>
      </c>
      <c r="Z912" t="s">
        <v>831</v>
      </c>
      <c r="AA912" t="s">
        <v>832</v>
      </c>
    </row>
    <row r="913" spans="1:27" ht="14.4" hidden="1" customHeight="1" x14ac:dyDescent="0.3">
      <c r="A913" s="4" t="s">
        <v>0</v>
      </c>
      <c r="B913" s="4" t="s">
        <v>17</v>
      </c>
      <c r="C913" s="16" t="s">
        <v>18</v>
      </c>
      <c r="D913" s="4">
        <v>10</v>
      </c>
      <c r="E913" s="4" t="s">
        <v>745</v>
      </c>
      <c r="F913" t="s">
        <v>688</v>
      </c>
      <c r="G913" t="s">
        <v>66</v>
      </c>
      <c r="J913" s="4" t="s">
        <v>55</v>
      </c>
      <c r="K913" s="4" t="s">
        <v>21</v>
      </c>
      <c r="L913" s="4" t="s">
        <v>742</v>
      </c>
      <c r="M913" s="17">
        <v>30</v>
      </c>
      <c r="N913" s="17">
        <v>909</v>
      </c>
      <c r="O913" s="18" t="s">
        <v>55</v>
      </c>
      <c r="P913" s="18">
        <v>909</v>
      </c>
      <c r="Q913" s="18">
        <v>30</v>
      </c>
      <c r="R913" s="18" t="s">
        <v>814</v>
      </c>
      <c r="S913" s="18" t="s">
        <v>805</v>
      </c>
      <c r="T913" s="18" t="s">
        <v>781</v>
      </c>
      <c r="U9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13" s="19">
        <f>IF(AUDITORIA[[#This Row],[CAT]]="",0,1)</f>
        <v>1</v>
      </c>
      <c r="W913" s="20">
        <v>46163</v>
      </c>
      <c r="X913" s="21" t="str">
        <f>UPPER(IF(AUDITORIA[[#This Row],[DATA VERIFICAÇÃO]]="","",TEXT(AUDITORIA[[#This Row],[DATA VERIFICAÇÃO]],"mmm")))</f>
        <v>MAI</v>
      </c>
      <c r="Y913" t="s">
        <v>598</v>
      </c>
      <c r="Z913" t="s">
        <v>831</v>
      </c>
      <c r="AA913" t="s">
        <v>832</v>
      </c>
    </row>
    <row r="914" spans="1:27" ht="14.4" hidden="1" customHeight="1" x14ac:dyDescent="0.3">
      <c r="A914" s="4" t="s">
        <v>0</v>
      </c>
      <c r="B914" s="4" t="s">
        <v>17</v>
      </c>
      <c r="C914" s="16" t="s">
        <v>18</v>
      </c>
      <c r="D914" s="4">
        <v>10</v>
      </c>
      <c r="E914" s="4" t="s">
        <v>745</v>
      </c>
      <c r="F914" t="s">
        <v>686</v>
      </c>
      <c r="G914" t="s">
        <v>66</v>
      </c>
      <c r="J914" s="4" t="s">
        <v>55</v>
      </c>
      <c r="K914" s="4" t="s">
        <v>21</v>
      </c>
      <c r="L914" s="4" t="s">
        <v>742</v>
      </c>
      <c r="M914" s="17">
        <v>30</v>
      </c>
      <c r="N914" s="17">
        <v>900</v>
      </c>
      <c r="O914" s="18" t="s">
        <v>55</v>
      </c>
      <c r="P914" s="18">
        <v>900</v>
      </c>
      <c r="Q914" s="18">
        <v>30</v>
      </c>
      <c r="R914" s="18" t="s">
        <v>814</v>
      </c>
      <c r="S914" s="18" t="s">
        <v>826</v>
      </c>
      <c r="T914" s="18" t="s">
        <v>781</v>
      </c>
      <c r="U9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14" s="19">
        <f>IF(AUDITORIA[[#This Row],[CAT]]="",0,1)</f>
        <v>1</v>
      </c>
      <c r="W914" s="20">
        <v>46163</v>
      </c>
      <c r="X914" s="21" t="str">
        <f>UPPER(IF(AUDITORIA[[#This Row],[DATA VERIFICAÇÃO]]="","",TEXT(AUDITORIA[[#This Row],[DATA VERIFICAÇÃO]],"mmm")))</f>
        <v>MAI</v>
      </c>
      <c r="Y914" t="s">
        <v>598</v>
      </c>
      <c r="Z914" t="s">
        <v>831</v>
      </c>
      <c r="AA914" t="s">
        <v>832</v>
      </c>
    </row>
    <row r="915" spans="1:27" ht="14.4" hidden="1" customHeight="1" x14ac:dyDescent="0.3">
      <c r="A915" s="4" t="s">
        <v>0</v>
      </c>
      <c r="B915" s="4" t="s">
        <v>17</v>
      </c>
      <c r="C915" s="16" t="s">
        <v>18</v>
      </c>
      <c r="D915" s="4">
        <v>10</v>
      </c>
      <c r="E915" s="4" t="s">
        <v>745</v>
      </c>
      <c r="F915" t="s">
        <v>684</v>
      </c>
      <c r="G915" t="s">
        <v>66</v>
      </c>
      <c r="J915" s="4" t="s">
        <v>55</v>
      </c>
      <c r="K915" s="4" t="s">
        <v>21</v>
      </c>
      <c r="L915" s="4" t="s">
        <v>742</v>
      </c>
      <c r="M915" s="17">
        <v>30</v>
      </c>
      <c r="N915" s="17">
        <v>898</v>
      </c>
      <c r="O915" s="18" t="s">
        <v>55</v>
      </c>
      <c r="P915" s="18">
        <v>898</v>
      </c>
      <c r="Q915" s="18">
        <v>30</v>
      </c>
      <c r="R915" s="18" t="s">
        <v>814</v>
      </c>
      <c r="S915" s="18" t="s">
        <v>826</v>
      </c>
      <c r="T915" s="18" t="s">
        <v>780</v>
      </c>
      <c r="U9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15" s="19">
        <f>IF(AUDITORIA[[#This Row],[CAT]]="",0,1)</f>
        <v>1</v>
      </c>
      <c r="W915" s="20">
        <v>46163</v>
      </c>
      <c r="X915" s="21" t="str">
        <f>UPPER(IF(AUDITORIA[[#This Row],[DATA VERIFICAÇÃO]]="","",TEXT(AUDITORIA[[#This Row],[DATA VERIFICAÇÃO]],"mmm")))</f>
        <v>MAI</v>
      </c>
      <c r="Y915" t="s">
        <v>598</v>
      </c>
      <c r="Z915" t="s">
        <v>831</v>
      </c>
      <c r="AA915" t="s">
        <v>832</v>
      </c>
    </row>
    <row r="916" spans="1:27" ht="14.4" hidden="1" customHeight="1" x14ac:dyDescent="0.3">
      <c r="A916" s="4" t="s">
        <v>0</v>
      </c>
      <c r="B916" s="4" t="s">
        <v>17</v>
      </c>
      <c r="C916" s="16" t="s">
        <v>18</v>
      </c>
      <c r="D916" s="4">
        <v>10</v>
      </c>
      <c r="E916" s="4" t="s">
        <v>745</v>
      </c>
      <c r="F916" t="s">
        <v>682</v>
      </c>
      <c r="G916" t="s">
        <v>66</v>
      </c>
      <c r="J916" s="4" t="s">
        <v>55</v>
      </c>
      <c r="K916" s="4" t="s">
        <v>21</v>
      </c>
      <c r="L916" s="4" t="s">
        <v>742</v>
      </c>
      <c r="M916" s="17">
        <v>27</v>
      </c>
      <c r="N916" s="17">
        <v>927</v>
      </c>
      <c r="O916" s="18" t="s">
        <v>55</v>
      </c>
      <c r="P916" s="18">
        <v>927</v>
      </c>
      <c r="Q916" s="18">
        <v>27</v>
      </c>
      <c r="R916" s="18" t="s">
        <v>814</v>
      </c>
      <c r="S916" s="18" t="s">
        <v>826</v>
      </c>
      <c r="T916" s="18" t="s">
        <v>794</v>
      </c>
      <c r="U9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16" s="19">
        <f>IF(AUDITORIA[[#This Row],[CAT]]="",0,1)</f>
        <v>1</v>
      </c>
      <c r="W916" s="20">
        <v>46163</v>
      </c>
      <c r="X916" s="21" t="str">
        <f>UPPER(IF(AUDITORIA[[#This Row],[DATA VERIFICAÇÃO]]="","",TEXT(AUDITORIA[[#This Row],[DATA VERIFICAÇÃO]],"mmm")))</f>
        <v>MAI</v>
      </c>
      <c r="Y916" t="s">
        <v>598</v>
      </c>
      <c r="Z916" t="s">
        <v>831</v>
      </c>
      <c r="AA916" t="s">
        <v>832</v>
      </c>
    </row>
    <row r="917" spans="1:27" ht="14.4" hidden="1" customHeight="1" x14ac:dyDescent="0.3">
      <c r="A917" s="4" t="s">
        <v>0</v>
      </c>
      <c r="B917" s="4" t="s">
        <v>17</v>
      </c>
      <c r="C917" s="16" t="s">
        <v>18</v>
      </c>
      <c r="D917" s="4">
        <v>10</v>
      </c>
      <c r="E917" s="4" t="s">
        <v>745</v>
      </c>
      <c r="F917" t="s">
        <v>681</v>
      </c>
      <c r="G917" t="s">
        <v>66</v>
      </c>
      <c r="J917" s="4" t="s">
        <v>55</v>
      </c>
      <c r="K917" s="4" t="s">
        <v>21</v>
      </c>
      <c r="L917" s="4" t="s">
        <v>742</v>
      </c>
      <c r="M917" s="17">
        <v>30</v>
      </c>
      <c r="N917" s="17">
        <v>904</v>
      </c>
      <c r="O917" s="18" t="s">
        <v>55</v>
      </c>
      <c r="P917" s="18">
        <v>904</v>
      </c>
      <c r="Q917" s="18">
        <v>30</v>
      </c>
      <c r="R917" s="18" t="s">
        <v>814</v>
      </c>
      <c r="S917" s="18" t="s">
        <v>826</v>
      </c>
      <c r="T917" s="18" t="s">
        <v>782</v>
      </c>
      <c r="U9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17" s="19">
        <f>IF(AUDITORIA[[#This Row],[CAT]]="",0,1)</f>
        <v>1</v>
      </c>
      <c r="W917" s="20">
        <v>46163</v>
      </c>
      <c r="X917" s="21" t="str">
        <f>UPPER(IF(AUDITORIA[[#This Row],[DATA VERIFICAÇÃO]]="","",TEXT(AUDITORIA[[#This Row],[DATA VERIFICAÇÃO]],"mmm")))</f>
        <v>MAI</v>
      </c>
      <c r="Y917" t="s">
        <v>598</v>
      </c>
      <c r="Z917" t="s">
        <v>831</v>
      </c>
      <c r="AA917" t="s">
        <v>832</v>
      </c>
    </row>
    <row r="918" spans="1:27" ht="14.4" hidden="1" customHeight="1" x14ac:dyDescent="0.3">
      <c r="A918" s="4" t="s">
        <v>0</v>
      </c>
      <c r="B918" s="4" t="s">
        <v>17</v>
      </c>
      <c r="C918" s="16" t="s">
        <v>18</v>
      </c>
      <c r="D918" s="4">
        <v>10</v>
      </c>
      <c r="E918" s="4" t="s">
        <v>745</v>
      </c>
      <c r="F918" t="s">
        <v>679</v>
      </c>
      <c r="G918" t="s">
        <v>66</v>
      </c>
      <c r="J918" s="4" t="s">
        <v>55</v>
      </c>
      <c r="K918" s="4" t="s">
        <v>21</v>
      </c>
      <c r="L918" s="4" t="s">
        <v>742</v>
      </c>
      <c r="M918" s="17">
        <v>27</v>
      </c>
      <c r="N918" s="17">
        <v>910</v>
      </c>
      <c r="O918" s="18" t="s">
        <v>55</v>
      </c>
      <c r="P918" s="18">
        <v>910</v>
      </c>
      <c r="Q918" s="18">
        <v>27</v>
      </c>
      <c r="R918" s="18" t="s">
        <v>814</v>
      </c>
      <c r="S918" s="18" t="s">
        <v>825</v>
      </c>
      <c r="T918" s="18" t="s">
        <v>780</v>
      </c>
      <c r="U9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18" s="19">
        <f>IF(AUDITORIA[[#This Row],[CAT]]="",0,1)</f>
        <v>1</v>
      </c>
      <c r="W918" s="20">
        <v>46163</v>
      </c>
      <c r="X918" s="21" t="str">
        <f>UPPER(IF(AUDITORIA[[#This Row],[DATA VERIFICAÇÃO]]="","",TEXT(AUDITORIA[[#This Row],[DATA VERIFICAÇÃO]],"mmm")))</f>
        <v>MAI</v>
      </c>
      <c r="Y918" t="s">
        <v>598</v>
      </c>
      <c r="Z918" t="s">
        <v>831</v>
      </c>
      <c r="AA918" t="s">
        <v>832</v>
      </c>
    </row>
    <row r="919" spans="1:27" ht="14.4" hidden="1" customHeight="1" x14ac:dyDescent="0.3">
      <c r="A919" s="4" t="s">
        <v>0</v>
      </c>
      <c r="B919" s="4" t="s">
        <v>17</v>
      </c>
      <c r="C919" s="16" t="s">
        <v>18</v>
      </c>
      <c r="D919" s="4">
        <v>10</v>
      </c>
      <c r="E919" s="4" t="s">
        <v>745</v>
      </c>
      <c r="F919" t="s">
        <v>678</v>
      </c>
      <c r="G919" t="s">
        <v>66</v>
      </c>
      <c r="J919" s="4" t="s">
        <v>55</v>
      </c>
      <c r="K919" s="4" t="s">
        <v>21</v>
      </c>
      <c r="L919" s="4" t="s">
        <v>742</v>
      </c>
      <c r="M919" s="17">
        <v>30</v>
      </c>
      <c r="N919" s="17">
        <v>902</v>
      </c>
      <c r="O919" s="18" t="s">
        <v>55</v>
      </c>
      <c r="P919" s="18">
        <v>902</v>
      </c>
      <c r="Q919" s="18">
        <v>30</v>
      </c>
      <c r="R919" s="18" t="s">
        <v>814</v>
      </c>
      <c r="S919" s="18" t="s">
        <v>825</v>
      </c>
      <c r="T919" s="18" t="s">
        <v>782</v>
      </c>
      <c r="U9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19" s="19">
        <f>IF(AUDITORIA[[#This Row],[CAT]]="",0,1)</f>
        <v>1</v>
      </c>
      <c r="W919" s="20">
        <v>46163</v>
      </c>
      <c r="X919" s="21" t="str">
        <f>UPPER(IF(AUDITORIA[[#This Row],[DATA VERIFICAÇÃO]]="","",TEXT(AUDITORIA[[#This Row],[DATA VERIFICAÇÃO]],"mmm")))</f>
        <v>MAI</v>
      </c>
      <c r="Y919" t="s">
        <v>598</v>
      </c>
      <c r="Z919" t="s">
        <v>831</v>
      </c>
      <c r="AA919" t="s">
        <v>832</v>
      </c>
    </row>
    <row r="920" spans="1:27" ht="14.4" hidden="1" customHeight="1" x14ac:dyDescent="0.3">
      <c r="A920" s="4" t="s">
        <v>0</v>
      </c>
      <c r="B920" s="4" t="s">
        <v>17</v>
      </c>
      <c r="C920" s="16" t="s">
        <v>18</v>
      </c>
      <c r="D920" s="4">
        <v>10</v>
      </c>
      <c r="E920" s="4" t="s">
        <v>745</v>
      </c>
      <c r="F920" t="s">
        <v>676</v>
      </c>
      <c r="G920" t="s">
        <v>66</v>
      </c>
      <c r="J920" s="4" t="s">
        <v>55</v>
      </c>
      <c r="K920" s="4" t="s">
        <v>21</v>
      </c>
      <c r="L920" s="4" t="s">
        <v>742</v>
      </c>
      <c r="M920" s="17">
        <v>30</v>
      </c>
      <c r="N920" s="17">
        <v>899</v>
      </c>
      <c r="O920" s="18" t="s">
        <v>55</v>
      </c>
      <c r="P920" s="18">
        <v>899</v>
      </c>
      <c r="Q920" s="18">
        <v>30</v>
      </c>
      <c r="R920" s="18" t="s">
        <v>814</v>
      </c>
      <c r="S920" s="18" t="s">
        <v>805</v>
      </c>
      <c r="T920" s="18" t="s">
        <v>782</v>
      </c>
      <c r="U9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20" s="19">
        <f>IF(AUDITORIA[[#This Row],[CAT]]="",0,1)</f>
        <v>1</v>
      </c>
      <c r="W920" s="20">
        <v>46163</v>
      </c>
      <c r="X920" s="21" t="str">
        <f>UPPER(IF(AUDITORIA[[#This Row],[DATA VERIFICAÇÃO]]="","",TEXT(AUDITORIA[[#This Row],[DATA VERIFICAÇÃO]],"mmm")))</f>
        <v>MAI</v>
      </c>
      <c r="Y920" t="s">
        <v>598</v>
      </c>
      <c r="Z920" t="s">
        <v>831</v>
      </c>
      <c r="AA920" t="s">
        <v>832</v>
      </c>
    </row>
    <row r="921" spans="1:27" ht="14.4" hidden="1" customHeight="1" x14ac:dyDescent="0.3">
      <c r="A921" s="4" t="s">
        <v>0</v>
      </c>
      <c r="B921" s="4" t="s">
        <v>17</v>
      </c>
      <c r="C921" s="16" t="s">
        <v>18</v>
      </c>
      <c r="D921" s="4">
        <v>10</v>
      </c>
      <c r="E921" s="4" t="s">
        <v>745</v>
      </c>
      <c r="F921" t="s">
        <v>675</v>
      </c>
      <c r="G921" t="s">
        <v>66</v>
      </c>
      <c r="J921" s="4" t="s">
        <v>55</v>
      </c>
      <c r="K921" s="4" t="s">
        <v>21</v>
      </c>
      <c r="L921" s="4" t="s">
        <v>742</v>
      </c>
      <c r="M921" s="17">
        <v>27</v>
      </c>
      <c r="N921" s="17">
        <v>917</v>
      </c>
      <c r="O921" s="18" t="s">
        <v>55</v>
      </c>
      <c r="P921" s="18">
        <v>917</v>
      </c>
      <c r="Q921" s="18">
        <v>27</v>
      </c>
      <c r="R921" s="18" t="s">
        <v>814</v>
      </c>
      <c r="S921" s="18" t="s">
        <v>825</v>
      </c>
      <c r="T921" s="18" t="s">
        <v>781</v>
      </c>
      <c r="U9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21" s="19">
        <f>IF(AUDITORIA[[#This Row],[CAT]]="",0,1)</f>
        <v>1</v>
      </c>
      <c r="W921" s="20">
        <v>46163</v>
      </c>
      <c r="X921" s="21" t="str">
        <f>UPPER(IF(AUDITORIA[[#This Row],[DATA VERIFICAÇÃO]]="","",TEXT(AUDITORIA[[#This Row],[DATA VERIFICAÇÃO]],"mmm")))</f>
        <v>MAI</v>
      </c>
      <c r="Y921" t="s">
        <v>598</v>
      </c>
      <c r="Z921" t="s">
        <v>831</v>
      </c>
      <c r="AA921" t="s">
        <v>832</v>
      </c>
    </row>
    <row r="922" spans="1:27" ht="14.4" hidden="1" customHeight="1" x14ac:dyDescent="0.3">
      <c r="A922" s="4" t="s">
        <v>0</v>
      </c>
      <c r="B922" s="4" t="s">
        <v>17</v>
      </c>
      <c r="C922" s="16" t="s">
        <v>18</v>
      </c>
      <c r="D922" s="4">
        <v>10</v>
      </c>
      <c r="E922" s="4" t="s">
        <v>745</v>
      </c>
      <c r="F922" t="s">
        <v>673</v>
      </c>
      <c r="G922" t="s">
        <v>66</v>
      </c>
      <c r="J922" s="4" t="s">
        <v>55</v>
      </c>
      <c r="K922" s="4" t="s">
        <v>21</v>
      </c>
      <c r="L922" s="4" t="s">
        <v>742</v>
      </c>
      <c r="M922" s="17">
        <v>30</v>
      </c>
      <c r="N922" s="17">
        <v>909</v>
      </c>
      <c r="O922" s="18" t="s">
        <v>55</v>
      </c>
      <c r="P922" s="18">
        <v>909</v>
      </c>
      <c r="Q922" s="18">
        <v>30</v>
      </c>
      <c r="R922" s="18" t="s">
        <v>814</v>
      </c>
      <c r="S922" s="18" t="s">
        <v>815</v>
      </c>
      <c r="T922" s="18" t="s">
        <v>794</v>
      </c>
      <c r="U9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22" s="19">
        <f>IF(AUDITORIA[[#This Row],[CAT]]="",0,1)</f>
        <v>1</v>
      </c>
      <c r="W922" s="20">
        <v>46163</v>
      </c>
      <c r="X922" s="21" t="str">
        <f>UPPER(IF(AUDITORIA[[#This Row],[DATA VERIFICAÇÃO]]="","",TEXT(AUDITORIA[[#This Row],[DATA VERIFICAÇÃO]],"mmm")))</f>
        <v>MAI</v>
      </c>
      <c r="Y922" t="s">
        <v>598</v>
      </c>
      <c r="Z922" t="s">
        <v>831</v>
      </c>
      <c r="AA922" t="s">
        <v>832</v>
      </c>
    </row>
    <row r="923" spans="1:27" ht="14.4" hidden="1" customHeight="1" x14ac:dyDescent="0.3">
      <c r="A923" s="4" t="s">
        <v>0</v>
      </c>
      <c r="B923" s="4" t="s">
        <v>17</v>
      </c>
      <c r="C923" s="16" t="s">
        <v>18</v>
      </c>
      <c r="D923" s="4">
        <v>10</v>
      </c>
      <c r="E923" s="4" t="s">
        <v>745</v>
      </c>
      <c r="F923" t="s">
        <v>671</v>
      </c>
      <c r="G923" t="s">
        <v>66</v>
      </c>
      <c r="J923" s="4" t="s">
        <v>55</v>
      </c>
      <c r="K923" s="4" t="s">
        <v>21</v>
      </c>
      <c r="L923" s="4" t="s">
        <v>742</v>
      </c>
      <c r="M923" s="17">
        <v>30</v>
      </c>
      <c r="N923" s="17">
        <v>887</v>
      </c>
      <c r="O923" s="18" t="s">
        <v>55</v>
      </c>
      <c r="P923" s="18">
        <v>887</v>
      </c>
      <c r="Q923" s="18">
        <v>30</v>
      </c>
      <c r="R923" s="18" t="s">
        <v>814</v>
      </c>
      <c r="S923" s="18" t="s">
        <v>825</v>
      </c>
      <c r="T923" s="18" t="s">
        <v>794</v>
      </c>
      <c r="U9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23" s="19">
        <f>IF(AUDITORIA[[#This Row],[CAT]]="",0,1)</f>
        <v>1</v>
      </c>
      <c r="W923" s="20">
        <v>46163</v>
      </c>
      <c r="X923" s="21" t="str">
        <f>UPPER(IF(AUDITORIA[[#This Row],[DATA VERIFICAÇÃO]]="","",TEXT(AUDITORIA[[#This Row],[DATA VERIFICAÇÃO]],"mmm")))</f>
        <v>MAI</v>
      </c>
      <c r="Y923" t="s">
        <v>598</v>
      </c>
      <c r="Z923" t="s">
        <v>831</v>
      </c>
      <c r="AA923" t="s">
        <v>832</v>
      </c>
    </row>
    <row r="924" spans="1:27" ht="14.4" hidden="1" customHeight="1" x14ac:dyDescent="0.3">
      <c r="A924" s="4" t="s">
        <v>0</v>
      </c>
      <c r="B924" s="4" t="s">
        <v>17</v>
      </c>
      <c r="C924" s="16" t="s">
        <v>18</v>
      </c>
      <c r="D924" s="4">
        <v>10</v>
      </c>
      <c r="E924" s="4" t="s">
        <v>745</v>
      </c>
      <c r="F924" t="s">
        <v>670</v>
      </c>
      <c r="G924" t="s">
        <v>66</v>
      </c>
      <c r="J924" s="4" t="s">
        <v>55</v>
      </c>
      <c r="K924" s="4" t="s">
        <v>21</v>
      </c>
      <c r="L924" s="4" t="s">
        <v>742</v>
      </c>
      <c r="M924" s="17">
        <v>30</v>
      </c>
      <c r="N924" s="17">
        <v>904</v>
      </c>
      <c r="O924" s="18" t="s">
        <v>55</v>
      </c>
      <c r="P924" s="18">
        <v>904</v>
      </c>
      <c r="Q924" s="18">
        <v>30</v>
      </c>
      <c r="R924" s="18" t="s">
        <v>814</v>
      </c>
      <c r="S924" s="18" t="s">
        <v>824</v>
      </c>
      <c r="T924" s="18" t="s">
        <v>782</v>
      </c>
      <c r="U9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24" s="19">
        <f>IF(AUDITORIA[[#This Row],[CAT]]="",0,1)</f>
        <v>1</v>
      </c>
      <c r="W924" s="20">
        <v>46163</v>
      </c>
      <c r="X924" s="21" t="str">
        <f>UPPER(IF(AUDITORIA[[#This Row],[DATA VERIFICAÇÃO]]="","",TEXT(AUDITORIA[[#This Row],[DATA VERIFICAÇÃO]],"mmm")))</f>
        <v>MAI</v>
      </c>
      <c r="Y924" t="s">
        <v>598</v>
      </c>
      <c r="Z924" t="s">
        <v>831</v>
      </c>
      <c r="AA924" t="s">
        <v>832</v>
      </c>
    </row>
    <row r="925" spans="1:27" ht="14.4" hidden="1" customHeight="1" x14ac:dyDescent="0.3">
      <c r="A925" s="4" t="s">
        <v>0</v>
      </c>
      <c r="B925" s="4" t="s">
        <v>17</v>
      </c>
      <c r="C925" s="16" t="s">
        <v>18</v>
      </c>
      <c r="D925" s="4">
        <v>10</v>
      </c>
      <c r="E925" s="4" t="s">
        <v>745</v>
      </c>
      <c r="F925" t="s">
        <v>668</v>
      </c>
      <c r="G925" t="s">
        <v>66</v>
      </c>
      <c r="J925" s="4" t="s">
        <v>55</v>
      </c>
      <c r="K925" s="4" t="s">
        <v>21</v>
      </c>
      <c r="L925" s="4" t="s">
        <v>742</v>
      </c>
      <c r="M925" s="17">
        <v>27</v>
      </c>
      <c r="N925" s="17">
        <v>920</v>
      </c>
      <c r="O925" s="18" t="s">
        <v>55</v>
      </c>
      <c r="P925" s="18">
        <v>920</v>
      </c>
      <c r="Q925" s="18">
        <v>27</v>
      </c>
      <c r="R925" s="18" t="s">
        <v>814</v>
      </c>
      <c r="S925" s="18" t="s">
        <v>824</v>
      </c>
      <c r="T925" s="18" t="s">
        <v>780</v>
      </c>
      <c r="U9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25" s="19">
        <f>IF(AUDITORIA[[#This Row],[CAT]]="",0,1)</f>
        <v>1</v>
      </c>
      <c r="W925" s="20">
        <v>46163</v>
      </c>
      <c r="X925" s="21" t="str">
        <f>UPPER(IF(AUDITORIA[[#This Row],[DATA VERIFICAÇÃO]]="","",TEXT(AUDITORIA[[#This Row],[DATA VERIFICAÇÃO]],"mmm")))</f>
        <v>MAI</v>
      </c>
      <c r="Y925" t="s">
        <v>598</v>
      </c>
      <c r="Z925" t="s">
        <v>831</v>
      </c>
      <c r="AA925" t="s">
        <v>832</v>
      </c>
    </row>
    <row r="926" spans="1:27" ht="14.4" hidden="1" customHeight="1" x14ac:dyDescent="0.3">
      <c r="A926" s="4" t="s">
        <v>0</v>
      </c>
      <c r="B926" s="4" t="s">
        <v>17</v>
      </c>
      <c r="C926" s="16" t="s">
        <v>18</v>
      </c>
      <c r="D926" s="4">
        <v>10</v>
      </c>
      <c r="E926" s="4" t="s">
        <v>745</v>
      </c>
      <c r="F926" t="s">
        <v>667</v>
      </c>
      <c r="G926" t="s">
        <v>66</v>
      </c>
      <c r="J926" s="4" t="s">
        <v>55</v>
      </c>
      <c r="K926" s="4" t="s">
        <v>21</v>
      </c>
      <c r="L926" s="4" t="s">
        <v>742</v>
      </c>
      <c r="M926" s="17">
        <v>30</v>
      </c>
      <c r="N926" s="17">
        <v>894</v>
      </c>
      <c r="O926" s="18" t="s">
        <v>55</v>
      </c>
      <c r="P926" s="18">
        <v>894</v>
      </c>
      <c r="Q926" s="18">
        <v>30</v>
      </c>
      <c r="R926" s="18" t="s">
        <v>814</v>
      </c>
      <c r="S926" s="18" t="s">
        <v>824</v>
      </c>
      <c r="T926" s="18" t="s">
        <v>781</v>
      </c>
      <c r="U9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26" s="19">
        <f>IF(AUDITORIA[[#This Row],[CAT]]="",0,1)</f>
        <v>1</v>
      </c>
      <c r="W926" s="20">
        <v>46163</v>
      </c>
      <c r="X926" s="21" t="str">
        <f>UPPER(IF(AUDITORIA[[#This Row],[DATA VERIFICAÇÃO]]="","",TEXT(AUDITORIA[[#This Row],[DATA VERIFICAÇÃO]],"mmm")))</f>
        <v>MAI</v>
      </c>
      <c r="Y926" t="s">
        <v>598</v>
      </c>
      <c r="Z926" t="s">
        <v>831</v>
      </c>
      <c r="AA926" t="s">
        <v>832</v>
      </c>
    </row>
    <row r="927" spans="1:27" ht="14.4" hidden="1" customHeight="1" x14ac:dyDescent="0.3">
      <c r="A927" s="4" t="s">
        <v>0</v>
      </c>
      <c r="B927" s="4" t="s">
        <v>17</v>
      </c>
      <c r="C927" s="16" t="s">
        <v>18</v>
      </c>
      <c r="D927" s="4">
        <v>10</v>
      </c>
      <c r="E927" s="4" t="s">
        <v>745</v>
      </c>
      <c r="F927" t="s">
        <v>663</v>
      </c>
      <c r="G927" t="s">
        <v>66</v>
      </c>
      <c r="J927" s="4" t="s">
        <v>55</v>
      </c>
      <c r="K927" s="4" t="s">
        <v>21</v>
      </c>
      <c r="L927" s="4" t="s">
        <v>742</v>
      </c>
      <c r="M927" s="17">
        <v>30</v>
      </c>
      <c r="N927" s="17">
        <v>903</v>
      </c>
      <c r="O927" s="18" t="s">
        <v>55</v>
      </c>
      <c r="P927" s="18">
        <v>903</v>
      </c>
      <c r="Q927" s="18">
        <v>30</v>
      </c>
      <c r="R927" s="18" t="s">
        <v>814</v>
      </c>
      <c r="S927" s="18" t="s">
        <v>824</v>
      </c>
      <c r="T927" s="18" t="s">
        <v>794</v>
      </c>
      <c r="U9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27" s="19">
        <f>IF(AUDITORIA[[#This Row],[CAT]]="",0,1)</f>
        <v>1</v>
      </c>
      <c r="W927" s="20">
        <v>46163</v>
      </c>
      <c r="X927" s="21" t="str">
        <f>UPPER(IF(AUDITORIA[[#This Row],[DATA VERIFICAÇÃO]]="","",TEXT(AUDITORIA[[#This Row],[DATA VERIFICAÇÃO]],"mmm")))</f>
        <v>MAI</v>
      </c>
      <c r="Y927" t="s">
        <v>598</v>
      </c>
      <c r="Z927" t="s">
        <v>831</v>
      </c>
      <c r="AA927" t="s">
        <v>832</v>
      </c>
    </row>
    <row r="928" spans="1:27" ht="14.4" hidden="1" customHeight="1" x14ac:dyDescent="0.3">
      <c r="A928" s="4" t="s">
        <v>0</v>
      </c>
      <c r="B928" s="4" t="s">
        <v>17</v>
      </c>
      <c r="C928" s="16" t="s">
        <v>18</v>
      </c>
      <c r="D928" s="4">
        <v>10</v>
      </c>
      <c r="E928" s="4" t="s">
        <v>745</v>
      </c>
      <c r="F928" t="s">
        <v>664</v>
      </c>
      <c r="G928" t="s">
        <v>66</v>
      </c>
      <c r="J928" s="4" t="s">
        <v>55</v>
      </c>
      <c r="K928" s="4" t="s">
        <v>21</v>
      </c>
      <c r="L928" s="4" t="s">
        <v>742</v>
      </c>
      <c r="M928" s="17">
        <v>27</v>
      </c>
      <c r="N928" s="17">
        <v>918</v>
      </c>
      <c r="O928" s="18" t="s">
        <v>55</v>
      </c>
      <c r="P928" s="18">
        <v>918</v>
      </c>
      <c r="Q928" s="18">
        <v>27</v>
      </c>
      <c r="R928" s="18" t="s">
        <v>814</v>
      </c>
      <c r="S928" s="18" t="s">
        <v>822</v>
      </c>
      <c r="T928" s="18" t="s">
        <v>781</v>
      </c>
      <c r="U9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28" s="19">
        <f>IF(AUDITORIA[[#This Row],[CAT]]="",0,1)</f>
        <v>1</v>
      </c>
      <c r="W928" s="20">
        <v>46163</v>
      </c>
      <c r="X928" s="21" t="str">
        <f>UPPER(IF(AUDITORIA[[#This Row],[DATA VERIFICAÇÃO]]="","",TEXT(AUDITORIA[[#This Row],[DATA VERIFICAÇÃO]],"mmm")))</f>
        <v>MAI</v>
      </c>
      <c r="Y928" t="s">
        <v>598</v>
      </c>
      <c r="Z928" t="s">
        <v>831</v>
      </c>
      <c r="AA928" t="s">
        <v>832</v>
      </c>
    </row>
    <row r="929" spans="1:27" ht="14.4" hidden="1" customHeight="1" x14ac:dyDescent="0.3">
      <c r="A929" s="4" t="s">
        <v>0</v>
      </c>
      <c r="B929" s="4" t="s">
        <v>17</v>
      </c>
      <c r="C929" s="16" t="s">
        <v>18</v>
      </c>
      <c r="D929" s="4">
        <v>10</v>
      </c>
      <c r="E929" s="4" t="s">
        <v>745</v>
      </c>
      <c r="F929" t="s">
        <v>661</v>
      </c>
      <c r="G929" t="s">
        <v>66</v>
      </c>
      <c r="J929" s="4" t="s">
        <v>55</v>
      </c>
      <c r="K929" s="4" t="s">
        <v>21</v>
      </c>
      <c r="L929" s="4" t="s">
        <v>742</v>
      </c>
      <c r="M929" s="17">
        <v>30</v>
      </c>
      <c r="N929" s="17">
        <v>884</v>
      </c>
      <c r="O929" s="18" t="s">
        <v>55</v>
      </c>
      <c r="P929" s="18">
        <v>884</v>
      </c>
      <c r="Q929" s="18">
        <v>30</v>
      </c>
      <c r="R929" s="18" t="s">
        <v>814</v>
      </c>
      <c r="S929" s="18" t="s">
        <v>822</v>
      </c>
      <c r="T929" s="18" t="s">
        <v>780</v>
      </c>
      <c r="U9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29" s="19">
        <f>IF(AUDITORIA[[#This Row],[CAT]]="",0,1)</f>
        <v>1</v>
      </c>
      <c r="W929" s="20">
        <v>46163</v>
      </c>
      <c r="X929" s="21" t="str">
        <f>UPPER(IF(AUDITORIA[[#This Row],[DATA VERIFICAÇÃO]]="","",TEXT(AUDITORIA[[#This Row],[DATA VERIFICAÇÃO]],"mmm")))</f>
        <v>MAI</v>
      </c>
      <c r="Y929" t="s">
        <v>598</v>
      </c>
      <c r="Z929" t="s">
        <v>831</v>
      </c>
      <c r="AA929" t="s">
        <v>832</v>
      </c>
    </row>
    <row r="930" spans="1:27" ht="14.4" hidden="1" customHeight="1" x14ac:dyDescent="0.3">
      <c r="A930" s="4" t="s">
        <v>0</v>
      </c>
      <c r="B930" s="4" t="s">
        <v>17</v>
      </c>
      <c r="C930" s="16" t="s">
        <v>18</v>
      </c>
      <c r="D930" s="4">
        <v>10</v>
      </c>
      <c r="E930" s="4" t="s">
        <v>745</v>
      </c>
      <c r="F930" t="s">
        <v>660</v>
      </c>
      <c r="G930" t="s">
        <v>66</v>
      </c>
      <c r="J930" s="4" t="s">
        <v>55</v>
      </c>
      <c r="K930" s="4" t="s">
        <v>21</v>
      </c>
      <c r="L930" s="4" t="s">
        <v>742</v>
      </c>
      <c r="M930" s="17">
        <v>30</v>
      </c>
      <c r="N930" s="17">
        <v>901</v>
      </c>
      <c r="O930" s="18" t="s">
        <v>55</v>
      </c>
      <c r="P930" s="18">
        <v>901</v>
      </c>
      <c r="Q930" s="18">
        <v>30</v>
      </c>
      <c r="R930" s="18" t="s">
        <v>814</v>
      </c>
      <c r="S930" s="18" t="s">
        <v>822</v>
      </c>
      <c r="T930" s="18" t="s">
        <v>782</v>
      </c>
      <c r="U9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30" s="19">
        <f>IF(AUDITORIA[[#This Row],[CAT]]="",0,1)</f>
        <v>1</v>
      </c>
      <c r="W930" s="20">
        <v>46163</v>
      </c>
      <c r="X930" s="21" t="str">
        <f>UPPER(IF(AUDITORIA[[#This Row],[DATA VERIFICAÇÃO]]="","",TEXT(AUDITORIA[[#This Row],[DATA VERIFICAÇÃO]],"mmm")))</f>
        <v>MAI</v>
      </c>
      <c r="Y930" t="s">
        <v>598</v>
      </c>
      <c r="Z930" t="s">
        <v>831</v>
      </c>
      <c r="AA930" t="s">
        <v>832</v>
      </c>
    </row>
    <row r="931" spans="1:27" ht="14.4" hidden="1" customHeight="1" x14ac:dyDescent="0.3">
      <c r="A931" s="4" t="s">
        <v>0</v>
      </c>
      <c r="B931" s="4" t="s">
        <v>17</v>
      </c>
      <c r="C931" s="16" t="s">
        <v>18</v>
      </c>
      <c r="D931" s="4">
        <v>10</v>
      </c>
      <c r="E931" s="4" t="s">
        <v>745</v>
      </c>
      <c r="F931" t="s">
        <v>658</v>
      </c>
      <c r="G931" t="s">
        <v>66</v>
      </c>
      <c r="J931" s="4" t="s">
        <v>55</v>
      </c>
      <c r="K931" s="4" t="s">
        <v>21</v>
      </c>
      <c r="L931" s="4" t="s">
        <v>742</v>
      </c>
      <c r="M931" s="17">
        <v>30</v>
      </c>
      <c r="N931" s="17">
        <v>896</v>
      </c>
      <c r="O931" s="18" t="s">
        <v>55</v>
      </c>
      <c r="P931" s="18">
        <v>896</v>
      </c>
      <c r="Q931" s="18">
        <v>30</v>
      </c>
      <c r="R931" s="18" t="s">
        <v>814</v>
      </c>
      <c r="S931" s="18" t="s">
        <v>822</v>
      </c>
      <c r="T931" s="18" t="s">
        <v>794</v>
      </c>
      <c r="U9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31" s="19">
        <f>IF(AUDITORIA[[#This Row],[CAT]]="",0,1)</f>
        <v>1</v>
      </c>
      <c r="W931" s="20">
        <v>46163</v>
      </c>
      <c r="X931" s="21" t="str">
        <f>UPPER(IF(AUDITORIA[[#This Row],[DATA VERIFICAÇÃO]]="","",TEXT(AUDITORIA[[#This Row],[DATA VERIFICAÇÃO]],"mmm")))</f>
        <v>MAI</v>
      </c>
      <c r="Y931" t="s">
        <v>598</v>
      </c>
      <c r="Z931" t="s">
        <v>831</v>
      </c>
      <c r="AA931" t="s">
        <v>832</v>
      </c>
    </row>
    <row r="932" spans="1:27" ht="14.4" hidden="1" customHeight="1" x14ac:dyDescent="0.3">
      <c r="A932" s="4" t="s">
        <v>0</v>
      </c>
      <c r="B932" s="4" t="s">
        <v>17</v>
      </c>
      <c r="C932" s="16" t="s">
        <v>18</v>
      </c>
      <c r="D932" s="4">
        <v>10</v>
      </c>
      <c r="E932" s="4" t="s">
        <v>745</v>
      </c>
      <c r="F932" t="s">
        <v>656</v>
      </c>
      <c r="G932" t="s">
        <v>66</v>
      </c>
      <c r="J932" s="4" t="s">
        <v>55</v>
      </c>
      <c r="K932" s="4" t="s">
        <v>21</v>
      </c>
      <c r="L932" s="4" t="s">
        <v>742</v>
      </c>
      <c r="M932" s="17">
        <v>24</v>
      </c>
      <c r="N932" s="17">
        <v>925</v>
      </c>
      <c r="O932" s="18" t="s">
        <v>55</v>
      </c>
      <c r="P932" s="18">
        <v>925</v>
      </c>
      <c r="Q932" s="18">
        <v>24</v>
      </c>
      <c r="R932" s="18" t="s">
        <v>814</v>
      </c>
      <c r="S932" s="18" t="s">
        <v>786</v>
      </c>
      <c r="T932" s="18" t="s">
        <v>782</v>
      </c>
      <c r="U9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32" s="19">
        <f>IF(AUDITORIA[[#This Row],[CAT]]="",0,1)</f>
        <v>1</v>
      </c>
      <c r="W932" s="20">
        <v>46163</v>
      </c>
      <c r="X932" s="21" t="str">
        <f>UPPER(IF(AUDITORIA[[#This Row],[DATA VERIFICAÇÃO]]="","",TEXT(AUDITORIA[[#This Row],[DATA VERIFICAÇÃO]],"mmm")))</f>
        <v>MAI</v>
      </c>
      <c r="Y932" t="s">
        <v>598</v>
      </c>
      <c r="Z932" t="s">
        <v>831</v>
      </c>
      <c r="AA932" t="s">
        <v>832</v>
      </c>
    </row>
    <row r="933" spans="1:27" ht="14.4" hidden="1" customHeight="1" x14ac:dyDescent="0.3">
      <c r="A933" s="4" t="s">
        <v>0</v>
      </c>
      <c r="B933" s="4" t="s">
        <v>17</v>
      </c>
      <c r="C933" s="16" t="s">
        <v>18</v>
      </c>
      <c r="D933" s="4">
        <v>10</v>
      </c>
      <c r="E933" s="4" t="s">
        <v>745</v>
      </c>
      <c r="F933" t="s">
        <v>623</v>
      </c>
      <c r="G933" t="s">
        <v>66</v>
      </c>
      <c r="J933" s="4" t="s">
        <v>55</v>
      </c>
      <c r="K933" s="4" t="s">
        <v>21</v>
      </c>
      <c r="L933" s="4" t="s">
        <v>742</v>
      </c>
      <c r="M933" s="17">
        <v>30</v>
      </c>
      <c r="N933" s="17">
        <v>906</v>
      </c>
      <c r="O933" s="18" t="s">
        <v>55</v>
      </c>
      <c r="P933" s="18">
        <v>906</v>
      </c>
      <c r="Q933" s="18">
        <v>30</v>
      </c>
      <c r="R933" s="18" t="s">
        <v>814</v>
      </c>
      <c r="S933" s="18" t="s">
        <v>811</v>
      </c>
      <c r="T933" s="18" t="s">
        <v>794</v>
      </c>
      <c r="U9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33" s="19">
        <f>IF(AUDITORIA[[#This Row],[CAT]]="",0,1)</f>
        <v>1</v>
      </c>
      <c r="W933" s="20">
        <v>46163</v>
      </c>
      <c r="X933" s="21" t="str">
        <f>UPPER(IF(AUDITORIA[[#This Row],[DATA VERIFICAÇÃO]]="","",TEXT(AUDITORIA[[#This Row],[DATA VERIFICAÇÃO]],"mmm")))</f>
        <v>MAI</v>
      </c>
      <c r="Y933" t="s">
        <v>598</v>
      </c>
      <c r="Z933" t="s">
        <v>831</v>
      </c>
      <c r="AA933" t="s">
        <v>832</v>
      </c>
    </row>
    <row r="934" spans="1:27" ht="14.4" hidden="1" customHeight="1" x14ac:dyDescent="0.3">
      <c r="A934" s="4" t="s">
        <v>0</v>
      </c>
      <c r="B934" s="4" t="s">
        <v>17</v>
      </c>
      <c r="C934" s="16" t="s">
        <v>18</v>
      </c>
      <c r="D934" s="4">
        <v>10</v>
      </c>
      <c r="E934" s="4" t="s">
        <v>745</v>
      </c>
      <c r="F934" t="s">
        <v>622</v>
      </c>
      <c r="G934" t="s">
        <v>66</v>
      </c>
      <c r="J934" s="4" t="s">
        <v>55</v>
      </c>
      <c r="K934" s="4" t="s">
        <v>21</v>
      </c>
      <c r="L934" s="4" t="s">
        <v>742</v>
      </c>
      <c r="M934" s="17">
        <v>27</v>
      </c>
      <c r="N934" s="17">
        <v>936</v>
      </c>
      <c r="O934" s="18" t="s">
        <v>55</v>
      </c>
      <c r="P934" s="18">
        <v>936</v>
      </c>
      <c r="Q934" s="18">
        <v>27</v>
      </c>
      <c r="R934" s="18" t="s">
        <v>814</v>
      </c>
      <c r="S934" s="18" t="s">
        <v>811</v>
      </c>
      <c r="T934" s="18" t="s">
        <v>782</v>
      </c>
      <c r="U9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34" s="19">
        <f>IF(AUDITORIA[[#This Row],[CAT]]="",0,1)</f>
        <v>1</v>
      </c>
      <c r="W934" s="20">
        <v>46163</v>
      </c>
      <c r="X934" s="21" t="str">
        <f>UPPER(IF(AUDITORIA[[#This Row],[DATA VERIFICAÇÃO]]="","",TEXT(AUDITORIA[[#This Row],[DATA VERIFICAÇÃO]],"mmm")))</f>
        <v>MAI</v>
      </c>
      <c r="Y934" t="s">
        <v>598</v>
      </c>
      <c r="Z934" t="s">
        <v>831</v>
      </c>
      <c r="AA934" t="s">
        <v>832</v>
      </c>
    </row>
    <row r="935" spans="1:27" ht="14.4" hidden="1" customHeight="1" x14ac:dyDescent="0.3">
      <c r="A935" s="4" t="s">
        <v>0</v>
      </c>
      <c r="B935" s="4" t="s">
        <v>17</v>
      </c>
      <c r="C935" s="16" t="s">
        <v>18</v>
      </c>
      <c r="D935" s="4">
        <v>10</v>
      </c>
      <c r="E935" s="4" t="s">
        <v>745</v>
      </c>
      <c r="F935" t="s">
        <v>620</v>
      </c>
      <c r="G935" t="s">
        <v>66</v>
      </c>
      <c r="J935" s="4" t="s">
        <v>55</v>
      </c>
      <c r="K935" s="4" t="s">
        <v>21</v>
      </c>
      <c r="L935" s="4" t="s">
        <v>742</v>
      </c>
      <c r="M935" s="17">
        <v>14</v>
      </c>
      <c r="N935" s="17">
        <v>920</v>
      </c>
      <c r="O935" s="18" t="s">
        <v>55</v>
      </c>
      <c r="P935" s="18">
        <v>920</v>
      </c>
      <c r="Q935" s="18">
        <v>14</v>
      </c>
      <c r="R935" s="18" t="s">
        <v>814</v>
      </c>
      <c r="S935" s="18" t="s">
        <v>818</v>
      </c>
      <c r="T935" s="18" t="s">
        <v>819</v>
      </c>
      <c r="U9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35" s="19">
        <f>IF(AUDITORIA[[#This Row],[CAT]]="",0,1)</f>
        <v>1</v>
      </c>
      <c r="W935" s="20">
        <v>46163</v>
      </c>
      <c r="X935" s="21" t="str">
        <f>UPPER(IF(AUDITORIA[[#This Row],[DATA VERIFICAÇÃO]]="","",TEXT(AUDITORIA[[#This Row],[DATA VERIFICAÇÃO]],"mmm")))</f>
        <v>MAI</v>
      </c>
      <c r="Y935" t="s">
        <v>598</v>
      </c>
      <c r="Z935" t="s">
        <v>831</v>
      </c>
      <c r="AA935" t="s">
        <v>832</v>
      </c>
    </row>
    <row r="936" spans="1:27" ht="14.4" hidden="1" customHeight="1" x14ac:dyDescent="0.3">
      <c r="A936" s="4" t="s">
        <v>0</v>
      </c>
      <c r="B936" s="4" t="s">
        <v>17</v>
      </c>
      <c r="C936" s="16" t="s">
        <v>18</v>
      </c>
      <c r="D936" s="4">
        <v>10</v>
      </c>
      <c r="E936" s="4" t="s">
        <v>745</v>
      </c>
      <c r="F936" t="s">
        <v>64</v>
      </c>
      <c r="G936" t="s">
        <v>54</v>
      </c>
      <c r="J936" s="4" t="s">
        <v>55</v>
      </c>
      <c r="K936" s="4" t="s">
        <v>20</v>
      </c>
      <c r="L936" s="4" t="s">
        <v>742</v>
      </c>
      <c r="M936" s="17">
        <v>30</v>
      </c>
      <c r="N936" s="17">
        <v>697</v>
      </c>
      <c r="O936" s="18" t="s">
        <v>55</v>
      </c>
      <c r="P936" s="18">
        <v>697</v>
      </c>
      <c r="Q936" s="18">
        <v>30</v>
      </c>
      <c r="R936" s="18" t="s">
        <v>814</v>
      </c>
      <c r="S936" s="18" t="s">
        <v>787</v>
      </c>
      <c r="T936" s="18" t="s">
        <v>780</v>
      </c>
      <c r="U9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36" s="19">
        <f>IF(AUDITORIA[[#This Row],[CAT]]="",0,1)</f>
        <v>1</v>
      </c>
      <c r="W936" s="20">
        <v>46163</v>
      </c>
      <c r="X936" s="21" t="str">
        <f>UPPER(IF(AUDITORIA[[#This Row],[DATA VERIFICAÇÃO]]="","",TEXT(AUDITORIA[[#This Row],[DATA VERIFICAÇÃO]],"mmm")))</f>
        <v>MAI</v>
      </c>
      <c r="Y936" t="s">
        <v>598</v>
      </c>
      <c r="Z936" t="s">
        <v>831</v>
      </c>
      <c r="AA936" t="s">
        <v>832</v>
      </c>
    </row>
    <row r="937" spans="1:27" ht="14.4" hidden="1" customHeight="1" x14ac:dyDescent="0.3">
      <c r="A937" s="4" t="s">
        <v>0</v>
      </c>
      <c r="B937" s="4" t="s">
        <v>17</v>
      </c>
      <c r="C937" s="16" t="s">
        <v>18</v>
      </c>
      <c r="D937" s="4">
        <v>10</v>
      </c>
      <c r="E937" s="4" t="s">
        <v>745</v>
      </c>
      <c r="F937" t="s">
        <v>62</v>
      </c>
      <c r="G937" t="s">
        <v>54</v>
      </c>
      <c r="J937" s="4" t="s">
        <v>55</v>
      </c>
      <c r="K937" s="4" t="s">
        <v>20</v>
      </c>
      <c r="L937" s="4" t="s">
        <v>742</v>
      </c>
      <c r="M937" s="17">
        <v>30</v>
      </c>
      <c r="N937" s="17">
        <v>680</v>
      </c>
      <c r="O937" s="18" t="s">
        <v>55</v>
      </c>
      <c r="P937" s="18">
        <v>680</v>
      </c>
      <c r="Q937" s="18">
        <v>30</v>
      </c>
      <c r="R937" s="18" t="s">
        <v>814</v>
      </c>
      <c r="S937" s="18" t="s">
        <v>787</v>
      </c>
      <c r="T937" s="18" t="s">
        <v>782</v>
      </c>
      <c r="U9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37" s="19">
        <f>IF(AUDITORIA[[#This Row],[CAT]]="",0,1)</f>
        <v>1</v>
      </c>
      <c r="W937" s="20">
        <v>46163</v>
      </c>
      <c r="X937" s="21" t="str">
        <f>UPPER(IF(AUDITORIA[[#This Row],[DATA VERIFICAÇÃO]]="","",TEXT(AUDITORIA[[#This Row],[DATA VERIFICAÇÃO]],"mmm")))</f>
        <v>MAI</v>
      </c>
      <c r="Y937" t="s">
        <v>598</v>
      </c>
      <c r="Z937" t="s">
        <v>831</v>
      </c>
      <c r="AA937" t="s">
        <v>832</v>
      </c>
    </row>
    <row r="938" spans="1:27" ht="14.4" hidden="1" customHeight="1" x14ac:dyDescent="0.3">
      <c r="A938" s="4" t="s">
        <v>0</v>
      </c>
      <c r="B938" s="4" t="s">
        <v>17</v>
      </c>
      <c r="C938" s="16" t="s">
        <v>18</v>
      </c>
      <c r="D938" s="4">
        <v>10</v>
      </c>
      <c r="E938" s="4" t="s">
        <v>745</v>
      </c>
      <c r="F938" t="s">
        <v>61</v>
      </c>
      <c r="G938" t="s">
        <v>54</v>
      </c>
      <c r="J938" s="4" t="s">
        <v>55</v>
      </c>
      <c r="K938" s="4" t="s">
        <v>20</v>
      </c>
      <c r="L938" s="4" t="s">
        <v>742</v>
      </c>
      <c r="M938" s="17">
        <v>30</v>
      </c>
      <c r="N938" s="17">
        <v>677</v>
      </c>
      <c r="O938" s="18" t="s">
        <v>55</v>
      </c>
      <c r="P938" s="18">
        <v>677</v>
      </c>
      <c r="Q938" s="18">
        <v>30</v>
      </c>
      <c r="R938" s="18" t="s">
        <v>814</v>
      </c>
      <c r="S938" s="18" t="s">
        <v>787</v>
      </c>
      <c r="T938" s="18" t="s">
        <v>781</v>
      </c>
      <c r="U9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38" s="19">
        <f>IF(AUDITORIA[[#This Row],[CAT]]="",0,1)</f>
        <v>1</v>
      </c>
      <c r="W938" s="20">
        <v>46163</v>
      </c>
      <c r="X938" s="21" t="str">
        <f>UPPER(IF(AUDITORIA[[#This Row],[DATA VERIFICAÇÃO]]="","",TEXT(AUDITORIA[[#This Row],[DATA VERIFICAÇÃO]],"mmm")))</f>
        <v>MAI</v>
      </c>
      <c r="Y938" t="s">
        <v>598</v>
      </c>
      <c r="Z938" t="s">
        <v>831</v>
      </c>
      <c r="AA938" t="s">
        <v>832</v>
      </c>
    </row>
    <row r="939" spans="1:27" ht="14.4" hidden="1" customHeight="1" x14ac:dyDescent="0.3">
      <c r="A939" s="4" t="s">
        <v>0</v>
      </c>
      <c r="B939" s="4" t="s">
        <v>17</v>
      </c>
      <c r="C939" s="16" t="s">
        <v>18</v>
      </c>
      <c r="D939" s="4">
        <v>10</v>
      </c>
      <c r="E939" s="4" t="s">
        <v>745</v>
      </c>
      <c r="F939" t="s">
        <v>59</v>
      </c>
      <c r="G939" t="s">
        <v>54</v>
      </c>
      <c r="J939" s="4" t="s">
        <v>55</v>
      </c>
      <c r="K939" s="4" t="s">
        <v>20</v>
      </c>
      <c r="L939" s="4" t="s">
        <v>742</v>
      </c>
      <c r="M939" s="17">
        <v>30</v>
      </c>
      <c r="N939" s="17">
        <v>690</v>
      </c>
      <c r="O939" s="18" t="s">
        <v>55</v>
      </c>
      <c r="P939" s="18">
        <v>690</v>
      </c>
      <c r="Q939" s="18">
        <v>30</v>
      </c>
      <c r="R939" s="18" t="s">
        <v>814</v>
      </c>
      <c r="S939" s="18" t="s">
        <v>785</v>
      </c>
      <c r="T939" s="18" t="s">
        <v>781</v>
      </c>
      <c r="U9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39" s="19">
        <f>IF(AUDITORIA[[#This Row],[CAT]]="",0,1)</f>
        <v>1</v>
      </c>
      <c r="W939" s="20">
        <v>46163</v>
      </c>
      <c r="X939" s="21" t="str">
        <f>UPPER(IF(AUDITORIA[[#This Row],[DATA VERIFICAÇÃO]]="","",TEXT(AUDITORIA[[#This Row],[DATA VERIFICAÇÃO]],"mmm")))</f>
        <v>MAI</v>
      </c>
      <c r="Y939" t="s">
        <v>598</v>
      </c>
      <c r="Z939" t="s">
        <v>831</v>
      </c>
      <c r="AA939" t="s">
        <v>832</v>
      </c>
    </row>
    <row r="940" spans="1:27" ht="14.4" hidden="1" customHeight="1" x14ac:dyDescent="0.3">
      <c r="A940" s="4" t="s">
        <v>0</v>
      </c>
      <c r="B940" s="4" t="s">
        <v>17</v>
      </c>
      <c r="C940" s="16" t="s">
        <v>18</v>
      </c>
      <c r="D940" s="4">
        <v>10</v>
      </c>
      <c r="E940" s="4" t="s">
        <v>745</v>
      </c>
      <c r="F940" t="s">
        <v>58</v>
      </c>
      <c r="G940" t="s">
        <v>54</v>
      </c>
      <c r="J940" s="4" t="s">
        <v>55</v>
      </c>
      <c r="K940" s="4" t="s">
        <v>20</v>
      </c>
      <c r="L940" s="4" t="s">
        <v>742</v>
      </c>
      <c r="M940" s="17">
        <v>30</v>
      </c>
      <c r="N940" s="17">
        <v>674</v>
      </c>
      <c r="O940" s="18" t="s">
        <v>55</v>
      </c>
      <c r="P940" s="18">
        <v>674</v>
      </c>
      <c r="Q940" s="18">
        <v>30</v>
      </c>
      <c r="R940" s="18" t="s">
        <v>814</v>
      </c>
      <c r="S940" s="18" t="s">
        <v>785</v>
      </c>
      <c r="T940" s="18" t="s">
        <v>780</v>
      </c>
      <c r="U9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40" s="19">
        <f>IF(AUDITORIA[[#This Row],[CAT]]="",0,1)</f>
        <v>1</v>
      </c>
      <c r="W940" s="20">
        <v>46163</v>
      </c>
      <c r="X940" s="21" t="str">
        <f>UPPER(IF(AUDITORIA[[#This Row],[DATA VERIFICAÇÃO]]="","",TEXT(AUDITORIA[[#This Row],[DATA VERIFICAÇÃO]],"mmm")))</f>
        <v>MAI</v>
      </c>
      <c r="Y940" t="s">
        <v>598</v>
      </c>
      <c r="Z940" t="s">
        <v>831</v>
      </c>
      <c r="AA940" t="s">
        <v>832</v>
      </c>
    </row>
    <row r="941" spans="1:27" ht="14.4" hidden="1" customHeight="1" x14ac:dyDescent="0.3">
      <c r="A941" s="4" t="s">
        <v>0</v>
      </c>
      <c r="B941" s="4" t="s">
        <v>17</v>
      </c>
      <c r="C941" s="16" t="s">
        <v>18</v>
      </c>
      <c r="D941" s="4">
        <v>10</v>
      </c>
      <c r="E941" s="4" t="s">
        <v>745</v>
      </c>
      <c r="F941" t="s">
        <v>56</v>
      </c>
      <c r="G941" t="s">
        <v>54</v>
      </c>
      <c r="J941" s="4" t="s">
        <v>55</v>
      </c>
      <c r="K941" s="4" t="s">
        <v>20</v>
      </c>
      <c r="L941" s="4" t="s">
        <v>742</v>
      </c>
      <c r="M941" s="17">
        <v>30</v>
      </c>
      <c r="N941" s="17">
        <v>639</v>
      </c>
      <c r="O941" s="18" t="s">
        <v>55</v>
      </c>
      <c r="P941" s="18">
        <v>639</v>
      </c>
      <c r="Q941" s="18">
        <v>30</v>
      </c>
      <c r="R941" s="18" t="s">
        <v>814</v>
      </c>
      <c r="S941" s="18" t="s">
        <v>785</v>
      </c>
      <c r="T941" s="18" t="s">
        <v>782</v>
      </c>
      <c r="U9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41" s="19">
        <f>IF(AUDITORIA[[#This Row],[CAT]]="",0,1)</f>
        <v>1</v>
      </c>
      <c r="W941" s="20">
        <v>46163</v>
      </c>
      <c r="X941" s="21" t="str">
        <f>UPPER(IF(AUDITORIA[[#This Row],[DATA VERIFICAÇÃO]]="","",TEXT(AUDITORIA[[#This Row],[DATA VERIFICAÇÃO]],"mmm")))</f>
        <v>MAI</v>
      </c>
      <c r="Y941" t="s">
        <v>598</v>
      </c>
      <c r="Z941" t="s">
        <v>831</v>
      </c>
      <c r="AA941" t="s">
        <v>832</v>
      </c>
    </row>
    <row r="942" spans="1:27" ht="14.4" hidden="1" customHeight="1" x14ac:dyDescent="0.3">
      <c r="A942" s="4" t="s">
        <v>0</v>
      </c>
      <c r="B942" s="4" t="s">
        <v>17</v>
      </c>
      <c r="C942" s="16" t="s">
        <v>18</v>
      </c>
      <c r="D942" s="4">
        <v>10</v>
      </c>
      <c r="E942" s="4" t="s">
        <v>745</v>
      </c>
      <c r="F942" t="s">
        <v>655</v>
      </c>
      <c r="G942" t="s">
        <v>54</v>
      </c>
      <c r="J942" s="4" t="s">
        <v>55</v>
      </c>
      <c r="K942" s="4" t="s">
        <v>20</v>
      </c>
      <c r="L942" s="4" t="s">
        <v>742</v>
      </c>
      <c r="M942" s="17">
        <v>30</v>
      </c>
      <c r="N942" s="17">
        <v>629</v>
      </c>
      <c r="O942" s="18" t="s">
        <v>55</v>
      </c>
      <c r="P942" s="18">
        <v>629</v>
      </c>
      <c r="Q942" s="18">
        <v>30</v>
      </c>
      <c r="R942" s="18" t="s">
        <v>814</v>
      </c>
      <c r="S942" s="18" t="s">
        <v>792</v>
      </c>
      <c r="T942" s="18" t="s">
        <v>780</v>
      </c>
      <c r="U9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42" s="19">
        <f>IF(AUDITORIA[[#This Row],[CAT]]="",0,1)</f>
        <v>1</v>
      </c>
      <c r="W942" s="20">
        <v>46163</v>
      </c>
      <c r="X942" s="21" t="str">
        <f>UPPER(IF(AUDITORIA[[#This Row],[DATA VERIFICAÇÃO]]="","",TEXT(AUDITORIA[[#This Row],[DATA VERIFICAÇÃO]],"mmm")))</f>
        <v>MAI</v>
      </c>
      <c r="Y942" t="s">
        <v>598</v>
      </c>
      <c r="Z942" t="s">
        <v>831</v>
      </c>
      <c r="AA942" t="s">
        <v>832</v>
      </c>
    </row>
    <row r="943" spans="1:27" ht="14.4" hidden="1" customHeight="1" x14ac:dyDescent="0.3">
      <c r="A943" s="4" t="s">
        <v>0</v>
      </c>
      <c r="B943" s="4" t="s">
        <v>17</v>
      </c>
      <c r="C943" s="16" t="s">
        <v>18</v>
      </c>
      <c r="D943" s="4">
        <v>10</v>
      </c>
      <c r="E943" s="4" t="s">
        <v>745</v>
      </c>
      <c r="F943" t="s">
        <v>653</v>
      </c>
      <c r="G943" t="s">
        <v>54</v>
      </c>
      <c r="J943" s="4" t="s">
        <v>55</v>
      </c>
      <c r="K943" s="4" t="s">
        <v>20</v>
      </c>
      <c r="L943" s="4" t="s">
        <v>742</v>
      </c>
      <c r="M943" s="17">
        <v>30</v>
      </c>
      <c r="N943" s="17">
        <v>651</v>
      </c>
      <c r="O943" s="18" t="s">
        <v>55</v>
      </c>
      <c r="P943" s="18">
        <v>651</v>
      </c>
      <c r="Q943" s="18">
        <v>30</v>
      </c>
      <c r="R943" s="18" t="s">
        <v>814</v>
      </c>
      <c r="S943" s="18" t="s">
        <v>792</v>
      </c>
      <c r="T943" s="18" t="s">
        <v>781</v>
      </c>
      <c r="U9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43" s="19">
        <f>IF(AUDITORIA[[#This Row],[CAT]]="",0,1)</f>
        <v>1</v>
      </c>
      <c r="W943" s="20">
        <v>46163</v>
      </c>
      <c r="X943" s="21" t="str">
        <f>UPPER(IF(AUDITORIA[[#This Row],[DATA VERIFICAÇÃO]]="","",TEXT(AUDITORIA[[#This Row],[DATA VERIFICAÇÃO]],"mmm")))</f>
        <v>MAI</v>
      </c>
      <c r="Y943" t="s">
        <v>598</v>
      </c>
      <c r="Z943" t="s">
        <v>831</v>
      </c>
      <c r="AA943" t="s">
        <v>832</v>
      </c>
    </row>
    <row r="944" spans="1:27" ht="14.4" hidden="1" customHeight="1" x14ac:dyDescent="0.3">
      <c r="A944" s="4" t="s">
        <v>0</v>
      </c>
      <c r="B944" s="4" t="s">
        <v>17</v>
      </c>
      <c r="C944" s="16" t="s">
        <v>18</v>
      </c>
      <c r="D944" s="4">
        <v>10</v>
      </c>
      <c r="E944" s="4" t="s">
        <v>745</v>
      </c>
      <c r="F944" t="s">
        <v>651</v>
      </c>
      <c r="G944" t="s">
        <v>54</v>
      </c>
      <c r="J944" s="4" t="s">
        <v>55</v>
      </c>
      <c r="K944" s="4" t="s">
        <v>20</v>
      </c>
      <c r="L944" s="4" t="s">
        <v>742</v>
      </c>
      <c r="M944" s="17">
        <v>30</v>
      </c>
      <c r="N944" s="17">
        <v>628</v>
      </c>
      <c r="O944" s="18" t="s">
        <v>55</v>
      </c>
      <c r="P944" s="18">
        <v>628</v>
      </c>
      <c r="Q944" s="18">
        <v>30</v>
      </c>
      <c r="R944" s="18" t="s">
        <v>814</v>
      </c>
      <c r="S944" s="18" t="s">
        <v>810</v>
      </c>
      <c r="T944" s="18" t="s">
        <v>782</v>
      </c>
      <c r="U9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44" s="19">
        <f>IF(AUDITORIA[[#This Row],[CAT]]="",0,1)</f>
        <v>1</v>
      </c>
      <c r="W944" s="20">
        <v>46163</v>
      </c>
      <c r="X944" s="21" t="str">
        <f>UPPER(IF(AUDITORIA[[#This Row],[DATA VERIFICAÇÃO]]="","",TEXT(AUDITORIA[[#This Row],[DATA VERIFICAÇÃO]],"mmm")))</f>
        <v>MAI</v>
      </c>
      <c r="Y944" t="s">
        <v>598</v>
      </c>
      <c r="Z944" t="s">
        <v>831</v>
      </c>
      <c r="AA944" t="s">
        <v>832</v>
      </c>
    </row>
    <row r="945" spans="1:27" ht="14.4" hidden="1" customHeight="1" x14ac:dyDescent="0.3">
      <c r="A945" s="4" t="s">
        <v>0</v>
      </c>
      <c r="B945" s="4" t="s">
        <v>17</v>
      </c>
      <c r="C945" s="16" t="s">
        <v>18</v>
      </c>
      <c r="D945" s="4">
        <v>10</v>
      </c>
      <c r="E945" s="4" t="s">
        <v>745</v>
      </c>
      <c r="F945" t="s">
        <v>649</v>
      </c>
      <c r="G945" t="s">
        <v>54</v>
      </c>
      <c r="J945" s="4" t="s">
        <v>55</v>
      </c>
      <c r="K945" s="4" t="s">
        <v>20</v>
      </c>
      <c r="L945" s="4" t="s">
        <v>742</v>
      </c>
      <c r="M945" s="17">
        <v>30</v>
      </c>
      <c r="N945" s="17">
        <v>649</v>
      </c>
      <c r="O945" s="18" t="s">
        <v>55</v>
      </c>
      <c r="P945" s="18">
        <v>649</v>
      </c>
      <c r="Q945" s="18">
        <v>30</v>
      </c>
      <c r="R945" s="18" t="s">
        <v>814</v>
      </c>
      <c r="S945" s="18" t="s">
        <v>792</v>
      </c>
      <c r="T945" s="18" t="s">
        <v>782</v>
      </c>
      <c r="U9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45" s="19">
        <f>IF(AUDITORIA[[#This Row],[CAT]]="",0,1)</f>
        <v>1</v>
      </c>
      <c r="W945" s="20">
        <v>46163</v>
      </c>
      <c r="X945" s="21" t="str">
        <f>UPPER(IF(AUDITORIA[[#This Row],[DATA VERIFICAÇÃO]]="","",TEXT(AUDITORIA[[#This Row],[DATA VERIFICAÇÃO]],"mmm")))</f>
        <v>MAI</v>
      </c>
      <c r="Y945" t="s">
        <v>598</v>
      </c>
      <c r="Z945" t="s">
        <v>831</v>
      </c>
      <c r="AA945" t="s">
        <v>832</v>
      </c>
    </row>
    <row r="946" spans="1:27" ht="14.4" hidden="1" customHeight="1" x14ac:dyDescent="0.3">
      <c r="A946" s="4" t="s">
        <v>0</v>
      </c>
      <c r="B946" s="4" t="s">
        <v>17</v>
      </c>
      <c r="C946" s="16" t="s">
        <v>18</v>
      </c>
      <c r="D946" s="4">
        <v>10</v>
      </c>
      <c r="E946" s="4" t="s">
        <v>745</v>
      </c>
      <c r="F946" t="s">
        <v>647</v>
      </c>
      <c r="G946" t="s">
        <v>54</v>
      </c>
      <c r="J946" s="4" t="s">
        <v>55</v>
      </c>
      <c r="K946" s="4" t="s">
        <v>20</v>
      </c>
      <c r="L946" s="4" t="s">
        <v>742</v>
      </c>
      <c r="M946" s="17">
        <v>30</v>
      </c>
      <c r="N946" s="17">
        <v>664</v>
      </c>
      <c r="O946" s="18" t="s">
        <v>55</v>
      </c>
      <c r="P946" s="18">
        <v>664</v>
      </c>
      <c r="Q946" s="18">
        <v>30</v>
      </c>
      <c r="R946" s="18" t="s">
        <v>814</v>
      </c>
      <c r="S946" s="18" t="s">
        <v>810</v>
      </c>
      <c r="T946" s="18" t="s">
        <v>781</v>
      </c>
      <c r="U9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46" s="19">
        <f>IF(AUDITORIA[[#This Row],[CAT]]="",0,1)</f>
        <v>1</v>
      </c>
      <c r="W946" s="20">
        <v>46163</v>
      </c>
      <c r="X946" s="21" t="str">
        <f>UPPER(IF(AUDITORIA[[#This Row],[DATA VERIFICAÇÃO]]="","",TEXT(AUDITORIA[[#This Row],[DATA VERIFICAÇÃO]],"mmm")))</f>
        <v>MAI</v>
      </c>
      <c r="Y946" t="s">
        <v>598</v>
      </c>
      <c r="Z946" t="s">
        <v>831</v>
      </c>
      <c r="AA946" t="s">
        <v>832</v>
      </c>
    </row>
    <row r="947" spans="1:27" ht="14.4" hidden="1" customHeight="1" x14ac:dyDescent="0.3">
      <c r="A947" s="4" t="s">
        <v>0</v>
      </c>
      <c r="B947" s="4" t="s">
        <v>17</v>
      </c>
      <c r="C947" s="16" t="s">
        <v>18</v>
      </c>
      <c r="D947" s="4">
        <v>10</v>
      </c>
      <c r="E947" s="4" t="s">
        <v>745</v>
      </c>
      <c r="F947" t="s">
        <v>644</v>
      </c>
      <c r="G947" t="s">
        <v>54</v>
      </c>
      <c r="J947" s="4" t="s">
        <v>55</v>
      </c>
      <c r="K947" s="4" t="s">
        <v>20</v>
      </c>
      <c r="L947" s="4" t="s">
        <v>742</v>
      </c>
      <c r="M947" s="17">
        <v>30</v>
      </c>
      <c r="N947" s="17">
        <v>645</v>
      </c>
      <c r="O947" s="18" t="s">
        <v>55</v>
      </c>
      <c r="P947" s="18">
        <v>645</v>
      </c>
      <c r="Q947" s="18">
        <v>30</v>
      </c>
      <c r="R947" s="18" t="s">
        <v>814</v>
      </c>
      <c r="S947" s="18" t="s">
        <v>810</v>
      </c>
      <c r="T947" s="18" t="s">
        <v>780</v>
      </c>
      <c r="U9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47" s="19">
        <f>IF(AUDITORIA[[#This Row],[CAT]]="",0,1)</f>
        <v>1</v>
      </c>
      <c r="W947" s="20">
        <v>46163</v>
      </c>
      <c r="X947" s="21" t="str">
        <f>UPPER(IF(AUDITORIA[[#This Row],[DATA VERIFICAÇÃO]]="","",TEXT(AUDITORIA[[#This Row],[DATA VERIFICAÇÃO]],"mmm")))</f>
        <v>MAI</v>
      </c>
      <c r="Y947" t="s">
        <v>598</v>
      </c>
      <c r="Z947" t="s">
        <v>831</v>
      </c>
      <c r="AA947" t="s">
        <v>832</v>
      </c>
    </row>
    <row r="948" spans="1:27" ht="14.4" hidden="1" customHeight="1" x14ac:dyDescent="0.3">
      <c r="A948" s="4" t="s">
        <v>0</v>
      </c>
      <c r="B948" s="4" t="s">
        <v>17</v>
      </c>
      <c r="C948" s="16" t="s">
        <v>18</v>
      </c>
      <c r="D948" s="4">
        <v>10</v>
      </c>
      <c r="E948" s="4" t="s">
        <v>745</v>
      </c>
      <c r="F948" t="s">
        <v>618</v>
      </c>
      <c r="G948" t="s">
        <v>54</v>
      </c>
      <c r="J948" s="4" t="s">
        <v>55</v>
      </c>
      <c r="K948" s="4" t="s">
        <v>20</v>
      </c>
      <c r="L948" s="4" t="s">
        <v>742</v>
      </c>
      <c r="M948" s="17">
        <v>30</v>
      </c>
      <c r="N948" s="17">
        <v>652</v>
      </c>
      <c r="O948" s="18" t="s">
        <v>55</v>
      </c>
      <c r="P948" s="18">
        <v>652</v>
      </c>
      <c r="Q948" s="18">
        <v>30</v>
      </c>
      <c r="R948" s="18" t="s">
        <v>814</v>
      </c>
      <c r="S948" s="18" t="s">
        <v>796</v>
      </c>
      <c r="T948" s="18" t="s">
        <v>780</v>
      </c>
      <c r="U9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48" s="19">
        <f>IF(AUDITORIA[[#This Row],[CAT]]="",0,1)</f>
        <v>1</v>
      </c>
      <c r="W948" s="20">
        <v>46163</v>
      </c>
      <c r="X948" s="21" t="str">
        <f>UPPER(IF(AUDITORIA[[#This Row],[DATA VERIFICAÇÃO]]="","",TEXT(AUDITORIA[[#This Row],[DATA VERIFICAÇÃO]],"mmm")))</f>
        <v>MAI</v>
      </c>
      <c r="Y948" t="s">
        <v>598</v>
      </c>
      <c r="Z948" t="s">
        <v>831</v>
      </c>
      <c r="AA948" t="s">
        <v>832</v>
      </c>
    </row>
    <row r="949" spans="1:27" ht="14.4" hidden="1" customHeight="1" x14ac:dyDescent="0.3">
      <c r="A949" s="4" t="s">
        <v>0</v>
      </c>
      <c r="B949" s="4" t="s">
        <v>17</v>
      </c>
      <c r="C949" s="16" t="s">
        <v>18</v>
      </c>
      <c r="D949" s="4">
        <v>10</v>
      </c>
      <c r="E949" s="4" t="s">
        <v>745</v>
      </c>
      <c r="F949" t="s">
        <v>616</v>
      </c>
      <c r="G949" t="s">
        <v>54</v>
      </c>
      <c r="J949" s="4" t="s">
        <v>55</v>
      </c>
      <c r="K949" s="4" t="s">
        <v>20</v>
      </c>
      <c r="L949" s="4" t="s">
        <v>742</v>
      </c>
      <c r="M949" s="17">
        <v>30</v>
      </c>
      <c r="N949" s="17">
        <v>660</v>
      </c>
      <c r="O949" s="18" t="s">
        <v>55</v>
      </c>
      <c r="P949" s="18">
        <v>660</v>
      </c>
      <c r="Q949" s="18">
        <v>30</v>
      </c>
      <c r="R949" s="18" t="s">
        <v>814</v>
      </c>
      <c r="S949" s="18" t="s">
        <v>796</v>
      </c>
      <c r="T949" s="18" t="s">
        <v>781</v>
      </c>
      <c r="U9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49" s="19">
        <f>IF(AUDITORIA[[#This Row],[CAT]]="",0,1)</f>
        <v>1</v>
      </c>
      <c r="W949" s="20">
        <v>46163</v>
      </c>
      <c r="X949" s="21" t="str">
        <f>UPPER(IF(AUDITORIA[[#This Row],[DATA VERIFICAÇÃO]]="","",TEXT(AUDITORIA[[#This Row],[DATA VERIFICAÇÃO]],"mmm")))</f>
        <v>MAI</v>
      </c>
      <c r="Y949" t="s">
        <v>598</v>
      </c>
      <c r="Z949" t="s">
        <v>831</v>
      </c>
      <c r="AA949" t="s">
        <v>832</v>
      </c>
    </row>
    <row r="950" spans="1:27" ht="14.4" hidden="1" customHeight="1" x14ac:dyDescent="0.3">
      <c r="A950" s="4" t="s">
        <v>0</v>
      </c>
      <c r="B950" s="4" t="s">
        <v>17</v>
      </c>
      <c r="C950" s="16" t="s">
        <v>18</v>
      </c>
      <c r="D950" s="4">
        <v>10</v>
      </c>
      <c r="E950" s="4" t="s">
        <v>745</v>
      </c>
      <c r="F950" t="s">
        <v>613</v>
      </c>
      <c r="G950" t="s">
        <v>54</v>
      </c>
      <c r="J950" s="4" t="s">
        <v>55</v>
      </c>
      <c r="K950" s="4" t="s">
        <v>20</v>
      </c>
      <c r="L950" s="4" t="s">
        <v>742</v>
      </c>
      <c r="M950" s="17">
        <v>30</v>
      </c>
      <c r="N950" s="17">
        <v>645</v>
      </c>
      <c r="O950" s="18" t="s">
        <v>55</v>
      </c>
      <c r="P950" s="18">
        <v>645</v>
      </c>
      <c r="Q950" s="18">
        <v>30</v>
      </c>
      <c r="R950" s="18" t="s">
        <v>814</v>
      </c>
      <c r="S950" s="18" t="s">
        <v>796</v>
      </c>
      <c r="T950" s="18" t="s">
        <v>782</v>
      </c>
      <c r="U9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50" s="19">
        <f>IF(AUDITORIA[[#This Row],[CAT]]="",0,1)</f>
        <v>1</v>
      </c>
      <c r="W950" s="20">
        <v>46163</v>
      </c>
      <c r="X950" s="21" t="str">
        <f>UPPER(IF(AUDITORIA[[#This Row],[DATA VERIFICAÇÃO]]="","",TEXT(AUDITORIA[[#This Row],[DATA VERIFICAÇÃO]],"mmm")))</f>
        <v>MAI</v>
      </c>
      <c r="Y950" t="s">
        <v>598</v>
      </c>
      <c r="Z950" t="s">
        <v>831</v>
      </c>
      <c r="AA950" t="s">
        <v>832</v>
      </c>
    </row>
    <row r="951" spans="1:27" ht="14.4" hidden="1" customHeight="1" x14ac:dyDescent="0.3">
      <c r="A951" s="4" t="s">
        <v>0</v>
      </c>
      <c r="B951" s="4" t="s">
        <v>17</v>
      </c>
      <c r="C951" s="16" t="s">
        <v>18</v>
      </c>
      <c r="D951" s="4">
        <v>10</v>
      </c>
      <c r="E951" s="4" t="s">
        <v>745</v>
      </c>
      <c r="F951" t="s">
        <v>612</v>
      </c>
      <c r="G951" t="s">
        <v>54</v>
      </c>
      <c r="J951" s="4" t="s">
        <v>55</v>
      </c>
      <c r="K951" s="4" t="s">
        <v>20</v>
      </c>
      <c r="L951" s="4" t="s">
        <v>742</v>
      </c>
      <c r="M951" s="17">
        <v>30</v>
      </c>
      <c r="N951" s="17">
        <v>628</v>
      </c>
      <c r="O951" s="18" t="s">
        <v>55</v>
      </c>
      <c r="P951" s="18">
        <v>628</v>
      </c>
      <c r="Q951" s="18">
        <v>30</v>
      </c>
      <c r="R951" s="18" t="s">
        <v>817</v>
      </c>
      <c r="S951" s="18" t="s">
        <v>805</v>
      </c>
      <c r="T951" s="18" t="s">
        <v>782</v>
      </c>
      <c r="U9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51" s="19">
        <f>IF(AUDITORIA[[#This Row],[CAT]]="",0,1)</f>
        <v>1</v>
      </c>
      <c r="W951" s="20">
        <v>46163</v>
      </c>
      <c r="X951" s="21" t="str">
        <f>UPPER(IF(AUDITORIA[[#This Row],[DATA VERIFICAÇÃO]]="","",TEXT(AUDITORIA[[#This Row],[DATA VERIFICAÇÃO]],"mmm")))</f>
        <v>MAI</v>
      </c>
      <c r="Y951" t="s">
        <v>598</v>
      </c>
      <c r="Z951" t="s">
        <v>831</v>
      </c>
      <c r="AA951" t="s">
        <v>832</v>
      </c>
    </row>
    <row r="952" spans="1:27" ht="14.4" hidden="1" customHeight="1" x14ac:dyDescent="0.3">
      <c r="A952" s="4" t="s">
        <v>0</v>
      </c>
      <c r="B952" s="4" t="s">
        <v>17</v>
      </c>
      <c r="C952" s="16" t="s">
        <v>18</v>
      </c>
      <c r="D952" s="4">
        <v>10</v>
      </c>
      <c r="E952" s="4" t="s">
        <v>745</v>
      </c>
      <c r="F952" t="s">
        <v>610</v>
      </c>
      <c r="G952" t="s">
        <v>54</v>
      </c>
      <c r="J952" s="4" t="s">
        <v>55</v>
      </c>
      <c r="K952" s="4" t="s">
        <v>20</v>
      </c>
      <c r="L952" s="4" t="s">
        <v>742</v>
      </c>
      <c r="M952" s="17">
        <v>30</v>
      </c>
      <c r="N952" s="17">
        <v>635</v>
      </c>
      <c r="O952" s="18" t="s">
        <v>55</v>
      </c>
      <c r="P952" s="18">
        <v>635</v>
      </c>
      <c r="Q952" s="18">
        <v>30</v>
      </c>
      <c r="R952" s="18" t="s">
        <v>817</v>
      </c>
      <c r="S952" s="18" t="s">
        <v>805</v>
      </c>
      <c r="T952" s="18" t="s">
        <v>781</v>
      </c>
      <c r="U9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52" s="19">
        <f>IF(AUDITORIA[[#This Row],[CAT]]="",0,1)</f>
        <v>1</v>
      </c>
      <c r="W952" s="20">
        <v>46163</v>
      </c>
      <c r="X952" s="21" t="str">
        <f>UPPER(IF(AUDITORIA[[#This Row],[DATA VERIFICAÇÃO]]="","",TEXT(AUDITORIA[[#This Row],[DATA VERIFICAÇÃO]],"mmm")))</f>
        <v>MAI</v>
      </c>
      <c r="Y952" t="s">
        <v>598</v>
      </c>
      <c r="Z952" t="s">
        <v>831</v>
      </c>
      <c r="AA952" t="s">
        <v>832</v>
      </c>
    </row>
    <row r="953" spans="1:27" ht="14.4" hidden="1" customHeight="1" x14ac:dyDescent="0.3">
      <c r="A953" s="4" t="s">
        <v>0</v>
      </c>
      <c r="B953" s="4" t="s">
        <v>17</v>
      </c>
      <c r="C953" s="16" t="s">
        <v>18</v>
      </c>
      <c r="D953" s="4">
        <v>10</v>
      </c>
      <c r="E953" s="4" t="s">
        <v>745</v>
      </c>
      <c r="F953" t="s">
        <v>608</v>
      </c>
      <c r="G953" t="s">
        <v>54</v>
      </c>
      <c r="J953" s="4" t="s">
        <v>55</v>
      </c>
      <c r="K953" s="4" t="s">
        <v>20</v>
      </c>
      <c r="L953" s="4" t="s">
        <v>742</v>
      </c>
      <c r="M953" s="17">
        <v>30</v>
      </c>
      <c r="N953" s="17">
        <v>648</v>
      </c>
      <c r="O953" s="18" t="s">
        <v>55</v>
      </c>
      <c r="P953" s="18">
        <v>648</v>
      </c>
      <c r="Q953" s="18">
        <v>30</v>
      </c>
      <c r="R953" s="18" t="s">
        <v>817</v>
      </c>
      <c r="S953" s="18" t="s">
        <v>805</v>
      </c>
      <c r="T953" s="18" t="s">
        <v>780</v>
      </c>
      <c r="U9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53" s="19">
        <f>IF(AUDITORIA[[#This Row],[CAT]]="",0,1)</f>
        <v>1</v>
      </c>
      <c r="W953" s="20">
        <v>46163</v>
      </c>
      <c r="X953" s="21" t="str">
        <f>UPPER(IF(AUDITORIA[[#This Row],[DATA VERIFICAÇÃO]]="","",TEXT(AUDITORIA[[#This Row],[DATA VERIFICAÇÃO]],"mmm")))</f>
        <v>MAI</v>
      </c>
      <c r="Y953" t="s">
        <v>598</v>
      </c>
      <c r="Z953" t="s">
        <v>831</v>
      </c>
      <c r="AA953" t="s">
        <v>832</v>
      </c>
    </row>
    <row r="954" spans="1:27" ht="14.4" hidden="1" customHeight="1" x14ac:dyDescent="0.3">
      <c r="A954" s="4" t="s">
        <v>0</v>
      </c>
      <c r="B954" s="4" t="s">
        <v>17</v>
      </c>
      <c r="C954" s="16" t="s">
        <v>18</v>
      </c>
      <c r="D954" s="4">
        <v>10</v>
      </c>
      <c r="E954" s="4" t="s">
        <v>745</v>
      </c>
      <c r="F954" t="s">
        <v>771</v>
      </c>
      <c r="G954" t="s">
        <v>54</v>
      </c>
      <c r="J954" s="4" t="s">
        <v>55</v>
      </c>
      <c r="K954" s="4" t="s">
        <v>20</v>
      </c>
      <c r="L954" s="4" t="s">
        <v>742</v>
      </c>
      <c r="M954" s="17">
        <v>30</v>
      </c>
      <c r="N954" s="17">
        <v>641</v>
      </c>
      <c r="O954" s="18" t="s">
        <v>55</v>
      </c>
      <c r="P954" s="18">
        <v>641</v>
      </c>
      <c r="Q954" s="18">
        <v>30</v>
      </c>
      <c r="R954" s="18" t="s">
        <v>817</v>
      </c>
      <c r="S954" s="18" t="s">
        <v>810</v>
      </c>
      <c r="T954" s="18" t="s">
        <v>794</v>
      </c>
      <c r="U9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54" s="19">
        <f>IF(AUDITORIA[[#This Row],[CAT]]="",0,1)</f>
        <v>1</v>
      </c>
      <c r="W954" s="20">
        <v>46163</v>
      </c>
      <c r="X954" s="21" t="str">
        <f>UPPER(IF(AUDITORIA[[#This Row],[DATA VERIFICAÇÃO]]="","",TEXT(AUDITORIA[[#This Row],[DATA VERIFICAÇÃO]],"mmm")))</f>
        <v>MAI</v>
      </c>
      <c r="Y954" t="s">
        <v>598</v>
      </c>
      <c r="Z954" t="s">
        <v>831</v>
      </c>
      <c r="AA954" t="s">
        <v>832</v>
      </c>
    </row>
    <row r="955" spans="1:27" ht="14.4" hidden="1" customHeight="1" x14ac:dyDescent="0.3">
      <c r="A955" s="4" t="s">
        <v>0</v>
      </c>
      <c r="B955" s="4" t="s">
        <v>17</v>
      </c>
      <c r="C955" s="16" t="s">
        <v>18</v>
      </c>
      <c r="D955" s="4">
        <v>10</v>
      </c>
      <c r="E955" s="4" t="s">
        <v>745</v>
      </c>
      <c r="F955" t="s">
        <v>770</v>
      </c>
      <c r="G955" t="s">
        <v>54</v>
      </c>
      <c r="J955" s="4" t="s">
        <v>55</v>
      </c>
      <c r="K955" s="4" t="s">
        <v>20</v>
      </c>
      <c r="L955" s="4" t="s">
        <v>742</v>
      </c>
      <c r="M955" s="17">
        <v>10</v>
      </c>
      <c r="N955" s="17">
        <v>652</v>
      </c>
      <c r="O955" s="18" t="s">
        <v>55</v>
      </c>
      <c r="P955" s="18">
        <v>652</v>
      </c>
      <c r="Q955" s="18">
        <v>10</v>
      </c>
      <c r="R955" s="18" t="s">
        <v>814</v>
      </c>
      <c r="S955" s="18" t="s">
        <v>818</v>
      </c>
      <c r="T955" s="18" t="s">
        <v>819</v>
      </c>
      <c r="U9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55" s="19">
        <f>IF(AUDITORIA[[#This Row],[CAT]]="",0,1)</f>
        <v>1</v>
      </c>
      <c r="W955" s="20">
        <v>46163</v>
      </c>
      <c r="X955" s="21" t="str">
        <f>UPPER(IF(AUDITORIA[[#This Row],[DATA VERIFICAÇÃO]]="","",TEXT(AUDITORIA[[#This Row],[DATA VERIFICAÇÃO]],"mmm")))</f>
        <v>MAI</v>
      </c>
      <c r="Y955" t="s">
        <v>598</v>
      </c>
      <c r="Z955" t="s">
        <v>831</v>
      </c>
      <c r="AA955" t="s">
        <v>832</v>
      </c>
    </row>
    <row r="956" spans="1:27" ht="14.4" hidden="1" customHeight="1" x14ac:dyDescent="0.3">
      <c r="A956" s="4" t="s">
        <v>0</v>
      </c>
      <c r="B956" s="4" t="s">
        <v>17</v>
      </c>
      <c r="C956" s="16" t="s">
        <v>18</v>
      </c>
      <c r="D956" s="4">
        <v>10</v>
      </c>
      <c r="E956" s="4" t="s">
        <v>745</v>
      </c>
      <c r="F956" t="s">
        <v>63</v>
      </c>
      <c r="G956" t="s">
        <v>54</v>
      </c>
      <c r="J956" s="4" t="s">
        <v>55</v>
      </c>
      <c r="K956" s="4" t="s">
        <v>21</v>
      </c>
      <c r="L956" s="4" t="s">
        <v>742</v>
      </c>
      <c r="M956" s="17">
        <v>30</v>
      </c>
      <c r="N956" s="17">
        <v>854</v>
      </c>
      <c r="O956" s="18" t="s">
        <v>55</v>
      </c>
      <c r="P956" s="18">
        <v>854</v>
      </c>
      <c r="Q956" s="18">
        <v>30</v>
      </c>
      <c r="R956" s="18" t="s">
        <v>814</v>
      </c>
      <c r="S956" s="18" t="s">
        <v>789</v>
      </c>
      <c r="T956" s="18" t="s">
        <v>780</v>
      </c>
      <c r="U9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56" s="19">
        <f>IF(AUDITORIA[[#This Row],[CAT]]="",0,1)</f>
        <v>1</v>
      </c>
      <c r="W956" s="20">
        <v>46163</v>
      </c>
      <c r="X956" s="21" t="str">
        <f>UPPER(IF(AUDITORIA[[#This Row],[DATA VERIFICAÇÃO]]="","",TEXT(AUDITORIA[[#This Row],[DATA VERIFICAÇÃO]],"mmm")))</f>
        <v>MAI</v>
      </c>
      <c r="Y956" t="s">
        <v>598</v>
      </c>
      <c r="Z956" t="s">
        <v>831</v>
      </c>
      <c r="AA956" t="s">
        <v>832</v>
      </c>
    </row>
    <row r="957" spans="1:27" ht="14.4" hidden="1" customHeight="1" x14ac:dyDescent="0.3">
      <c r="A957" s="4" t="s">
        <v>0</v>
      </c>
      <c r="B957" s="4" t="s">
        <v>17</v>
      </c>
      <c r="C957" s="16" t="s">
        <v>18</v>
      </c>
      <c r="D957" s="4">
        <v>10</v>
      </c>
      <c r="E957" s="4" t="s">
        <v>745</v>
      </c>
      <c r="F957" t="s">
        <v>60</v>
      </c>
      <c r="G957" t="s">
        <v>54</v>
      </c>
      <c r="J957" s="4" t="s">
        <v>55</v>
      </c>
      <c r="K957" s="4" t="s">
        <v>21</v>
      </c>
      <c r="L957" s="4" t="s">
        <v>742</v>
      </c>
      <c r="M957" s="17">
        <v>30</v>
      </c>
      <c r="N957" s="17">
        <v>838</v>
      </c>
      <c r="O957" s="18" t="s">
        <v>55</v>
      </c>
      <c r="P957" s="18">
        <v>838</v>
      </c>
      <c r="Q957" s="18">
        <v>30</v>
      </c>
      <c r="R957" s="18" t="s">
        <v>814</v>
      </c>
      <c r="S957" s="18" t="s">
        <v>789</v>
      </c>
      <c r="T957" s="18" t="s">
        <v>782</v>
      </c>
      <c r="U9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57" s="19">
        <f>IF(AUDITORIA[[#This Row],[CAT]]="",0,1)</f>
        <v>1</v>
      </c>
      <c r="W957" s="20">
        <v>46163</v>
      </c>
      <c r="X957" s="21" t="str">
        <f>UPPER(IF(AUDITORIA[[#This Row],[DATA VERIFICAÇÃO]]="","",TEXT(AUDITORIA[[#This Row],[DATA VERIFICAÇÃO]],"mmm")))</f>
        <v>MAI</v>
      </c>
      <c r="Y957" t="s">
        <v>598</v>
      </c>
      <c r="Z957" t="s">
        <v>831</v>
      </c>
      <c r="AA957" t="s">
        <v>832</v>
      </c>
    </row>
    <row r="958" spans="1:27" ht="14.4" hidden="1" customHeight="1" x14ac:dyDescent="0.3">
      <c r="A958" s="4" t="s">
        <v>0</v>
      </c>
      <c r="B958" s="4" t="s">
        <v>17</v>
      </c>
      <c r="C958" s="16" t="s">
        <v>18</v>
      </c>
      <c r="D958" s="4">
        <v>10</v>
      </c>
      <c r="E958" s="4" t="s">
        <v>745</v>
      </c>
      <c r="F958" t="s">
        <v>57</v>
      </c>
      <c r="G958" t="s">
        <v>54</v>
      </c>
      <c r="J958" s="4" t="s">
        <v>55</v>
      </c>
      <c r="K958" s="4" t="s">
        <v>21</v>
      </c>
      <c r="L958" s="4" t="s">
        <v>742</v>
      </c>
      <c r="M958" s="17">
        <v>30</v>
      </c>
      <c r="N958" s="17">
        <v>822</v>
      </c>
      <c r="O958" s="18" t="s">
        <v>55</v>
      </c>
      <c r="P958" s="18">
        <v>822</v>
      </c>
      <c r="Q958" s="18">
        <v>30</v>
      </c>
      <c r="R958" s="18" t="s">
        <v>814</v>
      </c>
      <c r="S958" s="18" t="s">
        <v>789</v>
      </c>
      <c r="T958" s="18" t="s">
        <v>781</v>
      </c>
      <c r="U9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58" s="19">
        <f>IF(AUDITORIA[[#This Row],[CAT]]="",0,1)</f>
        <v>1</v>
      </c>
      <c r="W958" s="20">
        <v>46163</v>
      </c>
      <c r="X958" s="21" t="str">
        <f>UPPER(IF(AUDITORIA[[#This Row],[DATA VERIFICAÇÃO]]="","",TEXT(AUDITORIA[[#This Row],[DATA VERIFICAÇÃO]],"mmm")))</f>
        <v>MAI</v>
      </c>
      <c r="Y958" t="s">
        <v>598</v>
      </c>
      <c r="Z958" t="s">
        <v>831</v>
      </c>
      <c r="AA958" t="s">
        <v>832</v>
      </c>
    </row>
    <row r="959" spans="1:27" ht="14.4" hidden="1" customHeight="1" x14ac:dyDescent="0.3">
      <c r="A959" s="4" t="s">
        <v>0</v>
      </c>
      <c r="B959" s="4" t="s">
        <v>17</v>
      </c>
      <c r="C959" s="16" t="s">
        <v>18</v>
      </c>
      <c r="D959" s="4">
        <v>10</v>
      </c>
      <c r="E959" s="4" t="s">
        <v>745</v>
      </c>
      <c r="F959" t="s">
        <v>53</v>
      </c>
      <c r="G959" t="s">
        <v>54</v>
      </c>
      <c r="J959" s="4" t="s">
        <v>55</v>
      </c>
      <c r="K959" s="4" t="s">
        <v>21</v>
      </c>
      <c r="L959" s="4" t="s">
        <v>742</v>
      </c>
      <c r="M959" s="17">
        <v>10</v>
      </c>
      <c r="N959" s="17">
        <v>832</v>
      </c>
      <c r="O959" s="18" t="s">
        <v>55</v>
      </c>
      <c r="P959" s="18">
        <v>832</v>
      </c>
      <c r="Q959" s="18">
        <v>10</v>
      </c>
      <c r="R959" s="18" t="s">
        <v>814</v>
      </c>
      <c r="S959" s="18" t="s">
        <v>818</v>
      </c>
      <c r="T959" s="18" t="s">
        <v>819</v>
      </c>
      <c r="U9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59" s="19">
        <f>IF(AUDITORIA[[#This Row],[CAT]]="",0,1)</f>
        <v>1</v>
      </c>
      <c r="W959" s="20">
        <v>46163</v>
      </c>
      <c r="X959" s="21" t="str">
        <f>UPPER(IF(AUDITORIA[[#This Row],[DATA VERIFICAÇÃO]]="","",TEXT(AUDITORIA[[#This Row],[DATA VERIFICAÇÃO]],"mmm")))</f>
        <v>MAI</v>
      </c>
      <c r="Y959" t="s">
        <v>598</v>
      </c>
      <c r="Z959" t="s">
        <v>831</v>
      </c>
      <c r="AA959" t="s">
        <v>832</v>
      </c>
    </row>
    <row r="960" spans="1:27" ht="14.4" hidden="1" customHeight="1" x14ac:dyDescent="0.3">
      <c r="A960" s="4" t="s">
        <v>0</v>
      </c>
      <c r="B960" s="4" t="s">
        <v>17</v>
      </c>
      <c r="C960" s="16" t="s">
        <v>18</v>
      </c>
      <c r="D960" s="4">
        <v>10</v>
      </c>
      <c r="E960" s="4" t="s">
        <v>745</v>
      </c>
      <c r="F960" t="s">
        <v>654</v>
      </c>
      <c r="G960" t="s">
        <v>54</v>
      </c>
      <c r="J960" s="4" t="s">
        <v>55</v>
      </c>
      <c r="K960" s="4" t="s">
        <v>21</v>
      </c>
      <c r="L960" s="4" t="s">
        <v>742</v>
      </c>
      <c r="M960" s="17">
        <v>30</v>
      </c>
      <c r="N960" s="17">
        <v>814</v>
      </c>
      <c r="O960" s="18" t="s">
        <v>55</v>
      </c>
      <c r="P960" s="18">
        <v>814</v>
      </c>
      <c r="Q960" s="18">
        <v>30</v>
      </c>
      <c r="R960" s="18" t="s">
        <v>814</v>
      </c>
      <c r="S960" s="18" t="s">
        <v>821</v>
      </c>
      <c r="T960" s="18" t="s">
        <v>782</v>
      </c>
      <c r="U9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60" s="19">
        <f>IF(AUDITORIA[[#This Row],[CAT]]="",0,1)</f>
        <v>1</v>
      </c>
      <c r="W960" s="20">
        <v>46163</v>
      </c>
      <c r="X960" s="21" t="str">
        <f>UPPER(IF(AUDITORIA[[#This Row],[DATA VERIFICAÇÃO]]="","",TEXT(AUDITORIA[[#This Row],[DATA VERIFICAÇÃO]],"mmm")))</f>
        <v>MAI</v>
      </c>
      <c r="Y960" t="s">
        <v>598</v>
      </c>
      <c r="Z960" t="s">
        <v>831</v>
      </c>
      <c r="AA960" t="s">
        <v>832</v>
      </c>
    </row>
    <row r="961" spans="1:27" ht="14.4" hidden="1" customHeight="1" x14ac:dyDescent="0.3">
      <c r="A961" s="4" t="s">
        <v>0</v>
      </c>
      <c r="B961" s="4" t="s">
        <v>17</v>
      </c>
      <c r="C961" s="16" t="s">
        <v>18</v>
      </c>
      <c r="D961" s="4">
        <v>10</v>
      </c>
      <c r="E961" s="4" t="s">
        <v>745</v>
      </c>
      <c r="F961" t="s">
        <v>652</v>
      </c>
      <c r="G961" t="s">
        <v>54</v>
      </c>
      <c r="J961" s="4" t="s">
        <v>55</v>
      </c>
      <c r="K961" s="4" t="s">
        <v>21</v>
      </c>
      <c r="L961" s="4" t="s">
        <v>742</v>
      </c>
      <c r="M961" s="17">
        <v>30</v>
      </c>
      <c r="N961" s="17">
        <v>834</v>
      </c>
      <c r="O961" s="18" t="s">
        <v>55</v>
      </c>
      <c r="P961" s="18">
        <v>834</v>
      </c>
      <c r="Q961" s="18">
        <v>30</v>
      </c>
      <c r="R961" s="18" t="s">
        <v>814</v>
      </c>
      <c r="S961" s="18" t="s">
        <v>821</v>
      </c>
      <c r="T961" s="18" t="s">
        <v>780</v>
      </c>
      <c r="U9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61" s="19">
        <f>IF(AUDITORIA[[#This Row],[CAT]]="",0,1)</f>
        <v>1</v>
      </c>
      <c r="W961" s="20">
        <v>46163</v>
      </c>
      <c r="X961" s="21" t="str">
        <f>UPPER(IF(AUDITORIA[[#This Row],[DATA VERIFICAÇÃO]]="","",TEXT(AUDITORIA[[#This Row],[DATA VERIFICAÇÃO]],"mmm")))</f>
        <v>MAI</v>
      </c>
      <c r="Y961" t="s">
        <v>598</v>
      </c>
      <c r="Z961" t="s">
        <v>831</v>
      </c>
      <c r="AA961" t="s">
        <v>832</v>
      </c>
    </row>
    <row r="962" spans="1:27" ht="14.4" hidden="1" customHeight="1" x14ac:dyDescent="0.3">
      <c r="A962" s="4" t="s">
        <v>0</v>
      </c>
      <c r="B962" s="4" t="s">
        <v>17</v>
      </c>
      <c r="C962" s="16" t="s">
        <v>18</v>
      </c>
      <c r="D962" s="4">
        <v>10</v>
      </c>
      <c r="E962" s="4" t="s">
        <v>745</v>
      </c>
      <c r="F962" t="s">
        <v>650</v>
      </c>
      <c r="G962" t="s">
        <v>54</v>
      </c>
      <c r="J962" s="4" t="s">
        <v>55</v>
      </c>
      <c r="K962" s="4" t="s">
        <v>21</v>
      </c>
      <c r="L962" s="4" t="s">
        <v>742</v>
      </c>
      <c r="M962" s="17">
        <v>30</v>
      </c>
      <c r="N962" s="17">
        <v>828</v>
      </c>
      <c r="O962" s="18" t="s">
        <v>55</v>
      </c>
      <c r="P962" s="18">
        <v>828</v>
      </c>
      <c r="Q962" s="18">
        <v>30</v>
      </c>
      <c r="R962" s="18" t="s">
        <v>814</v>
      </c>
      <c r="S962" s="18" t="s">
        <v>779</v>
      </c>
      <c r="T962" s="18" t="s">
        <v>780</v>
      </c>
      <c r="U9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62" s="19">
        <f>IF(AUDITORIA[[#This Row],[CAT]]="",0,1)</f>
        <v>1</v>
      </c>
      <c r="W962" s="20">
        <v>46163</v>
      </c>
      <c r="X962" s="21" t="str">
        <f>UPPER(IF(AUDITORIA[[#This Row],[DATA VERIFICAÇÃO]]="","",TEXT(AUDITORIA[[#This Row],[DATA VERIFICAÇÃO]],"mmm")))</f>
        <v>MAI</v>
      </c>
      <c r="Y962" t="s">
        <v>598</v>
      </c>
      <c r="Z962" t="s">
        <v>831</v>
      </c>
      <c r="AA962" t="s">
        <v>832</v>
      </c>
    </row>
    <row r="963" spans="1:27" ht="14.4" hidden="1" customHeight="1" x14ac:dyDescent="0.3">
      <c r="A963" s="4" t="s">
        <v>0</v>
      </c>
      <c r="B963" s="4" t="s">
        <v>17</v>
      </c>
      <c r="C963" s="16" t="s">
        <v>18</v>
      </c>
      <c r="D963" s="4">
        <v>10</v>
      </c>
      <c r="E963" s="4" t="s">
        <v>745</v>
      </c>
      <c r="F963" t="s">
        <v>648</v>
      </c>
      <c r="G963" t="s">
        <v>54</v>
      </c>
      <c r="J963" s="4" t="s">
        <v>55</v>
      </c>
      <c r="K963" s="4" t="s">
        <v>21</v>
      </c>
      <c r="L963" s="4" t="s">
        <v>742</v>
      </c>
      <c r="M963" s="17">
        <v>30</v>
      </c>
      <c r="N963" s="17">
        <v>862</v>
      </c>
      <c r="O963" s="18" t="s">
        <v>55</v>
      </c>
      <c r="P963" s="18">
        <v>862</v>
      </c>
      <c r="Q963" s="18">
        <v>30</v>
      </c>
      <c r="R963" s="18" t="s">
        <v>814</v>
      </c>
      <c r="S963" s="18" t="s">
        <v>821</v>
      </c>
      <c r="T963" s="18" t="s">
        <v>781</v>
      </c>
      <c r="U9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63" s="19">
        <f>IF(AUDITORIA[[#This Row],[CAT]]="",0,1)</f>
        <v>1</v>
      </c>
      <c r="W963" s="20">
        <v>46163</v>
      </c>
      <c r="X963" s="21" t="str">
        <f>UPPER(IF(AUDITORIA[[#This Row],[DATA VERIFICAÇÃO]]="","",TEXT(AUDITORIA[[#This Row],[DATA VERIFICAÇÃO]],"mmm")))</f>
        <v>MAI</v>
      </c>
      <c r="Y963" t="s">
        <v>598</v>
      </c>
      <c r="Z963" t="s">
        <v>831</v>
      </c>
      <c r="AA963" t="s">
        <v>832</v>
      </c>
    </row>
    <row r="964" spans="1:27" ht="14.4" hidden="1" customHeight="1" x14ac:dyDescent="0.3">
      <c r="A964" s="4" t="s">
        <v>0</v>
      </c>
      <c r="B964" s="4" t="s">
        <v>17</v>
      </c>
      <c r="C964" s="16" t="s">
        <v>18</v>
      </c>
      <c r="D964" s="4">
        <v>10</v>
      </c>
      <c r="E964" s="4" t="s">
        <v>745</v>
      </c>
      <c r="F964" t="s">
        <v>646</v>
      </c>
      <c r="G964" t="s">
        <v>54</v>
      </c>
      <c r="J964" s="4" t="s">
        <v>55</v>
      </c>
      <c r="K964" s="4" t="s">
        <v>21</v>
      </c>
      <c r="L964" s="4" t="s">
        <v>742</v>
      </c>
      <c r="M964" s="17">
        <v>30</v>
      </c>
      <c r="N964" s="17">
        <v>852</v>
      </c>
      <c r="O964" s="18" t="s">
        <v>55</v>
      </c>
      <c r="P964" s="18">
        <v>852</v>
      </c>
      <c r="Q964" s="18">
        <v>30</v>
      </c>
      <c r="R964" s="18" t="s">
        <v>814</v>
      </c>
      <c r="S964" s="18" t="s">
        <v>779</v>
      </c>
      <c r="T964" s="18" t="s">
        <v>781</v>
      </c>
      <c r="U9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64" s="19">
        <f>IF(AUDITORIA[[#This Row],[CAT]]="",0,1)</f>
        <v>1</v>
      </c>
      <c r="W964" s="20">
        <v>46163</v>
      </c>
      <c r="X964" s="21" t="str">
        <f>UPPER(IF(AUDITORIA[[#This Row],[DATA VERIFICAÇÃO]]="","",TEXT(AUDITORIA[[#This Row],[DATA VERIFICAÇÃO]],"mmm")))</f>
        <v>MAI</v>
      </c>
      <c r="Y964" t="s">
        <v>598</v>
      </c>
      <c r="Z964" t="s">
        <v>831</v>
      </c>
      <c r="AA964" t="s">
        <v>832</v>
      </c>
    </row>
    <row r="965" spans="1:27" ht="14.4" hidden="1" customHeight="1" x14ac:dyDescent="0.3">
      <c r="A965" s="4" t="s">
        <v>0</v>
      </c>
      <c r="B965" s="4" t="s">
        <v>17</v>
      </c>
      <c r="C965" s="16" t="s">
        <v>18</v>
      </c>
      <c r="D965" s="4">
        <v>10</v>
      </c>
      <c r="E965" s="4" t="s">
        <v>745</v>
      </c>
      <c r="F965" t="s">
        <v>645</v>
      </c>
      <c r="G965" t="s">
        <v>54</v>
      </c>
      <c r="J965" s="4" t="s">
        <v>55</v>
      </c>
      <c r="K965" s="4" t="s">
        <v>21</v>
      </c>
      <c r="L965" s="4" t="s">
        <v>742</v>
      </c>
      <c r="M965" s="17">
        <v>30</v>
      </c>
      <c r="N965" s="17">
        <v>835</v>
      </c>
      <c r="O965" s="18" t="s">
        <v>55</v>
      </c>
      <c r="P965" s="18">
        <v>835</v>
      </c>
      <c r="Q965" s="18">
        <v>30</v>
      </c>
      <c r="R965" s="18" t="s">
        <v>814</v>
      </c>
      <c r="S965" s="18" t="s">
        <v>821</v>
      </c>
      <c r="T965" s="18" t="s">
        <v>794</v>
      </c>
      <c r="U9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65" s="19">
        <f>IF(AUDITORIA[[#This Row],[CAT]]="",0,1)</f>
        <v>1</v>
      </c>
      <c r="W965" s="20">
        <v>46163</v>
      </c>
      <c r="X965" s="21" t="str">
        <f>UPPER(IF(AUDITORIA[[#This Row],[DATA VERIFICAÇÃO]]="","",TEXT(AUDITORIA[[#This Row],[DATA VERIFICAÇÃO]],"mmm")))</f>
        <v>MAI</v>
      </c>
      <c r="Y965" t="s">
        <v>598</v>
      </c>
      <c r="Z965" t="s">
        <v>831</v>
      </c>
      <c r="AA965" t="s">
        <v>832</v>
      </c>
    </row>
    <row r="966" spans="1:27" ht="14.4" hidden="1" customHeight="1" x14ac:dyDescent="0.3">
      <c r="A966" s="4" t="s">
        <v>0</v>
      </c>
      <c r="B966" s="4" t="s">
        <v>17</v>
      </c>
      <c r="C966" s="16" t="s">
        <v>18</v>
      </c>
      <c r="D966" s="4">
        <v>10</v>
      </c>
      <c r="E966" s="4" t="s">
        <v>745</v>
      </c>
      <c r="F966" t="s">
        <v>643</v>
      </c>
      <c r="G966" t="s">
        <v>54</v>
      </c>
      <c r="J966" s="4" t="s">
        <v>55</v>
      </c>
      <c r="K966" s="4" t="s">
        <v>21</v>
      </c>
      <c r="L966" s="4" t="s">
        <v>742</v>
      </c>
      <c r="M966" s="17">
        <v>30</v>
      </c>
      <c r="N966" s="17">
        <v>826</v>
      </c>
      <c r="O966" s="18" t="s">
        <v>55</v>
      </c>
      <c r="P966" s="18">
        <v>826</v>
      </c>
      <c r="Q966" s="18">
        <v>30</v>
      </c>
      <c r="R966" s="18" t="s">
        <v>814</v>
      </c>
      <c r="S966" s="18" t="s">
        <v>784</v>
      </c>
      <c r="T966" s="18" t="s">
        <v>782</v>
      </c>
      <c r="U9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66" s="19">
        <f>IF(AUDITORIA[[#This Row],[CAT]]="",0,1)</f>
        <v>1</v>
      </c>
      <c r="W966" s="20">
        <v>46163</v>
      </c>
      <c r="X966" s="21" t="str">
        <f>UPPER(IF(AUDITORIA[[#This Row],[DATA VERIFICAÇÃO]]="","",TEXT(AUDITORIA[[#This Row],[DATA VERIFICAÇÃO]],"mmm")))</f>
        <v>MAI</v>
      </c>
      <c r="Y966" t="s">
        <v>598</v>
      </c>
      <c r="Z966" t="s">
        <v>831</v>
      </c>
      <c r="AA966" t="s">
        <v>832</v>
      </c>
    </row>
    <row r="967" spans="1:27" ht="14.4" hidden="1" customHeight="1" x14ac:dyDescent="0.3">
      <c r="A967" s="4" t="s">
        <v>0</v>
      </c>
      <c r="B967" s="4" t="s">
        <v>17</v>
      </c>
      <c r="C967" s="16" t="s">
        <v>18</v>
      </c>
      <c r="D967" s="4">
        <v>10</v>
      </c>
      <c r="E967" s="4" t="s">
        <v>745</v>
      </c>
      <c r="F967" t="s">
        <v>617</v>
      </c>
      <c r="G967" t="s">
        <v>54</v>
      </c>
      <c r="J967" s="4" t="s">
        <v>55</v>
      </c>
      <c r="K967" s="4" t="s">
        <v>21</v>
      </c>
      <c r="L967" s="4" t="s">
        <v>742</v>
      </c>
      <c r="M967" s="17">
        <v>30</v>
      </c>
      <c r="N967" s="17">
        <v>837</v>
      </c>
      <c r="O967" s="18" t="s">
        <v>55</v>
      </c>
      <c r="P967" s="18">
        <v>837</v>
      </c>
      <c r="Q967" s="18">
        <v>30</v>
      </c>
      <c r="R967" s="18" t="s">
        <v>814</v>
      </c>
      <c r="S967" s="18" t="s">
        <v>795</v>
      </c>
      <c r="T967" s="18" t="s">
        <v>781</v>
      </c>
      <c r="U9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67" s="19">
        <f>IF(AUDITORIA[[#This Row],[CAT]]="",0,1)</f>
        <v>1</v>
      </c>
      <c r="W967" s="20">
        <v>46163</v>
      </c>
      <c r="X967" s="21" t="str">
        <f>UPPER(IF(AUDITORIA[[#This Row],[DATA VERIFICAÇÃO]]="","",TEXT(AUDITORIA[[#This Row],[DATA VERIFICAÇÃO]],"mmm")))</f>
        <v>MAI</v>
      </c>
      <c r="Y967" t="s">
        <v>598</v>
      </c>
      <c r="Z967" t="s">
        <v>831</v>
      </c>
      <c r="AA967" t="s">
        <v>832</v>
      </c>
    </row>
    <row r="968" spans="1:27" ht="14.4" hidden="1" customHeight="1" x14ac:dyDescent="0.3">
      <c r="A968" s="4" t="s">
        <v>0</v>
      </c>
      <c r="B968" s="4" t="s">
        <v>17</v>
      </c>
      <c r="C968" s="16" t="s">
        <v>18</v>
      </c>
      <c r="D968" s="4">
        <v>10</v>
      </c>
      <c r="E968" s="4" t="s">
        <v>745</v>
      </c>
      <c r="F968" t="s">
        <v>615</v>
      </c>
      <c r="G968" t="s">
        <v>54</v>
      </c>
      <c r="J968" s="4" t="s">
        <v>55</v>
      </c>
      <c r="K968" s="4" t="s">
        <v>21</v>
      </c>
      <c r="L968" s="4" t="s">
        <v>742</v>
      </c>
      <c r="M968" s="17">
        <v>30</v>
      </c>
      <c r="N968" s="17">
        <v>833</v>
      </c>
      <c r="O968" s="18" t="s">
        <v>55</v>
      </c>
      <c r="P968" s="18">
        <v>833</v>
      </c>
      <c r="Q968" s="18">
        <v>30</v>
      </c>
      <c r="R968" s="18" t="s">
        <v>814</v>
      </c>
      <c r="S968" s="18" t="s">
        <v>784</v>
      </c>
      <c r="T968" s="18" t="s">
        <v>781</v>
      </c>
      <c r="U9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68" s="19">
        <f>IF(AUDITORIA[[#This Row],[CAT]]="",0,1)</f>
        <v>1</v>
      </c>
      <c r="W968" s="20">
        <v>46163</v>
      </c>
      <c r="X968" s="21" t="str">
        <f>UPPER(IF(AUDITORIA[[#This Row],[DATA VERIFICAÇÃO]]="","",TEXT(AUDITORIA[[#This Row],[DATA VERIFICAÇÃO]],"mmm")))</f>
        <v>MAI</v>
      </c>
      <c r="Y968" t="s">
        <v>598</v>
      </c>
      <c r="Z968" t="s">
        <v>831</v>
      </c>
      <c r="AA968" t="s">
        <v>832</v>
      </c>
    </row>
    <row r="969" spans="1:27" ht="14.4" hidden="1" customHeight="1" x14ac:dyDescent="0.3">
      <c r="A969" s="4" t="s">
        <v>0</v>
      </c>
      <c r="B969" s="4" t="s">
        <v>17</v>
      </c>
      <c r="C969" s="16" t="s">
        <v>18</v>
      </c>
      <c r="D969" s="4">
        <v>10</v>
      </c>
      <c r="E969" s="4" t="s">
        <v>745</v>
      </c>
      <c r="F969" t="s">
        <v>614</v>
      </c>
      <c r="G969" t="s">
        <v>54</v>
      </c>
      <c r="J969" s="4" t="s">
        <v>55</v>
      </c>
      <c r="K969" s="4" t="s">
        <v>21</v>
      </c>
      <c r="L969" s="4" t="s">
        <v>742</v>
      </c>
      <c r="M969" s="17">
        <v>30</v>
      </c>
      <c r="N969" s="17">
        <v>833</v>
      </c>
      <c r="O969" s="18" t="s">
        <v>55</v>
      </c>
      <c r="P969" s="18">
        <v>833</v>
      </c>
      <c r="Q969" s="18">
        <v>30</v>
      </c>
      <c r="R969" s="18" t="s">
        <v>817</v>
      </c>
      <c r="S969" s="18" t="s">
        <v>810</v>
      </c>
      <c r="T969" s="18" t="s">
        <v>782</v>
      </c>
      <c r="U9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69" s="19">
        <f>IF(AUDITORIA[[#This Row],[CAT]]="",0,1)</f>
        <v>1</v>
      </c>
      <c r="W969" s="20">
        <v>46163</v>
      </c>
      <c r="X969" s="21" t="str">
        <f>UPPER(IF(AUDITORIA[[#This Row],[DATA VERIFICAÇÃO]]="","",TEXT(AUDITORIA[[#This Row],[DATA VERIFICAÇÃO]],"mmm")))</f>
        <v>MAI</v>
      </c>
      <c r="Y969" t="s">
        <v>598</v>
      </c>
      <c r="Z969" t="s">
        <v>831</v>
      </c>
      <c r="AA969" t="s">
        <v>832</v>
      </c>
    </row>
    <row r="970" spans="1:27" ht="14.4" hidden="1" customHeight="1" x14ac:dyDescent="0.3">
      <c r="A970" s="4" t="s">
        <v>0</v>
      </c>
      <c r="B970" s="4" t="s">
        <v>17</v>
      </c>
      <c r="C970" s="16" t="s">
        <v>18</v>
      </c>
      <c r="D970" s="4">
        <v>10</v>
      </c>
      <c r="E970" s="4" t="s">
        <v>745</v>
      </c>
      <c r="F970" t="s">
        <v>773</v>
      </c>
      <c r="G970" t="s">
        <v>54</v>
      </c>
      <c r="J970" s="4" t="s">
        <v>55</v>
      </c>
      <c r="K970" s="4" t="s">
        <v>21</v>
      </c>
      <c r="L970" s="4" t="s">
        <v>742</v>
      </c>
      <c r="M970" s="17">
        <v>30</v>
      </c>
      <c r="N970" s="17">
        <v>824</v>
      </c>
      <c r="O970" s="18" t="s">
        <v>55</v>
      </c>
      <c r="P970" s="18">
        <v>824</v>
      </c>
      <c r="Q970" s="18">
        <v>30</v>
      </c>
      <c r="R970" s="18" t="s">
        <v>814</v>
      </c>
      <c r="S970" s="18" t="s">
        <v>795</v>
      </c>
      <c r="T970" s="18" t="s">
        <v>780</v>
      </c>
      <c r="U9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70" s="19">
        <f>IF(AUDITORIA[[#This Row],[CAT]]="",0,1)</f>
        <v>1</v>
      </c>
      <c r="W970" s="20">
        <v>46163</v>
      </c>
      <c r="X970" s="21" t="str">
        <f>UPPER(IF(AUDITORIA[[#This Row],[DATA VERIFICAÇÃO]]="","",TEXT(AUDITORIA[[#This Row],[DATA VERIFICAÇÃO]],"mmm")))</f>
        <v>MAI</v>
      </c>
      <c r="Y970" t="s">
        <v>598</v>
      </c>
      <c r="Z970" t="s">
        <v>831</v>
      </c>
      <c r="AA970" t="s">
        <v>832</v>
      </c>
    </row>
    <row r="971" spans="1:27" ht="14.4" hidden="1" customHeight="1" x14ac:dyDescent="0.3">
      <c r="A971" s="4" t="s">
        <v>0</v>
      </c>
      <c r="B971" s="4" t="s">
        <v>17</v>
      </c>
      <c r="C971" s="16" t="s">
        <v>18</v>
      </c>
      <c r="D971" s="4">
        <v>10</v>
      </c>
      <c r="E971" s="4" t="s">
        <v>745</v>
      </c>
      <c r="F971" t="s">
        <v>611</v>
      </c>
      <c r="G971" t="s">
        <v>54</v>
      </c>
      <c r="J971" s="4" t="s">
        <v>55</v>
      </c>
      <c r="K971" s="4" t="s">
        <v>21</v>
      </c>
      <c r="L971" s="4" t="s">
        <v>742</v>
      </c>
      <c r="M971" s="17">
        <v>30</v>
      </c>
      <c r="N971" s="17">
        <v>827</v>
      </c>
      <c r="O971" s="18" t="s">
        <v>55</v>
      </c>
      <c r="P971" s="18">
        <v>827</v>
      </c>
      <c r="Q971" s="18">
        <v>30</v>
      </c>
      <c r="R971" s="18" t="s">
        <v>817</v>
      </c>
      <c r="S971" s="18" t="s">
        <v>810</v>
      </c>
      <c r="T971" s="18" t="s">
        <v>781</v>
      </c>
      <c r="U9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71" s="19">
        <f>IF(AUDITORIA[[#This Row],[CAT]]="",0,1)</f>
        <v>1</v>
      </c>
      <c r="W971" s="20">
        <v>46163</v>
      </c>
      <c r="X971" s="21" t="str">
        <f>UPPER(IF(AUDITORIA[[#This Row],[DATA VERIFICAÇÃO]]="","",TEXT(AUDITORIA[[#This Row],[DATA VERIFICAÇÃO]],"mmm")))</f>
        <v>MAI</v>
      </c>
      <c r="Y971" t="s">
        <v>598</v>
      </c>
      <c r="Z971" t="s">
        <v>831</v>
      </c>
      <c r="AA971" t="s">
        <v>832</v>
      </c>
    </row>
    <row r="972" spans="1:27" ht="14.4" hidden="1" customHeight="1" x14ac:dyDescent="0.3">
      <c r="A972" s="4" t="s">
        <v>0</v>
      </c>
      <c r="B972" s="4" t="s">
        <v>17</v>
      </c>
      <c r="C972" s="16" t="s">
        <v>18</v>
      </c>
      <c r="D972" s="4">
        <v>10</v>
      </c>
      <c r="E972" s="4" t="s">
        <v>745</v>
      </c>
      <c r="F972" t="s">
        <v>609</v>
      </c>
      <c r="G972" t="s">
        <v>54</v>
      </c>
      <c r="J972" s="4" t="s">
        <v>55</v>
      </c>
      <c r="K972" s="4" t="s">
        <v>21</v>
      </c>
      <c r="L972" s="4" t="s">
        <v>742</v>
      </c>
      <c r="M972" s="17">
        <v>30</v>
      </c>
      <c r="N972" s="17">
        <v>835</v>
      </c>
      <c r="O972" s="18" t="s">
        <v>55</v>
      </c>
      <c r="P972" s="18">
        <v>835</v>
      </c>
      <c r="Q972" s="18">
        <v>30</v>
      </c>
      <c r="R972" s="18" t="s">
        <v>814</v>
      </c>
      <c r="S972" s="18" t="s">
        <v>795</v>
      </c>
      <c r="T972" s="18" t="s">
        <v>782</v>
      </c>
      <c r="U9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72" s="19">
        <f>IF(AUDITORIA[[#This Row],[CAT]]="",0,1)</f>
        <v>1</v>
      </c>
      <c r="W972" s="20">
        <v>46163</v>
      </c>
      <c r="X972" s="21" t="str">
        <f>UPPER(IF(AUDITORIA[[#This Row],[DATA VERIFICAÇÃO]]="","",TEXT(AUDITORIA[[#This Row],[DATA VERIFICAÇÃO]],"mmm")))</f>
        <v>MAI</v>
      </c>
      <c r="Y972" t="s">
        <v>598</v>
      </c>
      <c r="Z972" t="s">
        <v>831</v>
      </c>
      <c r="AA972" t="s">
        <v>832</v>
      </c>
    </row>
    <row r="973" spans="1:27" ht="14.4" hidden="1" customHeight="1" x14ac:dyDescent="0.3">
      <c r="A973" s="4" t="s">
        <v>0</v>
      </c>
      <c r="B973" s="4" t="s">
        <v>17</v>
      </c>
      <c r="C973" s="16" t="s">
        <v>18</v>
      </c>
      <c r="D973" s="4">
        <v>10</v>
      </c>
      <c r="E973" s="4" t="s">
        <v>745</v>
      </c>
      <c r="F973" t="s">
        <v>607</v>
      </c>
      <c r="G973" t="s">
        <v>54</v>
      </c>
      <c r="J973" s="4" t="s">
        <v>55</v>
      </c>
      <c r="K973" s="4" t="s">
        <v>21</v>
      </c>
      <c r="L973" s="4" t="s">
        <v>742</v>
      </c>
      <c r="M973" s="17">
        <v>30</v>
      </c>
      <c r="N973" s="17">
        <v>828</v>
      </c>
      <c r="O973" s="18" t="s">
        <v>55</v>
      </c>
      <c r="P973" s="18">
        <v>828</v>
      </c>
      <c r="Q973" s="18">
        <v>30</v>
      </c>
      <c r="R973" s="18" t="s">
        <v>817</v>
      </c>
      <c r="S973" s="18" t="s">
        <v>820</v>
      </c>
      <c r="T973" s="18" t="s">
        <v>781</v>
      </c>
      <c r="U9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73" s="19">
        <f>IF(AUDITORIA[[#This Row],[CAT]]="",0,1)</f>
        <v>1</v>
      </c>
      <c r="W973" s="20">
        <v>46163</v>
      </c>
      <c r="X973" s="21" t="str">
        <f>UPPER(IF(AUDITORIA[[#This Row],[DATA VERIFICAÇÃO]]="","",TEXT(AUDITORIA[[#This Row],[DATA VERIFICAÇÃO]],"mmm")))</f>
        <v>MAI</v>
      </c>
      <c r="Y973" t="s">
        <v>598</v>
      </c>
      <c r="Z973" t="s">
        <v>831</v>
      </c>
      <c r="AA973" t="s">
        <v>832</v>
      </c>
    </row>
    <row r="974" spans="1:27" ht="14.4" hidden="1" customHeight="1" x14ac:dyDescent="0.3">
      <c r="A974" s="4" t="s">
        <v>0</v>
      </c>
      <c r="B974" s="4" t="s">
        <v>17</v>
      </c>
      <c r="C974" s="16" t="s">
        <v>18</v>
      </c>
      <c r="D974" s="4">
        <v>10</v>
      </c>
      <c r="E974" s="4" t="s">
        <v>745</v>
      </c>
      <c r="F974" t="s">
        <v>772</v>
      </c>
      <c r="G974" t="s">
        <v>54</v>
      </c>
      <c r="J974" s="4" t="s">
        <v>55</v>
      </c>
      <c r="K974" s="4" t="s">
        <v>21</v>
      </c>
      <c r="L974" s="4" t="s">
        <v>742</v>
      </c>
      <c r="M974" s="17">
        <v>30</v>
      </c>
      <c r="N974" s="17">
        <v>840</v>
      </c>
      <c r="O974" s="18" t="s">
        <v>55</v>
      </c>
      <c r="P974" s="18">
        <v>840</v>
      </c>
      <c r="Q974" s="18">
        <v>30</v>
      </c>
      <c r="R974" s="18" t="s">
        <v>817</v>
      </c>
      <c r="S974" s="18" t="s">
        <v>820</v>
      </c>
      <c r="T974" s="18" t="s">
        <v>782</v>
      </c>
      <c r="U9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74" s="19">
        <f>IF(AUDITORIA[[#This Row],[CAT]]="",0,1)</f>
        <v>1</v>
      </c>
      <c r="W974" s="20">
        <v>46163</v>
      </c>
      <c r="X974" s="21" t="str">
        <f>UPPER(IF(AUDITORIA[[#This Row],[DATA VERIFICAÇÃO]]="","",TEXT(AUDITORIA[[#This Row],[DATA VERIFICAÇÃO]],"mmm")))</f>
        <v>MAI</v>
      </c>
      <c r="Y974" t="s">
        <v>598</v>
      </c>
      <c r="Z974" t="s">
        <v>831</v>
      </c>
      <c r="AA974" t="s">
        <v>832</v>
      </c>
    </row>
    <row r="975" spans="1:27" ht="14.4" hidden="1" customHeight="1" x14ac:dyDescent="0.3">
      <c r="A975" s="4" t="s">
        <v>0</v>
      </c>
      <c r="B975" s="4" t="s">
        <v>17</v>
      </c>
      <c r="C975" s="16" t="s">
        <v>18</v>
      </c>
      <c r="D975" s="4">
        <v>10</v>
      </c>
      <c r="E975" s="4" t="s">
        <v>745</v>
      </c>
      <c r="F975" t="s">
        <v>769</v>
      </c>
      <c r="G975" t="s">
        <v>54</v>
      </c>
      <c r="J975" s="4" t="s">
        <v>55</v>
      </c>
      <c r="K975" s="4" t="s">
        <v>21</v>
      </c>
      <c r="L975" s="4" t="s">
        <v>742</v>
      </c>
      <c r="M975" s="17">
        <v>18</v>
      </c>
      <c r="N975" s="17">
        <v>836</v>
      </c>
      <c r="O975" s="18" t="s">
        <v>55</v>
      </c>
      <c r="P975" s="18">
        <v>836</v>
      </c>
      <c r="Q975" s="18">
        <v>18</v>
      </c>
      <c r="R975" s="18" t="s">
        <v>814</v>
      </c>
      <c r="S975" s="18" t="s">
        <v>818</v>
      </c>
      <c r="T975" s="18" t="s">
        <v>819</v>
      </c>
      <c r="U9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75" s="19">
        <f>IF(AUDITORIA[[#This Row],[CAT]]="",0,1)</f>
        <v>1</v>
      </c>
      <c r="W975" s="20">
        <v>46163</v>
      </c>
      <c r="X975" s="21" t="str">
        <f>UPPER(IF(AUDITORIA[[#This Row],[DATA VERIFICAÇÃO]]="","",TEXT(AUDITORIA[[#This Row],[DATA VERIFICAÇÃO]],"mmm")))</f>
        <v>MAI</v>
      </c>
      <c r="Y975" t="s">
        <v>598</v>
      </c>
      <c r="Z975" t="s">
        <v>831</v>
      </c>
      <c r="AA975" t="s">
        <v>832</v>
      </c>
    </row>
    <row r="976" spans="1:27" ht="14.4" hidden="1" customHeight="1" x14ac:dyDescent="0.3">
      <c r="A976" s="4" t="s">
        <v>279</v>
      </c>
      <c r="B976" s="4" t="s">
        <v>17</v>
      </c>
      <c r="C976" s="16" t="s">
        <v>18</v>
      </c>
      <c r="D976" s="4">
        <v>11</v>
      </c>
      <c r="E976" s="4" t="s">
        <v>745</v>
      </c>
      <c r="F976" t="s">
        <v>541</v>
      </c>
      <c r="G976" t="s">
        <v>535</v>
      </c>
      <c r="J976" s="4" t="s">
        <v>88</v>
      </c>
      <c r="K976" s="4" t="s">
        <v>20</v>
      </c>
      <c r="L976" s="4" t="s">
        <v>742</v>
      </c>
      <c r="M976" s="17">
        <v>30</v>
      </c>
      <c r="N976" s="17">
        <v>761</v>
      </c>
      <c r="O976" s="18" t="s">
        <v>88</v>
      </c>
      <c r="P976" s="18">
        <v>761</v>
      </c>
      <c r="Q976" s="18">
        <v>30</v>
      </c>
      <c r="R976" s="18"/>
      <c r="S976" s="18"/>
      <c r="T976" s="18"/>
      <c r="U9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76" s="19">
        <f>IF(AUDITORIA[[#This Row],[CAT]]="",0,1)</f>
        <v>1</v>
      </c>
      <c r="W976" s="20">
        <v>46170</v>
      </c>
      <c r="X976" s="21" t="str">
        <f>UPPER(IF(AUDITORIA[[#This Row],[DATA VERIFICAÇÃO]]="","",TEXT(AUDITORIA[[#This Row],[DATA VERIFICAÇÃO]],"mmm")))</f>
        <v>MAI</v>
      </c>
      <c r="Y976" t="s">
        <v>598</v>
      </c>
      <c r="Z976" t="s">
        <v>830</v>
      </c>
      <c r="AA976" t="s">
        <v>600</v>
      </c>
    </row>
    <row r="977" spans="1:27" ht="14.4" hidden="1" customHeight="1" x14ac:dyDescent="0.3">
      <c r="A977" s="4" t="s">
        <v>279</v>
      </c>
      <c r="B977" s="4" t="s">
        <v>17</v>
      </c>
      <c r="C977" s="16" t="s">
        <v>18</v>
      </c>
      <c r="D977" s="4">
        <v>11</v>
      </c>
      <c r="E977" s="4" t="s">
        <v>745</v>
      </c>
      <c r="F977" t="s">
        <v>539</v>
      </c>
      <c r="G977" t="s">
        <v>535</v>
      </c>
      <c r="J977" s="4" t="s">
        <v>88</v>
      </c>
      <c r="K977" s="4" t="s">
        <v>20</v>
      </c>
      <c r="L977" s="4" t="s">
        <v>742</v>
      </c>
      <c r="M977" s="17">
        <v>30</v>
      </c>
      <c r="N977" s="17">
        <v>733</v>
      </c>
      <c r="O977" s="18" t="s">
        <v>88</v>
      </c>
      <c r="P977" s="18">
        <v>733</v>
      </c>
      <c r="Q977" s="18">
        <v>30</v>
      </c>
      <c r="R977" s="18"/>
      <c r="S977" s="18"/>
      <c r="T977" s="18"/>
      <c r="U9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77" s="19">
        <f>IF(AUDITORIA[[#This Row],[CAT]]="",0,1)</f>
        <v>1</v>
      </c>
      <c r="W977" s="20">
        <v>46170</v>
      </c>
      <c r="X977" s="21" t="str">
        <f>UPPER(IF(AUDITORIA[[#This Row],[DATA VERIFICAÇÃO]]="","",TEXT(AUDITORIA[[#This Row],[DATA VERIFICAÇÃO]],"mmm")))</f>
        <v>MAI</v>
      </c>
      <c r="Y977" t="s">
        <v>598</v>
      </c>
      <c r="Z977" t="s">
        <v>830</v>
      </c>
      <c r="AA977" t="s">
        <v>600</v>
      </c>
    </row>
    <row r="978" spans="1:27" ht="14.4" hidden="1" customHeight="1" x14ac:dyDescent="0.3">
      <c r="A978" s="4" t="s">
        <v>279</v>
      </c>
      <c r="B978" s="4" t="s">
        <v>17</v>
      </c>
      <c r="C978" s="16" t="s">
        <v>18</v>
      </c>
      <c r="D978" s="4">
        <v>11</v>
      </c>
      <c r="E978" s="4" t="s">
        <v>745</v>
      </c>
      <c r="F978" t="s">
        <v>551</v>
      </c>
      <c r="G978" t="s">
        <v>535</v>
      </c>
      <c r="J978" s="4" t="s">
        <v>88</v>
      </c>
      <c r="K978" s="4" t="s">
        <v>20</v>
      </c>
      <c r="L978" s="4" t="s">
        <v>742</v>
      </c>
      <c r="M978" s="17">
        <v>30</v>
      </c>
      <c r="N978" s="17">
        <v>748</v>
      </c>
      <c r="O978" s="18" t="s">
        <v>88</v>
      </c>
      <c r="P978" s="18">
        <v>748</v>
      </c>
      <c r="Q978" s="18">
        <v>30</v>
      </c>
      <c r="R978" s="18"/>
      <c r="S978" s="18"/>
      <c r="T978" s="18"/>
      <c r="U9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78" s="19">
        <f>IF(AUDITORIA[[#This Row],[CAT]]="",0,1)</f>
        <v>1</v>
      </c>
      <c r="W978" s="20">
        <v>46170</v>
      </c>
      <c r="X978" s="21" t="str">
        <f>UPPER(IF(AUDITORIA[[#This Row],[DATA VERIFICAÇÃO]]="","",TEXT(AUDITORIA[[#This Row],[DATA VERIFICAÇÃO]],"mmm")))</f>
        <v>MAI</v>
      </c>
      <c r="Y978" t="s">
        <v>598</v>
      </c>
      <c r="Z978" t="s">
        <v>830</v>
      </c>
      <c r="AA978" t="s">
        <v>600</v>
      </c>
    </row>
    <row r="979" spans="1:27" ht="14.4" hidden="1" customHeight="1" x14ac:dyDescent="0.3">
      <c r="A979" s="4" t="s">
        <v>279</v>
      </c>
      <c r="B979" s="4" t="s">
        <v>17</v>
      </c>
      <c r="C979" s="16" t="s">
        <v>18</v>
      </c>
      <c r="D979" s="4">
        <v>11</v>
      </c>
      <c r="E979" s="4" t="s">
        <v>745</v>
      </c>
      <c r="F979" t="s">
        <v>547</v>
      </c>
      <c r="G979" t="s">
        <v>535</v>
      </c>
      <c r="J979" s="4" t="s">
        <v>88</v>
      </c>
      <c r="K979" s="4" t="s">
        <v>20</v>
      </c>
      <c r="L979" s="4" t="s">
        <v>742</v>
      </c>
      <c r="M979" s="17">
        <v>23</v>
      </c>
      <c r="N979" s="17">
        <v>731</v>
      </c>
      <c r="O979" s="18" t="s">
        <v>88</v>
      </c>
      <c r="P979" s="18">
        <v>731</v>
      </c>
      <c r="Q979" s="18">
        <v>23</v>
      </c>
      <c r="R979" s="18"/>
      <c r="S979" s="18"/>
      <c r="T979" s="18"/>
      <c r="U9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79" s="19">
        <f>IF(AUDITORIA[[#This Row],[CAT]]="",0,1)</f>
        <v>1</v>
      </c>
      <c r="W979" s="20">
        <v>46170</v>
      </c>
      <c r="X979" s="21" t="str">
        <f>UPPER(IF(AUDITORIA[[#This Row],[DATA VERIFICAÇÃO]]="","",TEXT(AUDITORIA[[#This Row],[DATA VERIFICAÇÃO]],"mmm")))</f>
        <v>MAI</v>
      </c>
      <c r="Y979" t="s">
        <v>598</v>
      </c>
      <c r="Z979" t="s">
        <v>830</v>
      </c>
      <c r="AA979" t="s">
        <v>600</v>
      </c>
    </row>
    <row r="980" spans="1:27" ht="14.4" hidden="1" customHeight="1" x14ac:dyDescent="0.3">
      <c r="A980" s="4" t="s">
        <v>279</v>
      </c>
      <c r="B980" s="4" t="s">
        <v>17</v>
      </c>
      <c r="C980" s="16" t="s">
        <v>18</v>
      </c>
      <c r="D980" s="4">
        <v>11</v>
      </c>
      <c r="E980" s="4" t="s">
        <v>745</v>
      </c>
      <c r="F980" t="s">
        <v>543</v>
      </c>
      <c r="G980" t="s">
        <v>535</v>
      </c>
      <c r="J980" s="4" t="s">
        <v>88</v>
      </c>
      <c r="K980" s="4" t="s">
        <v>21</v>
      </c>
      <c r="L980" s="4" t="s">
        <v>742</v>
      </c>
      <c r="M980" s="17">
        <v>27</v>
      </c>
      <c r="N980" s="17">
        <v>953</v>
      </c>
      <c r="O980" s="18" t="s">
        <v>88</v>
      </c>
      <c r="P980" s="18">
        <v>953</v>
      </c>
      <c r="Q980" s="18">
        <v>27</v>
      </c>
      <c r="R980" s="18"/>
      <c r="S980" s="18"/>
      <c r="T980" s="18"/>
      <c r="U9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80" s="19">
        <f>IF(AUDITORIA[[#This Row],[CAT]]="",0,1)</f>
        <v>1</v>
      </c>
      <c r="W980" s="20">
        <v>46170</v>
      </c>
      <c r="X980" s="21" t="str">
        <f>UPPER(IF(AUDITORIA[[#This Row],[DATA VERIFICAÇÃO]]="","",TEXT(AUDITORIA[[#This Row],[DATA VERIFICAÇÃO]],"mmm")))</f>
        <v>MAI</v>
      </c>
      <c r="Y980" t="s">
        <v>598</v>
      </c>
      <c r="Z980" t="s">
        <v>830</v>
      </c>
      <c r="AA980" t="s">
        <v>600</v>
      </c>
    </row>
    <row r="981" spans="1:27" ht="14.4" hidden="1" customHeight="1" x14ac:dyDescent="0.3">
      <c r="A981" s="4" t="s">
        <v>279</v>
      </c>
      <c r="B981" s="4" t="s">
        <v>17</v>
      </c>
      <c r="C981" s="16" t="s">
        <v>18</v>
      </c>
      <c r="D981" s="4">
        <v>11</v>
      </c>
      <c r="E981" s="4" t="s">
        <v>745</v>
      </c>
      <c r="F981" t="s">
        <v>540</v>
      </c>
      <c r="G981" t="s">
        <v>535</v>
      </c>
      <c r="J981" s="4" t="s">
        <v>88</v>
      </c>
      <c r="K981" s="4" t="s">
        <v>21</v>
      </c>
      <c r="L981" s="4" t="s">
        <v>742</v>
      </c>
      <c r="M981" s="17">
        <v>27</v>
      </c>
      <c r="N981" s="17">
        <v>936</v>
      </c>
      <c r="O981" s="18" t="s">
        <v>88</v>
      </c>
      <c r="P981" s="18">
        <v>936</v>
      </c>
      <c r="Q981" s="18">
        <v>27</v>
      </c>
      <c r="R981" s="18"/>
      <c r="S981" s="18"/>
      <c r="T981" s="18"/>
      <c r="U9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81" s="19">
        <f>IF(AUDITORIA[[#This Row],[CAT]]="",0,1)</f>
        <v>1</v>
      </c>
      <c r="W981" s="20">
        <v>46170</v>
      </c>
      <c r="X981" s="21" t="str">
        <f>UPPER(IF(AUDITORIA[[#This Row],[DATA VERIFICAÇÃO]]="","",TEXT(AUDITORIA[[#This Row],[DATA VERIFICAÇÃO]],"mmm")))</f>
        <v>MAI</v>
      </c>
      <c r="Y981" t="s">
        <v>598</v>
      </c>
      <c r="Z981" t="s">
        <v>830</v>
      </c>
      <c r="AA981" t="s">
        <v>600</v>
      </c>
    </row>
    <row r="982" spans="1:27" ht="14.4" hidden="1" customHeight="1" x14ac:dyDescent="0.3">
      <c r="A982" s="4" t="s">
        <v>279</v>
      </c>
      <c r="B982" s="4" t="s">
        <v>17</v>
      </c>
      <c r="C982" s="16" t="s">
        <v>18</v>
      </c>
      <c r="D982" s="4">
        <v>11</v>
      </c>
      <c r="E982" s="4" t="s">
        <v>745</v>
      </c>
      <c r="F982" t="s">
        <v>550</v>
      </c>
      <c r="G982" t="s">
        <v>535</v>
      </c>
      <c r="J982" s="4" t="s">
        <v>88</v>
      </c>
      <c r="K982" s="4" t="s">
        <v>21</v>
      </c>
      <c r="L982" s="4" t="s">
        <v>742</v>
      </c>
      <c r="M982" s="17">
        <v>27</v>
      </c>
      <c r="N982" s="17">
        <v>948</v>
      </c>
      <c r="O982" s="18" t="s">
        <v>88</v>
      </c>
      <c r="P982" s="18">
        <v>948</v>
      </c>
      <c r="Q982" s="18">
        <v>27</v>
      </c>
      <c r="R982" s="18"/>
      <c r="S982" s="18"/>
      <c r="T982" s="18"/>
      <c r="U9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82" s="19">
        <f>IF(AUDITORIA[[#This Row],[CAT]]="",0,1)</f>
        <v>1</v>
      </c>
      <c r="W982" s="20">
        <v>46170</v>
      </c>
      <c r="X982" s="21" t="str">
        <f>UPPER(IF(AUDITORIA[[#This Row],[DATA VERIFICAÇÃO]]="","",TEXT(AUDITORIA[[#This Row],[DATA VERIFICAÇÃO]],"mmm")))</f>
        <v>MAI</v>
      </c>
      <c r="Y982" t="s">
        <v>598</v>
      </c>
      <c r="Z982" t="s">
        <v>830</v>
      </c>
      <c r="AA982" t="s">
        <v>600</v>
      </c>
    </row>
    <row r="983" spans="1:27" ht="14.4" hidden="1" customHeight="1" x14ac:dyDescent="0.3">
      <c r="A983" s="4" t="s">
        <v>279</v>
      </c>
      <c r="B983" s="4" t="s">
        <v>17</v>
      </c>
      <c r="C983" s="16" t="s">
        <v>18</v>
      </c>
      <c r="D983" s="4">
        <v>11</v>
      </c>
      <c r="E983" s="4" t="s">
        <v>745</v>
      </c>
      <c r="F983" t="s">
        <v>534</v>
      </c>
      <c r="G983" t="s">
        <v>535</v>
      </c>
      <c r="J983" s="4" t="s">
        <v>88</v>
      </c>
      <c r="K983" s="4" t="s">
        <v>21</v>
      </c>
      <c r="L983" s="4" t="s">
        <v>742</v>
      </c>
      <c r="M983" s="17">
        <v>27</v>
      </c>
      <c r="N983" s="17">
        <v>929</v>
      </c>
      <c r="O983" s="18" t="s">
        <v>88</v>
      </c>
      <c r="P983" s="18">
        <v>929</v>
      </c>
      <c r="Q983" s="18">
        <v>27</v>
      </c>
      <c r="R983" s="18"/>
      <c r="S983" s="18"/>
      <c r="T983" s="18"/>
      <c r="U9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83" s="19">
        <f>IF(AUDITORIA[[#This Row],[CAT]]="",0,1)</f>
        <v>1</v>
      </c>
      <c r="W983" s="20">
        <v>46170</v>
      </c>
      <c r="X983" s="21" t="str">
        <f>UPPER(IF(AUDITORIA[[#This Row],[DATA VERIFICAÇÃO]]="","",TEXT(AUDITORIA[[#This Row],[DATA VERIFICAÇÃO]],"mmm")))</f>
        <v>MAI</v>
      </c>
      <c r="Y983" t="s">
        <v>598</v>
      </c>
      <c r="Z983" t="s">
        <v>830</v>
      </c>
      <c r="AA983" t="s">
        <v>600</v>
      </c>
    </row>
    <row r="984" spans="1:27" ht="14.4" hidden="1" customHeight="1" x14ac:dyDescent="0.3">
      <c r="A984" s="4" t="s">
        <v>279</v>
      </c>
      <c r="B984" s="4" t="s">
        <v>17</v>
      </c>
      <c r="C984" s="16" t="s">
        <v>18</v>
      </c>
      <c r="D984" s="4">
        <v>11</v>
      </c>
      <c r="E984" s="4" t="s">
        <v>745</v>
      </c>
      <c r="F984" t="s">
        <v>552</v>
      </c>
      <c r="G984" t="s">
        <v>535</v>
      </c>
      <c r="J984" s="4" t="s">
        <v>88</v>
      </c>
      <c r="K984" s="4" t="s">
        <v>21</v>
      </c>
      <c r="L984" s="4" t="s">
        <v>742</v>
      </c>
      <c r="M984" s="17">
        <v>14</v>
      </c>
      <c r="N984" s="17">
        <v>949</v>
      </c>
      <c r="O984" s="18" t="s">
        <v>88</v>
      </c>
      <c r="P984" s="18">
        <v>949</v>
      </c>
      <c r="Q984" s="18">
        <v>14</v>
      </c>
      <c r="R984" s="18"/>
      <c r="S984" s="18"/>
      <c r="T984" s="18"/>
      <c r="U9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84" s="19">
        <f>IF(AUDITORIA[[#This Row],[CAT]]="",0,1)</f>
        <v>1</v>
      </c>
      <c r="W984" s="20">
        <v>46170</v>
      </c>
      <c r="X984" s="21" t="str">
        <f>UPPER(IF(AUDITORIA[[#This Row],[DATA VERIFICAÇÃO]]="","",TEXT(AUDITORIA[[#This Row],[DATA VERIFICAÇÃO]],"mmm")))</f>
        <v>MAI</v>
      </c>
      <c r="Y984" t="s">
        <v>598</v>
      </c>
      <c r="Z984" t="s">
        <v>830</v>
      </c>
      <c r="AA984" t="s">
        <v>600</v>
      </c>
    </row>
    <row r="985" spans="1:27" ht="14.4" hidden="1" customHeight="1" x14ac:dyDescent="0.3">
      <c r="A985" s="4" t="s">
        <v>279</v>
      </c>
      <c r="B985" s="4" t="s">
        <v>17</v>
      </c>
      <c r="C985" s="16" t="s">
        <v>18</v>
      </c>
      <c r="D985" s="4">
        <v>11</v>
      </c>
      <c r="E985" s="4" t="s">
        <v>745</v>
      </c>
      <c r="F985" t="s">
        <v>476</v>
      </c>
      <c r="G985" t="s">
        <v>442</v>
      </c>
      <c r="J985" s="4" t="s">
        <v>55</v>
      </c>
      <c r="K985" s="4" t="s">
        <v>20</v>
      </c>
      <c r="L985" s="4" t="s">
        <v>742</v>
      </c>
      <c r="M985" s="17">
        <v>30</v>
      </c>
      <c r="N985" s="17">
        <v>759</v>
      </c>
      <c r="O985" s="18" t="s">
        <v>55</v>
      </c>
      <c r="P985" s="18">
        <v>759</v>
      </c>
      <c r="Q985" s="18">
        <v>30</v>
      </c>
      <c r="R985" s="18"/>
      <c r="S985" s="18"/>
      <c r="T985" s="18"/>
      <c r="U9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85" s="19">
        <f>IF(AUDITORIA[[#This Row],[CAT]]="",0,1)</f>
        <v>1</v>
      </c>
      <c r="W985" s="20">
        <v>46170</v>
      </c>
      <c r="X985" s="21" t="str">
        <f>UPPER(IF(AUDITORIA[[#This Row],[DATA VERIFICAÇÃO]]="","",TEXT(AUDITORIA[[#This Row],[DATA VERIFICAÇÃO]],"mmm")))</f>
        <v>MAI</v>
      </c>
      <c r="Y985" t="s">
        <v>598</v>
      </c>
      <c r="Z985" t="s">
        <v>830</v>
      </c>
      <c r="AA985" t="s">
        <v>600</v>
      </c>
    </row>
    <row r="986" spans="1:27" ht="14.4" hidden="1" customHeight="1" x14ac:dyDescent="0.3">
      <c r="A986" s="4" t="s">
        <v>279</v>
      </c>
      <c r="B986" s="4" t="s">
        <v>17</v>
      </c>
      <c r="C986" s="16" t="s">
        <v>18</v>
      </c>
      <c r="D986" s="4">
        <v>11</v>
      </c>
      <c r="E986" s="4" t="s">
        <v>745</v>
      </c>
      <c r="F986" t="s">
        <v>474</v>
      </c>
      <c r="G986" t="s">
        <v>442</v>
      </c>
      <c r="J986" s="4" t="s">
        <v>55</v>
      </c>
      <c r="K986" s="4" t="s">
        <v>20</v>
      </c>
      <c r="L986" s="4" t="s">
        <v>742</v>
      </c>
      <c r="M986" s="17">
        <v>30</v>
      </c>
      <c r="N986" s="17">
        <v>742</v>
      </c>
      <c r="O986" s="18" t="s">
        <v>55</v>
      </c>
      <c r="P986" s="18">
        <v>742</v>
      </c>
      <c r="Q986" s="18">
        <v>30</v>
      </c>
      <c r="R986" s="18"/>
      <c r="S986" s="18"/>
      <c r="T986" s="18"/>
      <c r="U9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86" s="19">
        <f>IF(AUDITORIA[[#This Row],[CAT]]="",0,1)</f>
        <v>1</v>
      </c>
      <c r="W986" s="20">
        <v>46170</v>
      </c>
      <c r="X986" s="21" t="str">
        <f>UPPER(IF(AUDITORIA[[#This Row],[DATA VERIFICAÇÃO]]="","",TEXT(AUDITORIA[[#This Row],[DATA VERIFICAÇÃO]],"mmm")))</f>
        <v>MAI</v>
      </c>
      <c r="Y986" t="s">
        <v>598</v>
      </c>
      <c r="Z986" t="s">
        <v>830</v>
      </c>
      <c r="AA986" t="s">
        <v>600</v>
      </c>
    </row>
    <row r="987" spans="1:27" ht="14.4" hidden="1" customHeight="1" x14ac:dyDescent="0.3">
      <c r="A987" s="4" t="s">
        <v>279</v>
      </c>
      <c r="B987" s="4" t="s">
        <v>17</v>
      </c>
      <c r="C987" s="16" t="s">
        <v>18</v>
      </c>
      <c r="D987" s="4">
        <v>11</v>
      </c>
      <c r="E987" s="4" t="s">
        <v>745</v>
      </c>
      <c r="F987" t="s">
        <v>472</v>
      </c>
      <c r="G987" t="s">
        <v>442</v>
      </c>
      <c r="J987" s="4" t="s">
        <v>55</v>
      </c>
      <c r="K987" s="4" t="s">
        <v>20</v>
      </c>
      <c r="L987" s="4" t="s">
        <v>742</v>
      </c>
      <c r="M987" s="17">
        <v>30</v>
      </c>
      <c r="N987" s="17">
        <v>755</v>
      </c>
      <c r="O987" s="18" t="s">
        <v>55</v>
      </c>
      <c r="P987" s="18">
        <v>755</v>
      </c>
      <c r="Q987" s="18">
        <v>30</v>
      </c>
      <c r="R987" s="18"/>
      <c r="S987" s="18"/>
      <c r="T987" s="18"/>
      <c r="U9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87" s="19">
        <f>IF(AUDITORIA[[#This Row],[CAT]]="",0,1)</f>
        <v>1</v>
      </c>
      <c r="W987" s="20">
        <v>46170</v>
      </c>
      <c r="X987" s="21" t="str">
        <f>UPPER(IF(AUDITORIA[[#This Row],[DATA VERIFICAÇÃO]]="","",TEXT(AUDITORIA[[#This Row],[DATA VERIFICAÇÃO]],"mmm")))</f>
        <v>MAI</v>
      </c>
      <c r="Y987" t="s">
        <v>598</v>
      </c>
      <c r="Z987" t="s">
        <v>830</v>
      </c>
      <c r="AA987" t="s">
        <v>600</v>
      </c>
    </row>
    <row r="988" spans="1:27" ht="14.4" hidden="1" customHeight="1" x14ac:dyDescent="0.3">
      <c r="A988" s="4" t="s">
        <v>279</v>
      </c>
      <c r="B988" s="4" t="s">
        <v>17</v>
      </c>
      <c r="C988" s="16" t="s">
        <v>18</v>
      </c>
      <c r="D988" s="4">
        <v>11</v>
      </c>
      <c r="E988" s="4" t="s">
        <v>745</v>
      </c>
      <c r="F988" t="s">
        <v>471</v>
      </c>
      <c r="G988" t="s">
        <v>442</v>
      </c>
      <c r="J988" s="4" t="s">
        <v>55</v>
      </c>
      <c r="K988" s="4" t="s">
        <v>20</v>
      </c>
      <c r="L988" s="4" t="s">
        <v>742</v>
      </c>
      <c r="M988" s="17">
        <v>30</v>
      </c>
      <c r="N988" s="17">
        <v>755</v>
      </c>
      <c r="O988" s="18" t="s">
        <v>55</v>
      </c>
      <c r="P988" s="18">
        <v>755</v>
      </c>
      <c r="Q988" s="18">
        <v>30</v>
      </c>
      <c r="R988" s="18"/>
      <c r="S988" s="18"/>
      <c r="T988" s="18"/>
      <c r="U9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88" s="19">
        <f>IF(AUDITORIA[[#This Row],[CAT]]="",0,1)</f>
        <v>1</v>
      </c>
      <c r="W988" s="20">
        <v>46170</v>
      </c>
      <c r="X988" s="21" t="str">
        <f>UPPER(IF(AUDITORIA[[#This Row],[DATA VERIFICAÇÃO]]="","",TEXT(AUDITORIA[[#This Row],[DATA VERIFICAÇÃO]],"mmm")))</f>
        <v>MAI</v>
      </c>
      <c r="Y988" t="s">
        <v>598</v>
      </c>
      <c r="Z988" t="s">
        <v>830</v>
      </c>
      <c r="AA988" t="s">
        <v>600</v>
      </c>
    </row>
    <row r="989" spans="1:27" ht="14.4" hidden="1" customHeight="1" x14ac:dyDescent="0.3">
      <c r="A989" s="4" t="s">
        <v>279</v>
      </c>
      <c r="B989" s="4" t="s">
        <v>17</v>
      </c>
      <c r="C989" s="16" t="s">
        <v>18</v>
      </c>
      <c r="D989" s="4">
        <v>11</v>
      </c>
      <c r="E989" s="4" t="s">
        <v>745</v>
      </c>
      <c r="F989" t="s">
        <v>470</v>
      </c>
      <c r="G989" t="s">
        <v>442</v>
      </c>
      <c r="J989" s="4" t="s">
        <v>55</v>
      </c>
      <c r="K989" s="4" t="s">
        <v>20</v>
      </c>
      <c r="L989" s="4" t="s">
        <v>742</v>
      </c>
      <c r="M989" s="17">
        <v>30</v>
      </c>
      <c r="N989" s="17">
        <v>767</v>
      </c>
      <c r="O989" s="18" t="s">
        <v>55</v>
      </c>
      <c r="P989" s="18">
        <v>767</v>
      </c>
      <c r="Q989" s="18">
        <v>30</v>
      </c>
      <c r="R989" s="18"/>
      <c r="S989" s="18"/>
      <c r="T989" s="18"/>
      <c r="U9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89" s="19">
        <f>IF(AUDITORIA[[#This Row],[CAT]]="",0,1)</f>
        <v>1</v>
      </c>
      <c r="W989" s="20">
        <v>46170</v>
      </c>
      <c r="X989" s="21" t="str">
        <f>UPPER(IF(AUDITORIA[[#This Row],[DATA VERIFICAÇÃO]]="","",TEXT(AUDITORIA[[#This Row],[DATA VERIFICAÇÃO]],"mmm")))</f>
        <v>MAI</v>
      </c>
      <c r="Y989" t="s">
        <v>598</v>
      </c>
      <c r="Z989" t="s">
        <v>830</v>
      </c>
      <c r="AA989" t="s">
        <v>600</v>
      </c>
    </row>
    <row r="990" spans="1:27" ht="14.4" hidden="1" customHeight="1" x14ac:dyDescent="0.3">
      <c r="A990" s="4" t="s">
        <v>279</v>
      </c>
      <c r="B990" s="4" t="s">
        <v>17</v>
      </c>
      <c r="C990" s="16" t="s">
        <v>18</v>
      </c>
      <c r="D990" s="4">
        <v>11</v>
      </c>
      <c r="E990" s="4" t="s">
        <v>745</v>
      </c>
      <c r="F990" t="s">
        <v>467</v>
      </c>
      <c r="G990" t="s">
        <v>442</v>
      </c>
      <c r="J990" s="4" t="s">
        <v>55</v>
      </c>
      <c r="K990" s="4" t="s">
        <v>20</v>
      </c>
      <c r="L990" s="4" t="s">
        <v>742</v>
      </c>
      <c r="M990" s="17">
        <v>30</v>
      </c>
      <c r="N990" s="17">
        <v>746</v>
      </c>
      <c r="O990" s="18" t="s">
        <v>55</v>
      </c>
      <c r="P990" s="18">
        <v>746</v>
      </c>
      <c r="Q990" s="18">
        <v>30</v>
      </c>
      <c r="R990" s="18"/>
      <c r="S990" s="18"/>
      <c r="T990" s="18"/>
      <c r="U9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90" s="19">
        <f>IF(AUDITORIA[[#This Row],[CAT]]="",0,1)</f>
        <v>1</v>
      </c>
      <c r="W990" s="20">
        <v>46170</v>
      </c>
      <c r="X990" s="21" t="str">
        <f>UPPER(IF(AUDITORIA[[#This Row],[DATA VERIFICAÇÃO]]="","",TEXT(AUDITORIA[[#This Row],[DATA VERIFICAÇÃO]],"mmm")))</f>
        <v>MAI</v>
      </c>
      <c r="Y990" t="s">
        <v>598</v>
      </c>
      <c r="Z990" t="s">
        <v>830</v>
      </c>
      <c r="AA990" t="s">
        <v>600</v>
      </c>
    </row>
    <row r="991" spans="1:27" ht="14.4" hidden="1" customHeight="1" x14ac:dyDescent="0.3">
      <c r="A991" s="4" t="s">
        <v>279</v>
      </c>
      <c r="B991" s="4" t="s">
        <v>17</v>
      </c>
      <c r="C991" s="16" t="s">
        <v>18</v>
      </c>
      <c r="D991" s="4">
        <v>11</v>
      </c>
      <c r="E991" s="4" t="s">
        <v>745</v>
      </c>
      <c r="F991" t="s">
        <v>465</v>
      </c>
      <c r="G991" t="s">
        <v>442</v>
      </c>
      <c r="J991" s="4" t="s">
        <v>55</v>
      </c>
      <c r="K991" s="4" t="s">
        <v>20</v>
      </c>
      <c r="L991" s="4" t="s">
        <v>742</v>
      </c>
      <c r="M991" s="17">
        <v>30</v>
      </c>
      <c r="N991" s="17">
        <v>750</v>
      </c>
      <c r="O991" s="18" t="s">
        <v>55</v>
      </c>
      <c r="P991" s="18">
        <v>750</v>
      </c>
      <c r="Q991" s="18">
        <v>30</v>
      </c>
      <c r="R991" s="18"/>
      <c r="S991" s="18"/>
      <c r="T991" s="18"/>
      <c r="U9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91" s="19">
        <f>IF(AUDITORIA[[#This Row],[CAT]]="",0,1)</f>
        <v>1</v>
      </c>
      <c r="W991" s="20">
        <v>46170</v>
      </c>
      <c r="X991" s="21" t="str">
        <f>UPPER(IF(AUDITORIA[[#This Row],[DATA VERIFICAÇÃO]]="","",TEXT(AUDITORIA[[#This Row],[DATA VERIFICAÇÃO]],"mmm")))</f>
        <v>MAI</v>
      </c>
      <c r="Y991" t="s">
        <v>598</v>
      </c>
      <c r="Z991" t="s">
        <v>830</v>
      </c>
      <c r="AA991" t="s">
        <v>600</v>
      </c>
    </row>
    <row r="992" spans="1:27" ht="14.4" hidden="1" customHeight="1" x14ac:dyDescent="0.3">
      <c r="A992" s="4" t="s">
        <v>279</v>
      </c>
      <c r="B992" s="4" t="s">
        <v>17</v>
      </c>
      <c r="C992" s="16" t="s">
        <v>18</v>
      </c>
      <c r="D992" s="4">
        <v>11</v>
      </c>
      <c r="E992" s="4" t="s">
        <v>745</v>
      </c>
      <c r="F992" t="s">
        <v>461</v>
      </c>
      <c r="G992" t="s">
        <v>442</v>
      </c>
      <c r="J992" s="4" t="s">
        <v>55</v>
      </c>
      <c r="K992" s="4" t="s">
        <v>20</v>
      </c>
      <c r="L992" s="4" t="s">
        <v>742</v>
      </c>
      <c r="M992" s="17">
        <v>30</v>
      </c>
      <c r="N992" s="17">
        <v>765</v>
      </c>
      <c r="O992" s="18" t="s">
        <v>55</v>
      </c>
      <c r="P992" s="18">
        <v>765</v>
      </c>
      <c r="Q992" s="18">
        <v>30</v>
      </c>
      <c r="R992" s="18"/>
      <c r="S992" s="18"/>
      <c r="T992" s="18"/>
      <c r="U9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92" s="19">
        <f>IF(AUDITORIA[[#This Row],[CAT]]="",0,1)</f>
        <v>1</v>
      </c>
      <c r="W992" s="20">
        <v>46170</v>
      </c>
      <c r="X992" s="21" t="str">
        <f>UPPER(IF(AUDITORIA[[#This Row],[DATA VERIFICAÇÃO]]="","",TEXT(AUDITORIA[[#This Row],[DATA VERIFICAÇÃO]],"mmm")))</f>
        <v>MAI</v>
      </c>
      <c r="Y992" t="s">
        <v>598</v>
      </c>
      <c r="Z992" t="s">
        <v>830</v>
      </c>
      <c r="AA992" t="s">
        <v>600</v>
      </c>
    </row>
    <row r="993" spans="1:27" ht="14.4" hidden="1" customHeight="1" x14ac:dyDescent="0.3">
      <c r="A993" s="4" t="s">
        <v>279</v>
      </c>
      <c r="B993" s="4" t="s">
        <v>17</v>
      </c>
      <c r="C993" s="16" t="s">
        <v>18</v>
      </c>
      <c r="D993" s="4">
        <v>11</v>
      </c>
      <c r="E993" s="4" t="s">
        <v>745</v>
      </c>
      <c r="F993" t="s">
        <v>460</v>
      </c>
      <c r="G993" t="s">
        <v>442</v>
      </c>
      <c r="J993" s="4" t="s">
        <v>55</v>
      </c>
      <c r="K993" s="4" t="s">
        <v>20</v>
      </c>
      <c r="L993" s="4" t="s">
        <v>742</v>
      </c>
      <c r="M993" s="17">
        <v>30</v>
      </c>
      <c r="N993" s="17">
        <v>768</v>
      </c>
      <c r="O993" s="18" t="s">
        <v>55</v>
      </c>
      <c r="P993" s="18">
        <v>768</v>
      </c>
      <c r="Q993" s="18">
        <v>30</v>
      </c>
      <c r="R993" s="18"/>
      <c r="S993" s="18"/>
      <c r="T993" s="18"/>
      <c r="U9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93" s="19">
        <f>IF(AUDITORIA[[#This Row],[CAT]]="",0,1)</f>
        <v>1</v>
      </c>
      <c r="W993" s="20">
        <v>46170</v>
      </c>
      <c r="X993" s="21" t="str">
        <f>UPPER(IF(AUDITORIA[[#This Row],[DATA VERIFICAÇÃO]]="","",TEXT(AUDITORIA[[#This Row],[DATA VERIFICAÇÃO]],"mmm")))</f>
        <v>MAI</v>
      </c>
      <c r="Y993" t="s">
        <v>598</v>
      </c>
      <c r="Z993" t="s">
        <v>830</v>
      </c>
      <c r="AA993" t="s">
        <v>600</v>
      </c>
    </row>
    <row r="994" spans="1:27" ht="14.4" hidden="1" customHeight="1" x14ac:dyDescent="0.3">
      <c r="A994" s="4" t="s">
        <v>279</v>
      </c>
      <c r="B994" s="4" t="s">
        <v>17</v>
      </c>
      <c r="C994" s="16" t="s">
        <v>18</v>
      </c>
      <c r="D994" s="4">
        <v>11</v>
      </c>
      <c r="E994" s="4" t="s">
        <v>745</v>
      </c>
      <c r="F994" t="s">
        <v>458</v>
      </c>
      <c r="G994" t="s">
        <v>442</v>
      </c>
      <c r="J994" s="4" t="s">
        <v>55</v>
      </c>
      <c r="K994" s="4" t="s">
        <v>20</v>
      </c>
      <c r="L994" s="4" t="s">
        <v>742</v>
      </c>
      <c r="M994" s="17">
        <v>30</v>
      </c>
      <c r="N994" s="17">
        <v>763</v>
      </c>
      <c r="O994" s="18" t="s">
        <v>55</v>
      </c>
      <c r="P994" s="18">
        <v>763</v>
      </c>
      <c r="Q994" s="18">
        <v>30</v>
      </c>
      <c r="R994" s="18"/>
      <c r="S994" s="18"/>
      <c r="T994" s="18"/>
      <c r="U9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94" s="19">
        <f>IF(AUDITORIA[[#This Row],[CAT]]="",0,1)</f>
        <v>1</v>
      </c>
      <c r="W994" s="20">
        <v>46170</v>
      </c>
      <c r="X994" s="21" t="str">
        <f>UPPER(IF(AUDITORIA[[#This Row],[DATA VERIFICAÇÃO]]="","",TEXT(AUDITORIA[[#This Row],[DATA VERIFICAÇÃO]],"mmm")))</f>
        <v>MAI</v>
      </c>
      <c r="Y994" t="s">
        <v>598</v>
      </c>
      <c r="Z994" t="s">
        <v>830</v>
      </c>
      <c r="AA994" t="s">
        <v>600</v>
      </c>
    </row>
    <row r="995" spans="1:27" ht="14.4" hidden="1" customHeight="1" x14ac:dyDescent="0.3">
      <c r="A995" s="4" t="s">
        <v>279</v>
      </c>
      <c r="B995" s="4" t="s">
        <v>17</v>
      </c>
      <c r="C995" s="16" t="s">
        <v>18</v>
      </c>
      <c r="D995" s="4">
        <v>11</v>
      </c>
      <c r="E995" s="4" t="s">
        <v>745</v>
      </c>
      <c r="F995" t="s">
        <v>457</v>
      </c>
      <c r="G995" t="s">
        <v>442</v>
      </c>
      <c r="J995" s="4" t="s">
        <v>55</v>
      </c>
      <c r="K995" s="4" t="s">
        <v>20</v>
      </c>
      <c r="L995" s="4" t="s">
        <v>742</v>
      </c>
      <c r="M995" s="17">
        <v>30</v>
      </c>
      <c r="N995" s="17">
        <v>761</v>
      </c>
      <c r="O995" s="18" t="s">
        <v>55</v>
      </c>
      <c r="P995" s="18">
        <v>761</v>
      </c>
      <c r="Q995" s="18">
        <v>30</v>
      </c>
      <c r="R995" s="18"/>
      <c r="S995" s="18"/>
      <c r="T995" s="18"/>
      <c r="U9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95" s="19">
        <f>IF(AUDITORIA[[#This Row],[CAT]]="",0,1)</f>
        <v>1</v>
      </c>
      <c r="W995" s="20">
        <v>46170</v>
      </c>
      <c r="X995" s="21" t="str">
        <f>UPPER(IF(AUDITORIA[[#This Row],[DATA VERIFICAÇÃO]]="","",TEXT(AUDITORIA[[#This Row],[DATA VERIFICAÇÃO]],"mmm")))</f>
        <v>MAI</v>
      </c>
      <c r="Y995" t="s">
        <v>598</v>
      </c>
      <c r="Z995" t="s">
        <v>830</v>
      </c>
      <c r="AA995" t="s">
        <v>600</v>
      </c>
    </row>
    <row r="996" spans="1:27" ht="14.4" hidden="1" customHeight="1" x14ac:dyDescent="0.3">
      <c r="A996" s="4" t="s">
        <v>279</v>
      </c>
      <c r="B996" s="4" t="s">
        <v>17</v>
      </c>
      <c r="C996" s="16" t="s">
        <v>18</v>
      </c>
      <c r="D996" s="4">
        <v>11</v>
      </c>
      <c r="E996" s="4" t="s">
        <v>745</v>
      </c>
      <c r="F996" t="s">
        <v>455</v>
      </c>
      <c r="G996" t="s">
        <v>442</v>
      </c>
      <c r="J996" s="4" t="s">
        <v>55</v>
      </c>
      <c r="K996" s="4" t="s">
        <v>20</v>
      </c>
      <c r="L996" s="4" t="s">
        <v>742</v>
      </c>
      <c r="M996" s="17">
        <v>30</v>
      </c>
      <c r="N996" s="17">
        <v>757</v>
      </c>
      <c r="O996" s="18" t="s">
        <v>55</v>
      </c>
      <c r="P996" s="18">
        <v>757</v>
      </c>
      <c r="Q996" s="18">
        <v>30</v>
      </c>
      <c r="R996" s="18"/>
      <c r="S996" s="18"/>
      <c r="T996" s="18"/>
      <c r="U9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96" s="19">
        <f>IF(AUDITORIA[[#This Row],[CAT]]="",0,1)</f>
        <v>1</v>
      </c>
      <c r="W996" s="20">
        <v>46170</v>
      </c>
      <c r="X996" s="21" t="str">
        <f>UPPER(IF(AUDITORIA[[#This Row],[DATA VERIFICAÇÃO]]="","",TEXT(AUDITORIA[[#This Row],[DATA VERIFICAÇÃO]],"mmm")))</f>
        <v>MAI</v>
      </c>
      <c r="Y996" t="s">
        <v>598</v>
      </c>
      <c r="Z996" t="s">
        <v>830</v>
      </c>
      <c r="AA996" t="s">
        <v>600</v>
      </c>
    </row>
    <row r="997" spans="1:27" ht="14.4" hidden="1" customHeight="1" x14ac:dyDescent="0.3">
      <c r="A997" s="4" t="s">
        <v>279</v>
      </c>
      <c r="B997" s="4" t="s">
        <v>17</v>
      </c>
      <c r="C997" s="16" t="s">
        <v>18</v>
      </c>
      <c r="D997" s="4">
        <v>11</v>
      </c>
      <c r="E997" s="4" t="s">
        <v>745</v>
      </c>
      <c r="F997" t="s">
        <v>453</v>
      </c>
      <c r="G997" t="s">
        <v>442</v>
      </c>
      <c r="J997" s="4" t="s">
        <v>55</v>
      </c>
      <c r="K997" s="4" t="s">
        <v>20</v>
      </c>
      <c r="L997" s="4" t="s">
        <v>742</v>
      </c>
      <c r="M997" s="17">
        <v>30</v>
      </c>
      <c r="N997" s="17">
        <v>767</v>
      </c>
      <c r="O997" s="18" t="s">
        <v>55</v>
      </c>
      <c r="P997" s="18">
        <v>767</v>
      </c>
      <c r="Q997" s="18">
        <v>30</v>
      </c>
      <c r="R997" s="18"/>
      <c r="S997" s="18"/>
      <c r="T997" s="18"/>
      <c r="U9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97" s="19">
        <f>IF(AUDITORIA[[#This Row],[CAT]]="",0,1)</f>
        <v>1</v>
      </c>
      <c r="W997" s="20">
        <v>46170</v>
      </c>
      <c r="X997" s="21" t="str">
        <f>UPPER(IF(AUDITORIA[[#This Row],[DATA VERIFICAÇÃO]]="","",TEXT(AUDITORIA[[#This Row],[DATA VERIFICAÇÃO]],"mmm")))</f>
        <v>MAI</v>
      </c>
      <c r="Y997" t="s">
        <v>598</v>
      </c>
      <c r="Z997" t="s">
        <v>830</v>
      </c>
      <c r="AA997" t="s">
        <v>600</v>
      </c>
    </row>
    <row r="998" spans="1:27" ht="14.4" hidden="1" customHeight="1" x14ac:dyDescent="0.3">
      <c r="A998" s="4" t="s">
        <v>279</v>
      </c>
      <c r="B998" s="4" t="s">
        <v>17</v>
      </c>
      <c r="C998" s="16" t="s">
        <v>18</v>
      </c>
      <c r="D998" s="4">
        <v>11</v>
      </c>
      <c r="E998" s="4" t="s">
        <v>745</v>
      </c>
      <c r="F998" t="s">
        <v>452</v>
      </c>
      <c r="G998" t="s">
        <v>442</v>
      </c>
      <c r="J998" s="4" t="s">
        <v>55</v>
      </c>
      <c r="K998" s="4" t="s">
        <v>20</v>
      </c>
      <c r="L998" s="4" t="s">
        <v>742</v>
      </c>
      <c r="M998" s="17">
        <v>30</v>
      </c>
      <c r="N998" s="17">
        <v>750</v>
      </c>
      <c r="O998" s="18" t="s">
        <v>55</v>
      </c>
      <c r="P998" s="18">
        <v>750</v>
      </c>
      <c r="Q998" s="18">
        <v>30</v>
      </c>
      <c r="R998" s="18"/>
      <c r="S998" s="18"/>
      <c r="T998" s="18"/>
      <c r="U9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98" s="19">
        <f>IF(AUDITORIA[[#This Row],[CAT]]="",0,1)</f>
        <v>1</v>
      </c>
      <c r="W998" s="20">
        <v>46170</v>
      </c>
      <c r="X998" s="21" t="str">
        <f>UPPER(IF(AUDITORIA[[#This Row],[DATA VERIFICAÇÃO]]="","",TEXT(AUDITORIA[[#This Row],[DATA VERIFICAÇÃO]],"mmm")))</f>
        <v>MAI</v>
      </c>
      <c r="Y998" t="s">
        <v>598</v>
      </c>
      <c r="Z998" t="s">
        <v>830</v>
      </c>
      <c r="AA998" t="s">
        <v>600</v>
      </c>
    </row>
    <row r="999" spans="1:27" ht="14.4" hidden="1" customHeight="1" x14ac:dyDescent="0.3">
      <c r="A999" s="4" t="s">
        <v>279</v>
      </c>
      <c r="B999" s="4" t="s">
        <v>17</v>
      </c>
      <c r="C999" s="16" t="s">
        <v>18</v>
      </c>
      <c r="D999" s="4">
        <v>11</v>
      </c>
      <c r="E999" s="4" t="s">
        <v>745</v>
      </c>
      <c r="F999" t="s">
        <v>449</v>
      </c>
      <c r="G999" t="s">
        <v>442</v>
      </c>
      <c r="J999" s="4" t="s">
        <v>55</v>
      </c>
      <c r="K999" s="4" t="s">
        <v>20</v>
      </c>
      <c r="L999" s="4" t="s">
        <v>742</v>
      </c>
      <c r="M999" s="17">
        <v>30</v>
      </c>
      <c r="N999" s="17">
        <v>759</v>
      </c>
      <c r="O999" s="18" t="s">
        <v>55</v>
      </c>
      <c r="P999" s="18">
        <v>759</v>
      </c>
      <c r="Q999" s="18">
        <v>30</v>
      </c>
      <c r="R999" s="18"/>
      <c r="S999" s="18"/>
      <c r="T999" s="18"/>
      <c r="U9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999" s="19">
        <f>IF(AUDITORIA[[#This Row],[CAT]]="",0,1)</f>
        <v>1</v>
      </c>
      <c r="W999" s="20">
        <v>46170</v>
      </c>
      <c r="X999" s="21" t="str">
        <f>UPPER(IF(AUDITORIA[[#This Row],[DATA VERIFICAÇÃO]]="","",TEXT(AUDITORIA[[#This Row],[DATA VERIFICAÇÃO]],"mmm")))</f>
        <v>MAI</v>
      </c>
      <c r="Y999" t="s">
        <v>598</v>
      </c>
      <c r="Z999" t="s">
        <v>830</v>
      </c>
      <c r="AA999" t="s">
        <v>600</v>
      </c>
    </row>
    <row r="1000" spans="1:27" ht="14.4" hidden="1" customHeight="1" x14ac:dyDescent="0.3">
      <c r="A1000" s="4" t="s">
        <v>279</v>
      </c>
      <c r="B1000" s="4" t="s">
        <v>17</v>
      </c>
      <c r="C1000" s="16" t="s">
        <v>18</v>
      </c>
      <c r="D1000" s="4">
        <v>11</v>
      </c>
      <c r="E1000" s="4" t="s">
        <v>745</v>
      </c>
      <c r="F1000" t="s">
        <v>441</v>
      </c>
      <c r="G1000" t="s">
        <v>442</v>
      </c>
      <c r="J1000" s="4" t="s">
        <v>55</v>
      </c>
      <c r="K1000" s="4" t="s">
        <v>20</v>
      </c>
      <c r="L1000" s="4" t="s">
        <v>742</v>
      </c>
      <c r="M1000" s="17">
        <v>8</v>
      </c>
      <c r="N1000" s="17">
        <v>766</v>
      </c>
      <c r="O1000" s="18" t="s">
        <v>55</v>
      </c>
      <c r="P1000" s="18">
        <v>766</v>
      </c>
      <c r="Q1000" s="18">
        <v>8</v>
      </c>
      <c r="R1000" s="18"/>
      <c r="S1000" s="18"/>
      <c r="T1000" s="18"/>
      <c r="U10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00" s="19">
        <f>IF(AUDITORIA[[#This Row],[CAT]]="",0,1)</f>
        <v>1</v>
      </c>
      <c r="W1000" s="20">
        <v>46170</v>
      </c>
      <c r="X1000" s="21" t="str">
        <f>UPPER(IF(AUDITORIA[[#This Row],[DATA VERIFICAÇÃO]]="","",TEXT(AUDITORIA[[#This Row],[DATA VERIFICAÇÃO]],"mmm")))</f>
        <v>MAI</v>
      </c>
      <c r="Y1000" t="s">
        <v>598</v>
      </c>
      <c r="Z1000" t="s">
        <v>830</v>
      </c>
      <c r="AA1000" t="s">
        <v>600</v>
      </c>
    </row>
    <row r="1001" spans="1:27" ht="14.4" hidden="1" customHeight="1" x14ac:dyDescent="0.3">
      <c r="A1001" s="4" t="s">
        <v>279</v>
      </c>
      <c r="B1001" s="4" t="s">
        <v>17</v>
      </c>
      <c r="C1001" s="16" t="s">
        <v>18</v>
      </c>
      <c r="D1001" s="4">
        <v>11</v>
      </c>
      <c r="E1001" s="4" t="s">
        <v>745</v>
      </c>
      <c r="F1001" t="s">
        <v>475</v>
      </c>
      <c r="G1001" t="s">
        <v>442</v>
      </c>
      <c r="J1001" s="4" t="s">
        <v>55</v>
      </c>
      <c r="K1001" s="4" t="s">
        <v>21</v>
      </c>
      <c r="L1001" s="4" t="s">
        <v>742</v>
      </c>
      <c r="M1001" s="17">
        <v>27</v>
      </c>
      <c r="N1001" s="17">
        <v>915</v>
      </c>
      <c r="O1001" s="18" t="s">
        <v>55</v>
      </c>
      <c r="P1001" s="18">
        <v>915</v>
      </c>
      <c r="Q1001" s="18">
        <v>27</v>
      </c>
      <c r="R1001" s="18"/>
      <c r="S1001" s="18"/>
      <c r="T1001" s="18"/>
      <c r="U10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01" s="19">
        <f>IF(AUDITORIA[[#This Row],[CAT]]="",0,1)</f>
        <v>1</v>
      </c>
      <c r="W1001" s="20">
        <v>46170</v>
      </c>
      <c r="X1001" s="21" t="str">
        <f>UPPER(IF(AUDITORIA[[#This Row],[DATA VERIFICAÇÃO]]="","",TEXT(AUDITORIA[[#This Row],[DATA VERIFICAÇÃO]],"mmm")))</f>
        <v>MAI</v>
      </c>
      <c r="Y1001" t="s">
        <v>598</v>
      </c>
      <c r="Z1001" t="s">
        <v>830</v>
      </c>
      <c r="AA1001" t="s">
        <v>600</v>
      </c>
    </row>
    <row r="1002" spans="1:27" ht="14.4" hidden="1" customHeight="1" x14ac:dyDescent="0.3">
      <c r="A1002" s="4" t="s">
        <v>279</v>
      </c>
      <c r="B1002" s="4" t="s">
        <v>17</v>
      </c>
      <c r="C1002" s="16" t="s">
        <v>18</v>
      </c>
      <c r="D1002" s="4">
        <v>11</v>
      </c>
      <c r="E1002" s="4" t="s">
        <v>745</v>
      </c>
      <c r="F1002" t="s">
        <v>473</v>
      </c>
      <c r="G1002" t="s">
        <v>442</v>
      </c>
      <c r="J1002" s="4" t="s">
        <v>55</v>
      </c>
      <c r="K1002" s="4" t="s">
        <v>21</v>
      </c>
      <c r="L1002" s="4" t="s">
        <v>742</v>
      </c>
      <c r="M1002" s="17">
        <v>30</v>
      </c>
      <c r="N1002" s="17">
        <v>898</v>
      </c>
      <c r="O1002" s="18" t="s">
        <v>55</v>
      </c>
      <c r="P1002" s="18">
        <v>898</v>
      </c>
      <c r="Q1002" s="18">
        <v>30</v>
      </c>
      <c r="R1002" s="18"/>
      <c r="S1002" s="18"/>
      <c r="T1002" s="18"/>
      <c r="U10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02" s="19">
        <f>IF(AUDITORIA[[#This Row],[CAT]]="",0,1)</f>
        <v>1</v>
      </c>
      <c r="W1002" s="20">
        <v>46170</v>
      </c>
      <c r="X1002" s="21" t="str">
        <f>UPPER(IF(AUDITORIA[[#This Row],[DATA VERIFICAÇÃO]]="","",TEXT(AUDITORIA[[#This Row],[DATA VERIFICAÇÃO]],"mmm")))</f>
        <v>MAI</v>
      </c>
      <c r="Y1002" t="s">
        <v>598</v>
      </c>
      <c r="Z1002" t="s">
        <v>830</v>
      </c>
      <c r="AA1002" t="s">
        <v>600</v>
      </c>
    </row>
    <row r="1003" spans="1:27" ht="14.4" hidden="1" customHeight="1" x14ac:dyDescent="0.3">
      <c r="A1003" s="4" t="s">
        <v>279</v>
      </c>
      <c r="B1003" s="4" t="s">
        <v>17</v>
      </c>
      <c r="C1003" s="16" t="s">
        <v>18</v>
      </c>
      <c r="D1003" s="4">
        <v>11</v>
      </c>
      <c r="E1003" s="4" t="s">
        <v>745</v>
      </c>
      <c r="F1003" t="s">
        <v>469</v>
      </c>
      <c r="G1003" t="s">
        <v>442</v>
      </c>
      <c r="J1003" s="4" t="s">
        <v>55</v>
      </c>
      <c r="K1003" s="4" t="s">
        <v>21</v>
      </c>
      <c r="L1003" s="4" t="s">
        <v>742</v>
      </c>
      <c r="M1003" s="17">
        <v>27</v>
      </c>
      <c r="N1003" s="17">
        <v>909</v>
      </c>
      <c r="O1003" s="18" t="s">
        <v>55</v>
      </c>
      <c r="P1003" s="18">
        <v>909</v>
      </c>
      <c r="Q1003" s="18">
        <v>27</v>
      </c>
      <c r="R1003" s="18"/>
      <c r="S1003" s="18"/>
      <c r="T1003" s="18"/>
      <c r="U10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03" s="19">
        <f>IF(AUDITORIA[[#This Row],[CAT]]="",0,1)</f>
        <v>1</v>
      </c>
      <c r="W1003" s="20">
        <v>46170</v>
      </c>
      <c r="X1003" s="21" t="str">
        <f>UPPER(IF(AUDITORIA[[#This Row],[DATA VERIFICAÇÃO]]="","",TEXT(AUDITORIA[[#This Row],[DATA VERIFICAÇÃO]],"mmm")))</f>
        <v>MAI</v>
      </c>
      <c r="Y1003" t="s">
        <v>598</v>
      </c>
      <c r="Z1003" t="s">
        <v>830</v>
      </c>
      <c r="AA1003" t="s">
        <v>600</v>
      </c>
    </row>
    <row r="1004" spans="1:27" ht="14.4" hidden="1" customHeight="1" x14ac:dyDescent="0.3">
      <c r="A1004" s="4" t="s">
        <v>279</v>
      </c>
      <c r="B1004" s="4" t="s">
        <v>17</v>
      </c>
      <c r="C1004" s="16" t="s">
        <v>18</v>
      </c>
      <c r="D1004" s="4">
        <v>11</v>
      </c>
      <c r="E1004" s="4" t="s">
        <v>745</v>
      </c>
      <c r="F1004" t="s">
        <v>464</v>
      </c>
      <c r="G1004" t="s">
        <v>442</v>
      </c>
      <c r="J1004" s="4" t="s">
        <v>55</v>
      </c>
      <c r="K1004" s="4" t="s">
        <v>21</v>
      </c>
      <c r="L1004" s="4" t="s">
        <v>742</v>
      </c>
      <c r="M1004" s="17">
        <v>27</v>
      </c>
      <c r="N1004" s="17">
        <v>916</v>
      </c>
      <c r="O1004" s="18" t="s">
        <v>55</v>
      </c>
      <c r="P1004" s="18">
        <v>916</v>
      </c>
      <c r="Q1004" s="18">
        <v>27</v>
      </c>
      <c r="R1004" s="18"/>
      <c r="S1004" s="18"/>
      <c r="T1004" s="18"/>
      <c r="U10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04" s="19">
        <f>IF(AUDITORIA[[#This Row],[CAT]]="",0,1)</f>
        <v>1</v>
      </c>
      <c r="W1004" s="20">
        <v>46170</v>
      </c>
      <c r="X1004" s="21" t="str">
        <f>UPPER(IF(AUDITORIA[[#This Row],[DATA VERIFICAÇÃO]]="","",TEXT(AUDITORIA[[#This Row],[DATA VERIFICAÇÃO]],"mmm")))</f>
        <v>MAI</v>
      </c>
      <c r="Y1004" t="s">
        <v>598</v>
      </c>
      <c r="Z1004" t="s">
        <v>830</v>
      </c>
      <c r="AA1004" t="s">
        <v>600</v>
      </c>
    </row>
    <row r="1005" spans="1:27" ht="14.4" hidden="1" customHeight="1" x14ac:dyDescent="0.3">
      <c r="A1005" s="4" t="s">
        <v>279</v>
      </c>
      <c r="B1005" s="4" t="s">
        <v>17</v>
      </c>
      <c r="C1005" s="16" t="s">
        <v>18</v>
      </c>
      <c r="D1005" s="4">
        <v>11</v>
      </c>
      <c r="E1005" s="4" t="s">
        <v>745</v>
      </c>
      <c r="F1005" t="s">
        <v>459</v>
      </c>
      <c r="G1005" t="s">
        <v>442</v>
      </c>
      <c r="J1005" s="4" t="s">
        <v>55</v>
      </c>
      <c r="K1005" s="4" t="s">
        <v>21</v>
      </c>
      <c r="L1005" s="4" t="s">
        <v>742</v>
      </c>
      <c r="M1005" s="17">
        <v>27</v>
      </c>
      <c r="N1005" s="17">
        <v>929</v>
      </c>
      <c r="O1005" s="18" t="s">
        <v>55</v>
      </c>
      <c r="P1005" s="18">
        <v>929</v>
      </c>
      <c r="Q1005" s="18">
        <v>27</v>
      </c>
      <c r="R1005" s="18"/>
      <c r="S1005" s="18"/>
      <c r="T1005" s="18"/>
      <c r="U10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05" s="19">
        <f>IF(AUDITORIA[[#This Row],[CAT]]="",0,1)</f>
        <v>1</v>
      </c>
      <c r="W1005" s="20">
        <v>46170</v>
      </c>
      <c r="X1005" s="21" t="str">
        <f>UPPER(IF(AUDITORIA[[#This Row],[DATA VERIFICAÇÃO]]="","",TEXT(AUDITORIA[[#This Row],[DATA VERIFICAÇÃO]],"mmm")))</f>
        <v>MAI</v>
      </c>
      <c r="Y1005" t="s">
        <v>598</v>
      </c>
      <c r="Z1005" t="s">
        <v>830</v>
      </c>
      <c r="AA1005" t="s">
        <v>600</v>
      </c>
    </row>
    <row r="1006" spans="1:27" ht="14.4" hidden="1" customHeight="1" x14ac:dyDescent="0.3">
      <c r="A1006" s="4" t="s">
        <v>279</v>
      </c>
      <c r="B1006" s="4" t="s">
        <v>17</v>
      </c>
      <c r="C1006" s="16" t="s">
        <v>18</v>
      </c>
      <c r="D1006" s="4">
        <v>11</v>
      </c>
      <c r="E1006" s="4" t="s">
        <v>745</v>
      </c>
      <c r="F1006" t="s">
        <v>456</v>
      </c>
      <c r="G1006" t="s">
        <v>442</v>
      </c>
      <c r="J1006" s="4" t="s">
        <v>55</v>
      </c>
      <c r="K1006" s="4" t="s">
        <v>21</v>
      </c>
      <c r="L1006" s="4" t="s">
        <v>742</v>
      </c>
      <c r="M1006" s="17">
        <v>27</v>
      </c>
      <c r="N1006" s="17">
        <v>914</v>
      </c>
      <c r="O1006" s="18" t="s">
        <v>55</v>
      </c>
      <c r="P1006" s="18">
        <v>914</v>
      </c>
      <c r="Q1006" s="18">
        <v>27</v>
      </c>
      <c r="R1006" s="18"/>
      <c r="S1006" s="18"/>
      <c r="T1006" s="18"/>
      <c r="U10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06" s="19">
        <f>IF(AUDITORIA[[#This Row],[CAT]]="",0,1)</f>
        <v>1</v>
      </c>
      <c r="W1006" s="20">
        <v>46170</v>
      </c>
      <c r="X1006" s="21" t="str">
        <f>UPPER(IF(AUDITORIA[[#This Row],[DATA VERIFICAÇÃO]]="","",TEXT(AUDITORIA[[#This Row],[DATA VERIFICAÇÃO]],"mmm")))</f>
        <v>MAI</v>
      </c>
      <c r="Y1006" t="s">
        <v>598</v>
      </c>
      <c r="Z1006" t="s">
        <v>830</v>
      </c>
      <c r="AA1006" t="s">
        <v>600</v>
      </c>
    </row>
    <row r="1007" spans="1:27" ht="14.4" hidden="1" customHeight="1" x14ac:dyDescent="0.3">
      <c r="A1007" s="4" t="s">
        <v>279</v>
      </c>
      <c r="B1007" s="4" t="s">
        <v>17</v>
      </c>
      <c r="C1007" s="16" t="s">
        <v>18</v>
      </c>
      <c r="D1007" s="4">
        <v>11</v>
      </c>
      <c r="E1007" s="4" t="s">
        <v>745</v>
      </c>
      <c r="F1007" t="s">
        <v>454</v>
      </c>
      <c r="G1007" t="s">
        <v>442</v>
      </c>
      <c r="J1007" s="4" t="s">
        <v>55</v>
      </c>
      <c r="K1007" s="4" t="s">
        <v>21</v>
      </c>
      <c r="L1007" s="4" t="s">
        <v>742</v>
      </c>
      <c r="M1007" s="17">
        <v>30</v>
      </c>
      <c r="N1007" s="17">
        <v>891</v>
      </c>
      <c r="O1007" s="18" t="s">
        <v>55</v>
      </c>
      <c r="P1007" s="18">
        <v>891</v>
      </c>
      <c r="Q1007" s="18">
        <v>30</v>
      </c>
      <c r="R1007" s="18"/>
      <c r="S1007" s="18"/>
      <c r="T1007" s="18"/>
      <c r="U10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07" s="19">
        <f>IF(AUDITORIA[[#This Row],[CAT]]="",0,1)</f>
        <v>1</v>
      </c>
      <c r="W1007" s="20">
        <v>46170</v>
      </c>
      <c r="X1007" s="21" t="str">
        <f>UPPER(IF(AUDITORIA[[#This Row],[DATA VERIFICAÇÃO]]="","",TEXT(AUDITORIA[[#This Row],[DATA VERIFICAÇÃO]],"mmm")))</f>
        <v>MAI</v>
      </c>
      <c r="Y1007" t="s">
        <v>598</v>
      </c>
      <c r="Z1007" t="s">
        <v>830</v>
      </c>
      <c r="AA1007" t="s">
        <v>600</v>
      </c>
    </row>
    <row r="1008" spans="1:27" ht="14.4" hidden="1" customHeight="1" x14ac:dyDescent="0.3">
      <c r="A1008" s="4" t="s">
        <v>279</v>
      </c>
      <c r="B1008" s="4" t="s">
        <v>17</v>
      </c>
      <c r="C1008" s="16" t="s">
        <v>18</v>
      </c>
      <c r="D1008" s="4">
        <v>11</v>
      </c>
      <c r="E1008" s="4" t="s">
        <v>745</v>
      </c>
      <c r="F1008" t="s">
        <v>450</v>
      </c>
      <c r="G1008" t="s">
        <v>442</v>
      </c>
      <c r="J1008" s="4" t="s">
        <v>55</v>
      </c>
      <c r="K1008" s="4" t="s">
        <v>21</v>
      </c>
      <c r="L1008" s="4" t="s">
        <v>742</v>
      </c>
      <c r="M1008" s="17">
        <v>27</v>
      </c>
      <c r="N1008" s="17">
        <v>920</v>
      </c>
      <c r="O1008" s="18" t="s">
        <v>55</v>
      </c>
      <c r="P1008" s="18">
        <v>920</v>
      </c>
      <c r="Q1008" s="18">
        <v>27</v>
      </c>
      <c r="R1008" s="18"/>
      <c r="S1008" s="18"/>
      <c r="T1008" s="18"/>
      <c r="U10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08" s="19">
        <f>IF(AUDITORIA[[#This Row],[CAT]]="",0,1)</f>
        <v>1</v>
      </c>
      <c r="W1008" s="20">
        <v>46170</v>
      </c>
      <c r="X1008" s="21" t="str">
        <f>UPPER(IF(AUDITORIA[[#This Row],[DATA VERIFICAÇÃO]]="","",TEXT(AUDITORIA[[#This Row],[DATA VERIFICAÇÃO]],"mmm")))</f>
        <v>MAI</v>
      </c>
      <c r="Y1008" t="s">
        <v>598</v>
      </c>
      <c r="Z1008" t="s">
        <v>830</v>
      </c>
      <c r="AA1008" t="s">
        <v>600</v>
      </c>
    </row>
    <row r="1009" spans="1:27" ht="14.4" hidden="1" customHeight="1" x14ac:dyDescent="0.3">
      <c r="A1009" s="4" t="s">
        <v>279</v>
      </c>
      <c r="B1009" s="4" t="s">
        <v>17</v>
      </c>
      <c r="C1009" s="16" t="s">
        <v>18</v>
      </c>
      <c r="D1009" s="4">
        <v>11</v>
      </c>
      <c r="E1009" s="4" t="s">
        <v>745</v>
      </c>
      <c r="F1009" t="s">
        <v>444</v>
      </c>
      <c r="G1009" t="s">
        <v>442</v>
      </c>
      <c r="J1009" s="4" t="s">
        <v>55</v>
      </c>
      <c r="K1009" s="4" t="s">
        <v>21</v>
      </c>
      <c r="L1009" s="4" t="s">
        <v>742</v>
      </c>
      <c r="M1009" s="17">
        <v>7</v>
      </c>
      <c r="N1009" s="17">
        <v>908</v>
      </c>
      <c r="O1009" s="18" t="s">
        <v>55</v>
      </c>
      <c r="P1009" s="18">
        <v>908</v>
      </c>
      <c r="Q1009" s="18">
        <v>7</v>
      </c>
      <c r="R1009" s="18"/>
      <c r="S1009" s="18"/>
      <c r="T1009" s="18"/>
      <c r="U10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09" s="19">
        <f>IF(AUDITORIA[[#This Row],[CAT]]="",0,1)</f>
        <v>1</v>
      </c>
      <c r="W1009" s="20">
        <v>46170</v>
      </c>
      <c r="X1009" s="21" t="str">
        <f>UPPER(IF(AUDITORIA[[#This Row],[DATA VERIFICAÇÃO]]="","",TEXT(AUDITORIA[[#This Row],[DATA VERIFICAÇÃO]],"mmm")))</f>
        <v>MAI</v>
      </c>
      <c r="Y1009" t="s">
        <v>598</v>
      </c>
      <c r="Z1009" t="s">
        <v>830</v>
      </c>
      <c r="AA1009" t="s">
        <v>600</v>
      </c>
    </row>
    <row r="1010" spans="1:27" ht="14.4" hidden="1" customHeight="1" x14ac:dyDescent="0.3">
      <c r="A1010" s="4" t="s">
        <v>279</v>
      </c>
      <c r="B1010" s="4" t="s">
        <v>17</v>
      </c>
      <c r="C1010" s="16" t="s">
        <v>18</v>
      </c>
      <c r="D1010" s="4">
        <v>11</v>
      </c>
      <c r="E1010" s="4" t="s">
        <v>745</v>
      </c>
      <c r="F1010" t="s">
        <v>494</v>
      </c>
      <c r="G1010" t="s">
        <v>399</v>
      </c>
      <c r="J1010" s="4" t="s">
        <v>88</v>
      </c>
      <c r="K1010" s="4" t="s">
        <v>20</v>
      </c>
      <c r="L1010" s="4" t="s">
        <v>742</v>
      </c>
      <c r="M1010" s="17">
        <v>30</v>
      </c>
      <c r="N1010" s="17">
        <v>835</v>
      </c>
      <c r="O1010" s="18" t="s">
        <v>88</v>
      </c>
      <c r="P1010" s="18">
        <v>835</v>
      </c>
      <c r="Q1010" s="18">
        <v>30</v>
      </c>
      <c r="R1010" s="18"/>
      <c r="S1010" s="18"/>
      <c r="T1010" s="18"/>
      <c r="U10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10" s="19">
        <f>IF(AUDITORIA[[#This Row],[CAT]]="",0,1)</f>
        <v>1</v>
      </c>
      <c r="W1010" s="20">
        <v>46170</v>
      </c>
      <c r="X1010" s="21" t="str">
        <f>UPPER(IF(AUDITORIA[[#This Row],[DATA VERIFICAÇÃO]]="","",TEXT(AUDITORIA[[#This Row],[DATA VERIFICAÇÃO]],"mmm")))</f>
        <v>MAI</v>
      </c>
      <c r="Y1010" t="s">
        <v>598</v>
      </c>
      <c r="Z1010" t="s">
        <v>830</v>
      </c>
      <c r="AA1010" t="s">
        <v>600</v>
      </c>
    </row>
    <row r="1011" spans="1:27" ht="14.4" hidden="1" customHeight="1" x14ac:dyDescent="0.3">
      <c r="A1011" s="4" t="s">
        <v>279</v>
      </c>
      <c r="B1011" s="4" t="s">
        <v>17</v>
      </c>
      <c r="C1011" s="16" t="s">
        <v>18</v>
      </c>
      <c r="D1011" s="4">
        <v>11</v>
      </c>
      <c r="E1011" s="4" t="s">
        <v>745</v>
      </c>
      <c r="F1011" t="s">
        <v>492</v>
      </c>
      <c r="G1011" t="s">
        <v>399</v>
      </c>
      <c r="J1011" s="4" t="s">
        <v>88</v>
      </c>
      <c r="K1011" s="4" t="s">
        <v>20</v>
      </c>
      <c r="L1011" s="4" t="s">
        <v>742</v>
      </c>
      <c r="M1011" s="17">
        <v>30</v>
      </c>
      <c r="N1011" s="17">
        <v>828</v>
      </c>
      <c r="O1011" s="18" t="s">
        <v>88</v>
      </c>
      <c r="P1011" s="18">
        <v>828</v>
      </c>
      <c r="Q1011" s="18">
        <v>30</v>
      </c>
      <c r="R1011" s="18"/>
      <c r="S1011" s="18"/>
      <c r="T1011" s="18"/>
      <c r="U10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11" s="19">
        <f>IF(AUDITORIA[[#This Row],[CAT]]="",0,1)</f>
        <v>1</v>
      </c>
      <c r="W1011" s="20">
        <v>46170</v>
      </c>
      <c r="X1011" s="21" t="str">
        <f>UPPER(IF(AUDITORIA[[#This Row],[DATA VERIFICAÇÃO]]="","",TEXT(AUDITORIA[[#This Row],[DATA VERIFICAÇÃO]],"mmm")))</f>
        <v>MAI</v>
      </c>
      <c r="Y1011" t="s">
        <v>598</v>
      </c>
      <c r="Z1011" t="s">
        <v>830</v>
      </c>
      <c r="AA1011" t="s">
        <v>600</v>
      </c>
    </row>
    <row r="1012" spans="1:27" ht="14.4" hidden="1" customHeight="1" x14ac:dyDescent="0.3">
      <c r="A1012" s="4" t="s">
        <v>279</v>
      </c>
      <c r="B1012" s="4" t="s">
        <v>17</v>
      </c>
      <c r="C1012" s="16" t="s">
        <v>18</v>
      </c>
      <c r="D1012" s="4">
        <v>11</v>
      </c>
      <c r="E1012" s="4" t="s">
        <v>745</v>
      </c>
      <c r="F1012" t="s">
        <v>491</v>
      </c>
      <c r="G1012" t="s">
        <v>399</v>
      </c>
      <c r="J1012" s="4" t="s">
        <v>88</v>
      </c>
      <c r="K1012" s="4" t="s">
        <v>20</v>
      </c>
      <c r="L1012" s="4" t="s">
        <v>742</v>
      </c>
      <c r="M1012" s="17">
        <v>30</v>
      </c>
      <c r="N1012" s="17">
        <v>812</v>
      </c>
      <c r="O1012" s="18" t="s">
        <v>88</v>
      </c>
      <c r="P1012" s="18">
        <v>812</v>
      </c>
      <c r="Q1012" s="18">
        <v>30</v>
      </c>
      <c r="R1012" s="18"/>
      <c r="S1012" s="18"/>
      <c r="T1012" s="18"/>
      <c r="U10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12" s="19">
        <f>IF(AUDITORIA[[#This Row],[CAT]]="",0,1)</f>
        <v>1</v>
      </c>
      <c r="W1012" s="20">
        <v>46170</v>
      </c>
      <c r="X1012" s="21" t="str">
        <f>UPPER(IF(AUDITORIA[[#This Row],[DATA VERIFICAÇÃO]]="","",TEXT(AUDITORIA[[#This Row],[DATA VERIFICAÇÃO]],"mmm")))</f>
        <v>MAI</v>
      </c>
      <c r="Y1012" t="s">
        <v>598</v>
      </c>
      <c r="Z1012" t="s">
        <v>830</v>
      </c>
      <c r="AA1012" t="s">
        <v>600</v>
      </c>
    </row>
    <row r="1013" spans="1:27" ht="14.4" hidden="1" customHeight="1" x14ac:dyDescent="0.3">
      <c r="A1013" s="4" t="s">
        <v>279</v>
      </c>
      <c r="B1013" s="4" t="s">
        <v>17</v>
      </c>
      <c r="C1013" s="16" t="s">
        <v>18</v>
      </c>
      <c r="D1013" s="4">
        <v>11</v>
      </c>
      <c r="E1013" s="4" t="s">
        <v>745</v>
      </c>
      <c r="F1013" t="s">
        <v>489</v>
      </c>
      <c r="G1013" t="s">
        <v>399</v>
      </c>
      <c r="J1013" s="4" t="s">
        <v>88</v>
      </c>
      <c r="K1013" s="4" t="s">
        <v>20</v>
      </c>
      <c r="L1013" s="4" t="s">
        <v>742</v>
      </c>
      <c r="M1013" s="17">
        <v>30</v>
      </c>
      <c r="N1013" s="17">
        <v>801</v>
      </c>
      <c r="O1013" s="18" t="s">
        <v>88</v>
      </c>
      <c r="P1013" s="18">
        <v>801</v>
      </c>
      <c r="Q1013" s="18">
        <v>30</v>
      </c>
      <c r="R1013" s="18"/>
      <c r="S1013" s="18"/>
      <c r="T1013" s="18"/>
      <c r="U10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13" s="19">
        <f>IF(AUDITORIA[[#This Row],[CAT]]="",0,1)</f>
        <v>1</v>
      </c>
      <c r="W1013" s="20">
        <v>46170</v>
      </c>
      <c r="X1013" s="21" t="str">
        <f>UPPER(IF(AUDITORIA[[#This Row],[DATA VERIFICAÇÃO]]="","",TEXT(AUDITORIA[[#This Row],[DATA VERIFICAÇÃO]],"mmm")))</f>
        <v>MAI</v>
      </c>
      <c r="Y1013" t="s">
        <v>598</v>
      </c>
      <c r="Z1013" t="s">
        <v>830</v>
      </c>
      <c r="AA1013" t="s">
        <v>600</v>
      </c>
    </row>
    <row r="1014" spans="1:27" ht="14.4" hidden="1" customHeight="1" x14ac:dyDescent="0.3">
      <c r="A1014" s="4" t="s">
        <v>279</v>
      </c>
      <c r="B1014" s="4" t="s">
        <v>17</v>
      </c>
      <c r="C1014" s="16" t="s">
        <v>18</v>
      </c>
      <c r="D1014" s="4">
        <v>11</v>
      </c>
      <c r="E1014" s="4" t="s">
        <v>745</v>
      </c>
      <c r="F1014" t="s">
        <v>487</v>
      </c>
      <c r="G1014" t="s">
        <v>399</v>
      </c>
      <c r="J1014" s="4" t="s">
        <v>88</v>
      </c>
      <c r="K1014" s="4" t="s">
        <v>20</v>
      </c>
      <c r="L1014" s="4" t="s">
        <v>742</v>
      </c>
      <c r="M1014" s="17">
        <v>30</v>
      </c>
      <c r="N1014" s="17">
        <v>821</v>
      </c>
      <c r="O1014" s="18" t="s">
        <v>88</v>
      </c>
      <c r="P1014" s="18">
        <v>821</v>
      </c>
      <c r="Q1014" s="18">
        <v>30</v>
      </c>
      <c r="R1014" s="18"/>
      <c r="S1014" s="18"/>
      <c r="T1014" s="18"/>
      <c r="U10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14" s="19">
        <f>IF(AUDITORIA[[#This Row],[CAT]]="",0,1)</f>
        <v>1</v>
      </c>
      <c r="W1014" s="20">
        <v>46170</v>
      </c>
      <c r="X1014" s="21" t="str">
        <f>UPPER(IF(AUDITORIA[[#This Row],[DATA VERIFICAÇÃO]]="","",TEXT(AUDITORIA[[#This Row],[DATA VERIFICAÇÃO]],"mmm")))</f>
        <v>MAI</v>
      </c>
      <c r="Y1014" t="s">
        <v>598</v>
      </c>
      <c r="Z1014" t="s">
        <v>830</v>
      </c>
      <c r="AA1014" t="s">
        <v>600</v>
      </c>
    </row>
    <row r="1015" spans="1:27" ht="14.4" hidden="1" customHeight="1" x14ac:dyDescent="0.3">
      <c r="A1015" s="4" t="s">
        <v>279</v>
      </c>
      <c r="B1015" s="4" t="s">
        <v>17</v>
      </c>
      <c r="C1015" s="16" t="s">
        <v>18</v>
      </c>
      <c r="D1015" s="4">
        <v>11</v>
      </c>
      <c r="E1015" s="4" t="s">
        <v>745</v>
      </c>
      <c r="F1015" t="s">
        <v>486</v>
      </c>
      <c r="G1015" t="s">
        <v>399</v>
      </c>
      <c r="J1015" s="4" t="s">
        <v>88</v>
      </c>
      <c r="K1015" s="4" t="s">
        <v>20</v>
      </c>
      <c r="L1015" s="4" t="s">
        <v>742</v>
      </c>
      <c r="M1015" s="17">
        <v>30</v>
      </c>
      <c r="N1015" s="17">
        <v>827</v>
      </c>
      <c r="O1015" s="18" t="s">
        <v>88</v>
      </c>
      <c r="P1015" s="18">
        <v>827</v>
      </c>
      <c r="Q1015" s="18">
        <v>30</v>
      </c>
      <c r="R1015" s="18"/>
      <c r="S1015" s="18"/>
      <c r="T1015" s="18"/>
      <c r="U10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15" s="19">
        <f>IF(AUDITORIA[[#This Row],[CAT]]="",0,1)</f>
        <v>1</v>
      </c>
      <c r="W1015" s="20">
        <v>46170</v>
      </c>
      <c r="X1015" s="21" t="str">
        <f>UPPER(IF(AUDITORIA[[#This Row],[DATA VERIFICAÇÃO]]="","",TEXT(AUDITORIA[[#This Row],[DATA VERIFICAÇÃO]],"mmm")))</f>
        <v>MAI</v>
      </c>
      <c r="Y1015" t="s">
        <v>598</v>
      </c>
      <c r="Z1015" t="s">
        <v>830</v>
      </c>
      <c r="AA1015" t="s">
        <v>600</v>
      </c>
    </row>
    <row r="1016" spans="1:27" ht="14.4" hidden="1" customHeight="1" x14ac:dyDescent="0.3">
      <c r="A1016" s="4" t="s">
        <v>279</v>
      </c>
      <c r="B1016" s="4" t="s">
        <v>17</v>
      </c>
      <c r="C1016" s="16" t="s">
        <v>18</v>
      </c>
      <c r="D1016" s="4">
        <v>11</v>
      </c>
      <c r="E1016" s="4" t="s">
        <v>745</v>
      </c>
      <c r="F1016" t="s">
        <v>485</v>
      </c>
      <c r="G1016" t="s">
        <v>399</v>
      </c>
      <c r="J1016" s="4" t="s">
        <v>88</v>
      </c>
      <c r="K1016" s="4" t="s">
        <v>20</v>
      </c>
      <c r="L1016" s="4" t="s">
        <v>742</v>
      </c>
      <c r="M1016" s="17">
        <v>30</v>
      </c>
      <c r="N1016" s="17">
        <v>813</v>
      </c>
      <c r="O1016" s="18" t="s">
        <v>88</v>
      </c>
      <c r="P1016" s="18">
        <v>813</v>
      </c>
      <c r="Q1016" s="18">
        <v>30</v>
      </c>
      <c r="R1016" s="18"/>
      <c r="S1016" s="18"/>
      <c r="T1016" s="18"/>
      <c r="U10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16" s="19">
        <f>IF(AUDITORIA[[#This Row],[CAT]]="",0,1)</f>
        <v>1</v>
      </c>
      <c r="W1016" s="20">
        <v>46170</v>
      </c>
      <c r="X1016" s="21" t="str">
        <f>UPPER(IF(AUDITORIA[[#This Row],[DATA VERIFICAÇÃO]]="","",TEXT(AUDITORIA[[#This Row],[DATA VERIFICAÇÃO]],"mmm")))</f>
        <v>MAI</v>
      </c>
      <c r="Y1016" t="s">
        <v>598</v>
      </c>
      <c r="Z1016" t="s">
        <v>830</v>
      </c>
      <c r="AA1016" t="s">
        <v>600</v>
      </c>
    </row>
    <row r="1017" spans="1:27" ht="14.4" hidden="1" customHeight="1" x14ac:dyDescent="0.3">
      <c r="A1017" s="4" t="s">
        <v>279</v>
      </c>
      <c r="B1017" s="4" t="s">
        <v>17</v>
      </c>
      <c r="C1017" s="16" t="s">
        <v>18</v>
      </c>
      <c r="D1017" s="4">
        <v>11</v>
      </c>
      <c r="E1017" s="4" t="s">
        <v>745</v>
      </c>
      <c r="F1017" t="s">
        <v>484</v>
      </c>
      <c r="G1017" t="s">
        <v>399</v>
      </c>
      <c r="J1017" s="4" t="s">
        <v>88</v>
      </c>
      <c r="K1017" s="4" t="s">
        <v>20</v>
      </c>
      <c r="L1017" s="4" t="s">
        <v>742</v>
      </c>
      <c r="M1017" s="17">
        <v>30</v>
      </c>
      <c r="N1017" s="17">
        <v>804</v>
      </c>
      <c r="O1017" s="18" t="s">
        <v>88</v>
      </c>
      <c r="P1017" s="18">
        <v>804</v>
      </c>
      <c r="Q1017" s="18">
        <v>30</v>
      </c>
      <c r="R1017" s="18"/>
      <c r="S1017" s="18"/>
      <c r="T1017" s="18"/>
      <c r="U10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17" s="19">
        <f>IF(AUDITORIA[[#This Row],[CAT]]="",0,1)</f>
        <v>1</v>
      </c>
      <c r="W1017" s="20">
        <v>46170</v>
      </c>
      <c r="X1017" s="21" t="str">
        <f>UPPER(IF(AUDITORIA[[#This Row],[DATA VERIFICAÇÃO]]="","",TEXT(AUDITORIA[[#This Row],[DATA VERIFICAÇÃO]],"mmm")))</f>
        <v>MAI</v>
      </c>
      <c r="Y1017" t="s">
        <v>598</v>
      </c>
      <c r="Z1017" t="s">
        <v>830</v>
      </c>
      <c r="AA1017" t="s">
        <v>600</v>
      </c>
    </row>
    <row r="1018" spans="1:27" ht="14.4" hidden="1" customHeight="1" x14ac:dyDescent="0.3">
      <c r="A1018" s="4" t="s">
        <v>279</v>
      </c>
      <c r="B1018" s="4" t="s">
        <v>17</v>
      </c>
      <c r="C1018" s="16" t="s">
        <v>18</v>
      </c>
      <c r="D1018" s="4">
        <v>11</v>
      </c>
      <c r="E1018" s="4" t="s">
        <v>745</v>
      </c>
      <c r="F1018" t="s">
        <v>477</v>
      </c>
      <c r="G1018" t="s">
        <v>399</v>
      </c>
      <c r="J1018" s="4" t="s">
        <v>88</v>
      </c>
      <c r="K1018" s="4" t="s">
        <v>20</v>
      </c>
      <c r="L1018" s="4" t="s">
        <v>742</v>
      </c>
      <c r="M1018" s="17">
        <v>29</v>
      </c>
      <c r="N1018" s="17">
        <v>842</v>
      </c>
      <c r="O1018" s="18" t="s">
        <v>88</v>
      </c>
      <c r="P1018" s="18">
        <v>842</v>
      </c>
      <c r="Q1018" s="18">
        <v>29</v>
      </c>
      <c r="R1018" s="18"/>
      <c r="S1018" s="18"/>
      <c r="T1018" s="18"/>
      <c r="U10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18" s="19">
        <f>IF(AUDITORIA[[#This Row],[CAT]]="",0,1)</f>
        <v>1</v>
      </c>
      <c r="W1018" s="20">
        <v>46170</v>
      </c>
      <c r="X1018" s="21" t="str">
        <f>UPPER(IF(AUDITORIA[[#This Row],[DATA VERIFICAÇÃO]]="","",TEXT(AUDITORIA[[#This Row],[DATA VERIFICAÇÃO]],"mmm")))</f>
        <v>MAI</v>
      </c>
      <c r="Y1018" t="s">
        <v>598</v>
      </c>
      <c r="Z1018" t="s">
        <v>830</v>
      </c>
      <c r="AA1018" t="s">
        <v>600</v>
      </c>
    </row>
    <row r="1019" spans="1:27" ht="14.4" hidden="1" customHeight="1" x14ac:dyDescent="0.3">
      <c r="A1019" s="4" t="s">
        <v>279</v>
      </c>
      <c r="B1019" s="4" t="s">
        <v>17</v>
      </c>
      <c r="C1019" s="16" t="s">
        <v>18</v>
      </c>
      <c r="D1019" s="4">
        <v>11</v>
      </c>
      <c r="E1019" s="4" t="s">
        <v>745</v>
      </c>
      <c r="F1019" t="s">
        <v>405</v>
      </c>
      <c r="G1019" t="s">
        <v>399</v>
      </c>
      <c r="J1019" s="4" t="s">
        <v>88</v>
      </c>
      <c r="K1019" s="4" t="s">
        <v>20</v>
      </c>
      <c r="L1019" s="4" t="s">
        <v>742</v>
      </c>
      <c r="M1019" s="17">
        <v>30</v>
      </c>
      <c r="N1019" s="17">
        <v>830</v>
      </c>
      <c r="O1019" s="18" t="s">
        <v>88</v>
      </c>
      <c r="P1019" s="18">
        <v>830</v>
      </c>
      <c r="Q1019" s="18">
        <v>30</v>
      </c>
      <c r="R1019" s="18"/>
      <c r="S1019" s="18"/>
      <c r="T1019" s="18"/>
      <c r="U10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19" s="19">
        <f>IF(AUDITORIA[[#This Row],[CAT]]="",0,1)</f>
        <v>1</v>
      </c>
      <c r="W1019" s="20">
        <v>46170</v>
      </c>
      <c r="X1019" s="21" t="str">
        <f>UPPER(IF(AUDITORIA[[#This Row],[DATA VERIFICAÇÃO]]="","",TEXT(AUDITORIA[[#This Row],[DATA VERIFICAÇÃO]],"mmm")))</f>
        <v>MAI</v>
      </c>
      <c r="Y1019" t="s">
        <v>598</v>
      </c>
      <c r="Z1019" t="s">
        <v>830</v>
      </c>
      <c r="AA1019" t="s">
        <v>600</v>
      </c>
    </row>
    <row r="1020" spans="1:27" ht="14.4" hidden="1" customHeight="1" x14ac:dyDescent="0.3">
      <c r="A1020" s="4" t="s">
        <v>279</v>
      </c>
      <c r="B1020" s="4" t="s">
        <v>17</v>
      </c>
      <c r="C1020" s="16" t="s">
        <v>18</v>
      </c>
      <c r="D1020" s="4">
        <v>11</v>
      </c>
      <c r="E1020" s="4" t="s">
        <v>745</v>
      </c>
      <c r="F1020" t="s">
        <v>406</v>
      </c>
      <c r="G1020" t="s">
        <v>399</v>
      </c>
      <c r="J1020" s="4" t="s">
        <v>88</v>
      </c>
      <c r="K1020" s="4" t="s">
        <v>20</v>
      </c>
      <c r="L1020" s="4" t="s">
        <v>742</v>
      </c>
      <c r="M1020" s="17">
        <v>30</v>
      </c>
      <c r="N1020" s="17">
        <v>834</v>
      </c>
      <c r="O1020" s="18" t="s">
        <v>88</v>
      </c>
      <c r="P1020" s="18">
        <v>834</v>
      </c>
      <c r="Q1020" s="18">
        <v>30</v>
      </c>
      <c r="R1020" s="18"/>
      <c r="S1020" s="18"/>
      <c r="T1020" s="18"/>
      <c r="U10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20" s="19">
        <f>IF(AUDITORIA[[#This Row],[CAT]]="",0,1)</f>
        <v>1</v>
      </c>
      <c r="W1020" s="20">
        <v>46170</v>
      </c>
      <c r="X1020" s="21" t="str">
        <f>UPPER(IF(AUDITORIA[[#This Row],[DATA VERIFICAÇÃO]]="","",TEXT(AUDITORIA[[#This Row],[DATA VERIFICAÇÃO]],"mmm")))</f>
        <v>MAI</v>
      </c>
      <c r="Y1020" t="s">
        <v>598</v>
      </c>
      <c r="Z1020" t="s">
        <v>830</v>
      </c>
      <c r="AA1020" t="s">
        <v>600</v>
      </c>
    </row>
    <row r="1021" spans="1:27" ht="14.4" hidden="1" customHeight="1" x14ac:dyDescent="0.3">
      <c r="A1021" s="4" t="s">
        <v>279</v>
      </c>
      <c r="B1021" s="4" t="s">
        <v>17</v>
      </c>
      <c r="C1021" s="16" t="s">
        <v>18</v>
      </c>
      <c r="D1021" s="4">
        <v>11</v>
      </c>
      <c r="E1021" s="4" t="s">
        <v>745</v>
      </c>
      <c r="F1021" t="s">
        <v>416</v>
      </c>
      <c r="G1021" t="s">
        <v>399</v>
      </c>
      <c r="J1021" s="4" t="s">
        <v>88</v>
      </c>
      <c r="K1021" s="4" t="s">
        <v>20</v>
      </c>
      <c r="L1021" s="4" t="s">
        <v>742</v>
      </c>
      <c r="M1021" s="17">
        <v>30</v>
      </c>
      <c r="N1021" s="17">
        <v>822</v>
      </c>
      <c r="O1021" s="18" t="s">
        <v>88</v>
      </c>
      <c r="P1021" s="18">
        <v>822</v>
      </c>
      <c r="Q1021" s="18">
        <v>30</v>
      </c>
      <c r="R1021" s="18"/>
      <c r="S1021" s="18"/>
      <c r="T1021" s="18"/>
      <c r="U10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21" s="19">
        <f>IF(AUDITORIA[[#This Row],[CAT]]="",0,1)</f>
        <v>1</v>
      </c>
      <c r="W1021" s="20">
        <v>46170</v>
      </c>
      <c r="X1021" s="21" t="str">
        <f>UPPER(IF(AUDITORIA[[#This Row],[DATA VERIFICAÇÃO]]="","",TEXT(AUDITORIA[[#This Row],[DATA VERIFICAÇÃO]],"mmm")))</f>
        <v>MAI</v>
      </c>
      <c r="Y1021" t="s">
        <v>598</v>
      </c>
      <c r="Z1021" t="s">
        <v>830</v>
      </c>
      <c r="AA1021" t="s">
        <v>600</v>
      </c>
    </row>
    <row r="1022" spans="1:27" ht="14.4" hidden="1" customHeight="1" x14ac:dyDescent="0.3">
      <c r="A1022" s="4" t="s">
        <v>279</v>
      </c>
      <c r="B1022" s="4" t="s">
        <v>17</v>
      </c>
      <c r="C1022" s="16" t="s">
        <v>18</v>
      </c>
      <c r="D1022" s="4">
        <v>11</v>
      </c>
      <c r="E1022" s="4" t="s">
        <v>745</v>
      </c>
      <c r="F1022" t="s">
        <v>407</v>
      </c>
      <c r="G1022" t="s">
        <v>399</v>
      </c>
      <c r="J1022" s="4" t="s">
        <v>88</v>
      </c>
      <c r="K1022" s="4" t="s">
        <v>20</v>
      </c>
      <c r="L1022" s="4" t="s">
        <v>742</v>
      </c>
      <c r="M1022" s="17">
        <v>30</v>
      </c>
      <c r="N1022" s="17">
        <v>836</v>
      </c>
      <c r="O1022" s="18" t="s">
        <v>88</v>
      </c>
      <c r="P1022" s="18">
        <v>836</v>
      </c>
      <c r="Q1022" s="18">
        <v>30</v>
      </c>
      <c r="R1022" s="18"/>
      <c r="S1022" s="18"/>
      <c r="T1022" s="18"/>
      <c r="U10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22" s="19">
        <f>IF(AUDITORIA[[#This Row],[CAT]]="",0,1)</f>
        <v>1</v>
      </c>
      <c r="W1022" s="20">
        <v>46170</v>
      </c>
      <c r="X1022" s="21" t="str">
        <f>UPPER(IF(AUDITORIA[[#This Row],[DATA VERIFICAÇÃO]]="","",TEXT(AUDITORIA[[#This Row],[DATA VERIFICAÇÃO]],"mmm")))</f>
        <v>MAI</v>
      </c>
      <c r="Y1022" t="s">
        <v>598</v>
      </c>
      <c r="Z1022" t="s">
        <v>830</v>
      </c>
      <c r="AA1022" t="s">
        <v>600</v>
      </c>
    </row>
    <row r="1023" spans="1:27" ht="14.4" hidden="1" customHeight="1" x14ac:dyDescent="0.3">
      <c r="A1023" s="4" t="s">
        <v>279</v>
      </c>
      <c r="B1023" s="4" t="s">
        <v>17</v>
      </c>
      <c r="C1023" s="16" t="s">
        <v>18</v>
      </c>
      <c r="D1023" s="4">
        <v>11</v>
      </c>
      <c r="E1023" s="4" t="s">
        <v>745</v>
      </c>
      <c r="F1023" t="s">
        <v>398</v>
      </c>
      <c r="G1023" t="s">
        <v>399</v>
      </c>
      <c r="J1023" s="4" t="s">
        <v>88</v>
      </c>
      <c r="K1023" s="4" t="s">
        <v>20</v>
      </c>
      <c r="L1023" s="4" t="s">
        <v>742</v>
      </c>
      <c r="M1023" s="17">
        <v>2</v>
      </c>
      <c r="N1023" s="17">
        <v>835</v>
      </c>
      <c r="O1023" s="18" t="s">
        <v>88</v>
      </c>
      <c r="P1023" s="18">
        <v>835</v>
      </c>
      <c r="Q1023" s="18">
        <v>2</v>
      </c>
      <c r="R1023" s="18"/>
      <c r="S1023" s="18"/>
      <c r="T1023" s="18"/>
      <c r="U10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23" s="19">
        <f>IF(AUDITORIA[[#This Row],[CAT]]="",0,1)</f>
        <v>1</v>
      </c>
      <c r="W1023" s="20">
        <v>46170</v>
      </c>
      <c r="X1023" s="21" t="str">
        <f>UPPER(IF(AUDITORIA[[#This Row],[DATA VERIFICAÇÃO]]="","",TEXT(AUDITORIA[[#This Row],[DATA VERIFICAÇÃO]],"mmm")))</f>
        <v>MAI</v>
      </c>
      <c r="Y1023" t="s">
        <v>598</v>
      </c>
      <c r="Z1023" t="s">
        <v>830</v>
      </c>
      <c r="AA1023" t="s">
        <v>600</v>
      </c>
    </row>
    <row r="1024" spans="1:27" ht="14.4" hidden="1" customHeight="1" x14ac:dyDescent="0.3">
      <c r="A1024" s="4" t="s">
        <v>279</v>
      </c>
      <c r="B1024" s="4" t="s">
        <v>17</v>
      </c>
      <c r="C1024" s="16" t="s">
        <v>18</v>
      </c>
      <c r="D1024" s="4">
        <v>11</v>
      </c>
      <c r="E1024" s="4" t="s">
        <v>745</v>
      </c>
      <c r="F1024" t="s">
        <v>493</v>
      </c>
      <c r="G1024" t="s">
        <v>399</v>
      </c>
      <c r="J1024" s="4" t="s">
        <v>88</v>
      </c>
      <c r="K1024" s="4" t="s">
        <v>21</v>
      </c>
      <c r="L1024" s="4" t="s">
        <v>742</v>
      </c>
      <c r="M1024" s="17">
        <v>24</v>
      </c>
      <c r="N1024" s="17">
        <v>1035</v>
      </c>
      <c r="O1024" s="18" t="s">
        <v>88</v>
      </c>
      <c r="P1024" s="18">
        <v>1035</v>
      </c>
      <c r="Q1024" s="18">
        <v>24</v>
      </c>
      <c r="R1024" s="18"/>
      <c r="S1024" s="18"/>
      <c r="T1024" s="18"/>
      <c r="U10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24" s="19">
        <f>IF(AUDITORIA[[#This Row],[CAT]]="",0,1)</f>
        <v>1</v>
      </c>
      <c r="W1024" s="20">
        <v>46170</v>
      </c>
      <c r="X1024" s="21" t="str">
        <f>UPPER(IF(AUDITORIA[[#This Row],[DATA VERIFICAÇÃO]]="","",TEXT(AUDITORIA[[#This Row],[DATA VERIFICAÇÃO]],"mmm")))</f>
        <v>MAI</v>
      </c>
      <c r="Y1024" t="s">
        <v>598</v>
      </c>
      <c r="Z1024" t="s">
        <v>830</v>
      </c>
      <c r="AA1024" t="s">
        <v>600</v>
      </c>
    </row>
    <row r="1025" spans="1:27" ht="14.4" hidden="1" customHeight="1" x14ac:dyDescent="0.3">
      <c r="A1025" s="4" t="s">
        <v>279</v>
      </c>
      <c r="B1025" s="4" t="s">
        <v>17</v>
      </c>
      <c r="C1025" s="16" t="s">
        <v>18</v>
      </c>
      <c r="D1025" s="4">
        <v>11</v>
      </c>
      <c r="E1025" s="4" t="s">
        <v>745</v>
      </c>
      <c r="F1025" t="s">
        <v>490</v>
      </c>
      <c r="G1025" t="s">
        <v>399</v>
      </c>
      <c r="J1025" s="4" t="s">
        <v>88</v>
      </c>
      <c r="K1025" s="4" t="s">
        <v>21</v>
      </c>
      <c r="L1025" s="4" t="s">
        <v>742</v>
      </c>
      <c r="M1025" s="17">
        <v>24</v>
      </c>
      <c r="N1025" s="17">
        <v>1010</v>
      </c>
      <c r="O1025" s="18" t="s">
        <v>88</v>
      </c>
      <c r="P1025" s="18">
        <v>1010</v>
      </c>
      <c r="Q1025" s="18">
        <v>24</v>
      </c>
      <c r="R1025" s="18"/>
      <c r="S1025" s="18"/>
      <c r="T1025" s="18"/>
      <c r="U10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25" s="19">
        <f>IF(AUDITORIA[[#This Row],[CAT]]="",0,1)</f>
        <v>1</v>
      </c>
      <c r="W1025" s="20">
        <v>46170</v>
      </c>
      <c r="X1025" s="21" t="str">
        <f>UPPER(IF(AUDITORIA[[#This Row],[DATA VERIFICAÇÃO]]="","",TEXT(AUDITORIA[[#This Row],[DATA VERIFICAÇÃO]],"mmm")))</f>
        <v>MAI</v>
      </c>
      <c r="Y1025" t="s">
        <v>598</v>
      </c>
      <c r="Z1025" t="s">
        <v>830</v>
      </c>
      <c r="AA1025" t="s">
        <v>600</v>
      </c>
    </row>
    <row r="1026" spans="1:27" ht="14.4" hidden="1" customHeight="1" x14ac:dyDescent="0.3">
      <c r="A1026" s="4" t="s">
        <v>279</v>
      </c>
      <c r="B1026" s="4" t="s">
        <v>17</v>
      </c>
      <c r="C1026" s="16" t="s">
        <v>18</v>
      </c>
      <c r="D1026" s="4">
        <v>11</v>
      </c>
      <c r="E1026" s="4" t="s">
        <v>745</v>
      </c>
      <c r="F1026" t="s">
        <v>488</v>
      </c>
      <c r="G1026" t="s">
        <v>399</v>
      </c>
      <c r="J1026" s="4" t="s">
        <v>88</v>
      </c>
      <c r="K1026" s="4" t="s">
        <v>21</v>
      </c>
      <c r="L1026" s="4" t="s">
        <v>742</v>
      </c>
      <c r="M1026" s="17">
        <v>24</v>
      </c>
      <c r="N1026" s="17">
        <v>1010</v>
      </c>
      <c r="O1026" s="18" t="s">
        <v>88</v>
      </c>
      <c r="P1026" s="18">
        <v>1010</v>
      </c>
      <c r="Q1026" s="18">
        <v>24</v>
      </c>
      <c r="R1026" s="18"/>
      <c r="S1026" s="18"/>
      <c r="T1026" s="18"/>
      <c r="U10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26" s="19">
        <f>IF(AUDITORIA[[#This Row],[CAT]]="",0,1)</f>
        <v>1</v>
      </c>
      <c r="W1026" s="20">
        <v>46170</v>
      </c>
      <c r="X1026" s="21" t="str">
        <f>UPPER(IF(AUDITORIA[[#This Row],[DATA VERIFICAÇÃO]]="","",TEXT(AUDITORIA[[#This Row],[DATA VERIFICAÇÃO]],"mmm")))</f>
        <v>MAI</v>
      </c>
      <c r="Y1026" t="s">
        <v>598</v>
      </c>
      <c r="Z1026" t="s">
        <v>830</v>
      </c>
      <c r="AA1026" t="s">
        <v>600</v>
      </c>
    </row>
    <row r="1027" spans="1:27" ht="14.4" hidden="1" customHeight="1" x14ac:dyDescent="0.3">
      <c r="A1027" s="4" t="s">
        <v>279</v>
      </c>
      <c r="B1027" s="4" t="s">
        <v>17</v>
      </c>
      <c r="C1027" s="16" t="s">
        <v>18</v>
      </c>
      <c r="D1027" s="4">
        <v>11</v>
      </c>
      <c r="E1027" s="4" t="s">
        <v>745</v>
      </c>
      <c r="F1027" t="s">
        <v>424</v>
      </c>
      <c r="G1027" t="s">
        <v>399</v>
      </c>
      <c r="J1027" s="4" t="s">
        <v>88</v>
      </c>
      <c r="K1027" s="4" t="s">
        <v>21</v>
      </c>
      <c r="L1027" s="4" t="s">
        <v>742</v>
      </c>
      <c r="M1027" s="17">
        <v>24</v>
      </c>
      <c r="N1027" s="17">
        <v>1021</v>
      </c>
      <c r="O1027" s="18" t="s">
        <v>88</v>
      </c>
      <c r="P1027" s="18">
        <v>1021</v>
      </c>
      <c r="Q1027" s="18">
        <v>24</v>
      </c>
      <c r="R1027" s="18"/>
      <c r="S1027" s="18"/>
      <c r="T1027" s="18"/>
      <c r="U10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27" s="19">
        <f>IF(AUDITORIA[[#This Row],[CAT]]="",0,1)</f>
        <v>1</v>
      </c>
      <c r="W1027" s="20">
        <v>46170</v>
      </c>
      <c r="X1027" s="21" t="str">
        <f>UPPER(IF(AUDITORIA[[#This Row],[DATA VERIFICAÇÃO]]="","",TEXT(AUDITORIA[[#This Row],[DATA VERIFICAÇÃO]],"mmm")))</f>
        <v>MAI</v>
      </c>
      <c r="Y1027" t="s">
        <v>598</v>
      </c>
      <c r="Z1027" t="s">
        <v>830</v>
      </c>
      <c r="AA1027" t="s">
        <v>600</v>
      </c>
    </row>
    <row r="1028" spans="1:27" ht="14.4" hidden="1" customHeight="1" x14ac:dyDescent="0.3">
      <c r="A1028" s="4" t="s">
        <v>279</v>
      </c>
      <c r="B1028" s="4" t="s">
        <v>17</v>
      </c>
      <c r="C1028" s="16" t="s">
        <v>18</v>
      </c>
      <c r="D1028" s="4">
        <v>11</v>
      </c>
      <c r="E1028" s="4" t="s">
        <v>745</v>
      </c>
      <c r="F1028" t="s">
        <v>423</v>
      </c>
      <c r="G1028" t="s">
        <v>399</v>
      </c>
      <c r="J1028" s="4" t="s">
        <v>88</v>
      </c>
      <c r="K1028" s="4" t="s">
        <v>21</v>
      </c>
      <c r="L1028" s="4" t="s">
        <v>742</v>
      </c>
      <c r="M1028" s="17">
        <v>24</v>
      </c>
      <c r="N1028" s="17">
        <v>1019</v>
      </c>
      <c r="O1028" s="18" t="s">
        <v>88</v>
      </c>
      <c r="P1028" s="18">
        <v>1019</v>
      </c>
      <c r="Q1028" s="18">
        <v>24</v>
      </c>
      <c r="R1028" s="18"/>
      <c r="S1028" s="18"/>
      <c r="T1028" s="18"/>
      <c r="U10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28" s="19">
        <f>IF(AUDITORIA[[#This Row],[CAT]]="",0,1)</f>
        <v>1</v>
      </c>
      <c r="W1028" s="20">
        <v>46170</v>
      </c>
      <c r="X1028" s="21" t="str">
        <f>UPPER(IF(AUDITORIA[[#This Row],[DATA VERIFICAÇÃO]]="","",TEXT(AUDITORIA[[#This Row],[DATA VERIFICAÇÃO]],"mmm")))</f>
        <v>MAI</v>
      </c>
      <c r="Y1028" t="s">
        <v>598</v>
      </c>
      <c r="Z1028" t="s">
        <v>830</v>
      </c>
      <c r="AA1028" t="s">
        <v>600</v>
      </c>
    </row>
    <row r="1029" spans="1:27" ht="14.4" hidden="1" customHeight="1" x14ac:dyDescent="0.3">
      <c r="A1029" s="4" t="s">
        <v>279</v>
      </c>
      <c r="B1029" s="4" t="s">
        <v>17</v>
      </c>
      <c r="C1029" s="16" t="s">
        <v>18</v>
      </c>
      <c r="D1029" s="4">
        <v>11</v>
      </c>
      <c r="E1029" s="4" t="s">
        <v>745</v>
      </c>
      <c r="F1029" t="s">
        <v>422</v>
      </c>
      <c r="G1029" t="s">
        <v>399</v>
      </c>
      <c r="J1029" s="4" t="s">
        <v>88</v>
      </c>
      <c r="K1029" s="4" t="s">
        <v>21</v>
      </c>
      <c r="L1029" s="4" t="s">
        <v>742</v>
      </c>
      <c r="M1029" s="17">
        <v>24</v>
      </c>
      <c r="N1029" s="17">
        <v>1056</v>
      </c>
      <c r="O1029" s="18" t="s">
        <v>88</v>
      </c>
      <c r="P1029" s="18">
        <v>1056</v>
      </c>
      <c r="Q1029" s="18">
        <v>24</v>
      </c>
      <c r="R1029" s="18"/>
      <c r="S1029" s="18"/>
      <c r="T1029" s="18"/>
      <c r="U10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29" s="19">
        <f>IF(AUDITORIA[[#This Row],[CAT]]="",0,1)</f>
        <v>1</v>
      </c>
      <c r="W1029" s="20">
        <v>46170</v>
      </c>
      <c r="X1029" s="21" t="str">
        <f>UPPER(IF(AUDITORIA[[#This Row],[DATA VERIFICAÇÃO]]="","",TEXT(AUDITORIA[[#This Row],[DATA VERIFICAÇÃO]],"mmm")))</f>
        <v>MAI</v>
      </c>
      <c r="Y1029" t="s">
        <v>598</v>
      </c>
      <c r="Z1029" t="s">
        <v>830</v>
      </c>
      <c r="AA1029" t="s">
        <v>600</v>
      </c>
    </row>
    <row r="1030" spans="1:27" ht="14.4" hidden="1" customHeight="1" x14ac:dyDescent="0.3">
      <c r="A1030" s="4" t="s">
        <v>279</v>
      </c>
      <c r="B1030" s="4" t="s">
        <v>17</v>
      </c>
      <c r="C1030" s="16" t="s">
        <v>18</v>
      </c>
      <c r="D1030" s="4">
        <v>11</v>
      </c>
      <c r="E1030" s="4" t="s">
        <v>745</v>
      </c>
      <c r="F1030" t="s">
        <v>421</v>
      </c>
      <c r="G1030" t="s">
        <v>399</v>
      </c>
      <c r="J1030" s="4" t="s">
        <v>88</v>
      </c>
      <c r="K1030" s="4" t="s">
        <v>21</v>
      </c>
      <c r="L1030" s="4" t="s">
        <v>742</v>
      </c>
      <c r="M1030" s="17">
        <v>24</v>
      </c>
      <c r="N1030" s="17">
        <v>1065</v>
      </c>
      <c r="O1030" s="18" t="s">
        <v>88</v>
      </c>
      <c r="P1030" s="18">
        <v>1065</v>
      </c>
      <c r="Q1030" s="18">
        <v>24</v>
      </c>
      <c r="R1030" s="18"/>
      <c r="S1030" s="18"/>
      <c r="T1030" s="18"/>
      <c r="U10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30" s="19">
        <f>IF(AUDITORIA[[#This Row],[CAT]]="",0,1)</f>
        <v>1</v>
      </c>
      <c r="W1030" s="20">
        <v>46170</v>
      </c>
      <c r="X1030" s="21" t="str">
        <f>UPPER(IF(AUDITORIA[[#This Row],[DATA VERIFICAÇÃO]]="","",TEXT(AUDITORIA[[#This Row],[DATA VERIFICAÇÃO]],"mmm")))</f>
        <v>MAI</v>
      </c>
      <c r="Y1030" t="s">
        <v>598</v>
      </c>
      <c r="Z1030" t="s">
        <v>830</v>
      </c>
      <c r="AA1030" t="s">
        <v>600</v>
      </c>
    </row>
    <row r="1031" spans="1:27" ht="14.4" hidden="1" customHeight="1" x14ac:dyDescent="0.3">
      <c r="A1031" s="4" t="s">
        <v>279</v>
      </c>
      <c r="B1031" s="4" t="s">
        <v>17</v>
      </c>
      <c r="C1031" s="16" t="s">
        <v>18</v>
      </c>
      <c r="D1031" s="4">
        <v>11</v>
      </c>
      <c r="E1031" s="4" t="s">
        <v>745</v>
      </c>
      <c r="F1031" t="s">
        <v>420</v>
      </c>
      <c r="G1031" t="s">
        <v>399</v>
      </c>
      <c r="J1031" s="4" t="s">
        <v>88</v>
      </c>
      <c r="K1031" s="4" t="s">
        <v>21</v>
      </c>
      <c r="L1031" s="4" t="s">
        <v>742</v>
      </c>
      <c r="M1031" s="17">
        <v>24</v>
      </c>
      <c r="N1031" s="17">
        <v>1007</v>
      </c>
      <c r="O1031" s="18" t="s">
        <v>88</v>
      </c>
      <c r="P1031" s="18">
        <v>1007</v>
      </c>
      <c r="Q1031" s="18">
        <v>24</v>
      </c>
      <c r="R1031" s="18"/>
      <c r="S1031" s="18"/>
      <c r="T1031" s="18"/>
      <c r="U10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31" s="19">
        <f>IF(AUDITORIA[[#This Row],[CAT]]="",0,1)</f>
        <v>1</v>
      </c>
      <c r="W1031" s="20">
        <v>46170</v>
      </c>
      <c r="X1031" s="21" t="str">
        <f>UPPER(IF(AUDITORIA[[#This Row],[DATA VERIFICAÇÃO]]="","",TEXT(AUDITORIA[[#This Row],[DATA VERIFICAÇÃO]],"mmm")))</f>
        <v>MAI</v>
      </c>
      <c r="Y1031" t="s">
        <v>598</v>
      </c>
      <c r="Z1031" t="s">
        <v>830</v>
      </c>
      <c r="AA1031" t="s">
        <v>600</v>
      </c>
    </row>
    <row r="1032" spans="1:27" ht="14.4" hidden="1" customHeight="1" x14ac:dyDescent="0.3">
      <c r="A1032" s="4" t="s">
        <v>279</v>
      </c>
      <c r="B1032" s="4" t="s">
        <v>17</v>
      </c>
      <c r="C1032" s="16" t="s">
        <v>18</v>
      </c>
      <c r="D1032" s="4">
        <v>11</v>
      </c>
      <c r="E1032" s="4" t="s">
        <v>745</v>
      </c>
      <c r="F1032" t="s">
        <v>419</v>
      </c>
      <c r="G1032" t="s">
        <v>399</v>
      </c>
      <c r="J1032" s="4" t="s">
        <v>88</v>
      </c>
      <c r="K1032" s="4" t="s">
        <v>21</v>
      </c>
      <c r="L1032" s="4" t="s">
        <v>742</v>
      </c>
      <c r="M1032" s="17">
        <v>24</v>
      </c>
      <c r="N1032" s="17">
        <v>1042</v>
      </c>
      <c r="O1032" s="18" t="s">
        <v>88</v>
      </c>
      <c r="P1032" s="18">
        <v>1042</v>
      </c>
      <c r="Q1032" s="18">
        <v>24</v>
      </c>
      <c r="R1032" s="18"/>
      <c r="S1032" s="18"/>
      <c r="T1032" s="18"/>
      <c r="U10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32" s="19">
        <f>IF(AUDITORIA[[#This Row],[CAT]]="",0,1)</f>
        <v>1</v>
      </c>
      <c r="W1032" s="20">
        <v>46170</v>
      </c>
      <c r="X1032" s="21" t="str">
        <f>UPPER(IF(AUDITORIA[[#This Row],[DATA VERIFICAÇÃO]]="","",TEXT(AUDITORIA[[#This Row],[DATA VERIFICAÇÃO]],"mmm")))</f>
        <v>MAI</v>
      </c>
      <c r="Y1032" t="s">
        <v>598</v>
      </c>
      <c r="Z1032" t="s">
        <v>830</v>
      </c>
      <c r="AA1032" t="s">
        <v>600</v>
      </c>
    </row>
    <row r="1033" spans="1:27" ht="14.4" hidden="1" customHeight="1" x14ac:dyDescent="0.3">
      <c r="A1033" s="4" t="s">
        <v>279</v>
      </c>
      <c r="B1033" s="4" t="s">
        <v>17</v>
      </c>
      <c r="C1033" s="16" t="s">
        <v>18</v>
      </c>
      <c r="D1033" s="4">
        <v>11</v>
      </c>
      <c r="E1033" s="4" t="s">
        <v>745</v>
      </c>
      <c r="F1033" t="s">
        <v>415</v>
      </c>
      <c r="G1033" t="s">
        <v>399</v>
      </c>
      <c r="J1033" s="4" t="s">
        <v>88</v>
      </c>
      <c r="K1033" s="4" t="s">
        <v>21</v>
      </c>
      <c r="L1033" s="4" t="s">
        <v>742</v>
      </c>
      <c r="M1033" s="17">
        <v>24</v>
      </c>
      <c r="N1033" s="17">
        <v>1034</v>
      </c>
      <c r="O1033" s="18" t="s">
        <v>88</v>
      </c>
      <c r="P1033" s="18">
        <v>1034</v>
      </c>
      <c r="Q1033" s="18">
        <v>24</v>
      </c>
      <c r="R1033" s="18"/>
      <c r="S1033" s="18"/>
      <c r="T1033" s="18"/>
      <c r="U10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33" s="19">
        <f>IF(AUDITORIA[[#This Row],[CAT]]="",0,1)</f>
        <v>1</v>
      </c>
      <c r="W1033" s="20">
        <v>46170</v>
      </c>
      <c r="X1033" s="21" t="str">
        <f>UPPER(IF(AUDITORIA[[#This Row],[DATA VERIFICAÇÃO]]="","",TEXT(AUDITORIA[[#This Row],[DATA VERIFICAÇÃO]],"mmm")))</f>
        <v>MAI</v>
      </c>
      <c r="Y1033" t="s">
        <v>598</v>
      </c>
      <c r="Z1033" t="s">
        <v>830</v>
      </c>
      <c r="AA1033" t="s">
        <v>600</v>
      </c>
    </row>
    <row r="1034" spans="1:27" ht="14.4" hidden="1" customHeight="1" x14ac:dyDescent="0.3">
      <c r="A1034" s="4" t="s">
        <v>279</v>
      </c>
      <c r="B1034" s="4" t="s">
        <v>17</v>
      </c>
      <c r="C1034" s="16" t="s">
        <v>18</v>
      </c>
      <c r="D1034" s="4">
        <v>11</v>
      </c>
      <c r="E1034" s="4" t="s">
        <v>745</v>
      </c>
      <c r="F1034" t="s">
        <v>408</v>
      </c>
      <c r="G1034" t="s">
        <v>399</v>
      </c>
      <c r="J1034" s="4" t="s">
        <v>88</v>
      </c>
      <c r="K1034" s="4" t="s">
        <v>21</v>
      </c>
      <c r="L1034" s="4" t="s">
        <v>742</v>
      </c>
      <c r="M1034" s="17">
        <v>24</v>
      </c>
      <c r="N1034" s="17">
        <v>1078</v>
      </c>
      <c r="O1034" s="18" t="s">
        <v>88</v>
      </c>
      <c r="P1034" s="18">
        <v>1078</v>
      </c>
      <c r="Q1034" s="18">
        <v>24</v>
      </c>
      <c r="R1034" s="18"/>
      <c r="S1034" s="18"/>
      <c r="T1034" s="18"/>
      <c r="U10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34" s="19">
        <f>IF(AUDITORIA[[#This Row],[CAT]]="",0,1)</f>
        <v>1</v>
      </c>
      <c r="W1034" s="20">
        <v>46170</v>
      </c>
      <c r="X1034" s="21" t="str">
        <f>UPPER(IF(AUDITORIA[[#This Row],[DATA VERIFICAÇÃO]]="","",TEXT(AUDITORIA[[#This Row],[DATA VERIFICAÇÃO]],"mmm")))</f>
        <v>MAI</v>
      </c>
      <c r="Y1034" t="s">
        <v>598</v>
      </c>
      <c r="Z1034" t="s">
        <v>830</v>
      </c>
      <c r="AA1034" t="s">
        <v>600</v>
      </c>
    </row>
    <row r="1035" spans="1:27" ht="14.4" hidden="1" customHeight="1" x14ac:dyDescent="0.3">
      <c r="A1035" s="4" t="s">
        <v>279</v>
      </c>
      <c r="B1035" s="4" t="s">
        <v>17</v>
      </c>
      <c r="C1035" s="16" t="s">
        <v>18</v>
      </c>
      <c r="D1035" s="4">
        <v>11</v>
      </c>
      <c r="E1035" s="4" t="s">
        <v>745</v>
      </c>
      <c r="F1035" t="s">
        <v>403</v>
      </c>
      <c r="G1035" t="s">
        <v>399</v>
      </c>
      <c r="J1035" s="4" t="s">
        <v>88</v>
      </c>
      <c r="K1035" s="4" t="s">
        <v>21</v>
      </c>
      <c r="L1035" s="4" t="s">
        <v>742</v>
      </c>
      <c r="M1035" s="17">
        <v>24</v>
      </c>
      <c r="N1035" s="17">
        <v>1050</v>
      </c>
      <c r="O1035" s="18" t="s">
        <v>88</v>
      </c>
      <c r="P1035" s="18">
        <v>1050</v>
      </c>
      <c r="Q1035" s="18">
        <v>24</v>
      </c>
      <c r="R1035" s="18"/>
      <c r="S1035" s="18"/>
      <c r="T1035" s="18"/>
      <c r="U10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35" s="19">
        <f>IF(AUDITORIA[[#This Row],[CAT]]="",0,1)</f>
        <v>1</v>
      </c>
      <c r="W1035" s="20">
        <v>46170</v>
      </c>
      <c r="X1035" s="21" t="str">
        <f>UPPER(IF(AUDITORIA[[#This Row],[DATA VERIFICAÇÃO]]="","",TEXT(AUDITORIA[[#This Row],[DATA VERIFICAÇÃO]],"mmm")))</f>
        <v>MAI</v>
      </c>
      <c r="Y1035" t="s">
        <v>598</v>
      </c>
      <c r="Z1035" t="s">
        <v>830</v>
      </c>
      <c r="AA1035" t="s">
        <v>600</v>
      </c>
    </row>
    <row r="1036" spans="1:27" ht="14.4" hidden="1" customHeight="1" x14ac:dyDescent="0.3">
      <c r="A1036" s="4" t="s">
        <v>279</v>
      </c>
      <c r="B1036" s="4" t="s">
        <v>17</v>
      </c>
      <c r="C1036" s="16" t="s">
        <v>18</v>
      </c>
      <c r="D1036" s="4">
        <v>11</v>
      </c>
      <c r="E1036" s="4" t="s">
        <v>745</v>
      </c>
      <c r="F1036" t="s">
        <v>402</v>
      </c>
      <c r="G1036" t="s">
        <v>399</v>
      </c>
      <c r="J1036" s="4" t="s">
        <v>88</v>
      </c>
      <c r="K1036" s="4" t="s">
        <v>21</v>
      </c>
      <c r="L1036" s="4" t="s">
        <v>742</v>
      </c>
      <c r="M1036" s="17">
        <v>21</v>
      </c>
      <c r="N1036" s="17">
        <v>1029</v>
      </c>
      <c r="O1036" s="18" t="s">
        <v>88</v>
      </c>
      <c r="P1036" s="18">
        <v>1029</v>
      </c>
      <c r="Q1036" s="18">
        <v>21</v>
      </c>
      <c r="R1036" s="18"/>
      <c r="S1036" s="18"/>
      <c r="T1036" s="18"/>
      <c r="U10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36" s="19">
        <f>IF(AUDITORIA[[#This Row],[CAT]]="",0,1)</f>
        <v>1</v>
      </c>
      <c r="W1036" s="20">
        <v>46170</v>
      </c>
      <c r="X1036" s="21" t="str">
        <f>UPPER(IF(AUDITORIA[[#This Row],[DATA VERIFICAÇÃO]]="","",TEXT(AUDITORIA[[#This Row],[DATA VERIFICAÇÃO]],"mmm")))</f>
        <v>MAI</v>
      </c>
      <c r="Y1036" t="s">
        <v>598</v>
      </c>
      <c r="Z1036" t="s">
        <v>830</v>
      </c>
      <c r="AA1036" t="s">
        <v>600</v>
      </c>
    </row>
    <row r="1037" spans="1:27" ht="14.4" hidden="1" customHeight="1" x14ac:dyDescent="0.3">
      <c r="A1037" s="4" t="s">
        <v>279</v>
      </c>
      <c r="B1037" s="4" t="s">
        <v>17</v>
      </c>
      <c r="C1037" s="16" t="s">
        <v>18</v>
      </c>
      <c r="D1037" s="4">
        <v>11</v>
      </c>
      <c r="E1037" s="4" t="s">
        <v>745</v>
      </c>
      <c r="F1037" t="s">
        <v>451</v>
      </c>
      <c r="G1037" t="s">
        <v>434</v>
      </c>
      <c r="J1037" s="4" t="s">
        <v>31</v>
      </c>
      <c r="K1037" s="4" t="s">
        <v>20</v>
      </c>
      <c r="L1037" s="4" t="s">
        <v>742</v>
      </c>
      <c r="M1037" s="17">
        <v>24</v>
      </c>
      <c r="N1037" s="17">
        <v>1050</v>
      </c>
      <c r="O1037" s="18" t="s">
        <v>31</v>
      </c>
      <c r="P1037" s="18">
        <v>1050</v>
      </c>
      <c r="Q1037" s="18">
        <v>24</v>
      </c>
      <c r="R1037" s="18"/>
      <c r="S1037" s="18"/>
      <c r="T1037" s="18"/>
      <c r="U10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37" s="19">
        <f>IF(AUDITORIA[[#This Row],[CAT]]="",0,1)</f>
        <v>1</v>
      </c>
      <c r="W1037" s="20">
        <v>46170</v>
      </c>
      <c r="X1037" s="21" t="str">
        <f>UPPER(IF(AUDITORIA[[#This Row],[DATA VERIFICAÇÃO]]="","",TEXT(AUDITORIA[[#This Row],[DATA VERIFICAÇÃO]],"mmm")))</f>
        <v>MAI</v>
      </c>
      <c r="Y1037" t="s">
        <v>598</v>
      </c>
      <c r="Z1037" t="s">
        <v>830</v>
      </c>
      <c r="AA1037" t="s">
        <v>600</v>
      </c>
    </row>
    <row r="1038" spans="1:27" ht="14.4" hidden="1" customHeight="1" x14ac:dyDescent="0.3">
      <c r="A1038" s="4" t="s">
        <v>279</v>
      </c>
      <c r="B1038" s="4" t="s">
        <v>17</v>
      </c>
      <c r="C1038" s="16" t="s">
        <v>18</v>
      </c>
      <c r="D1038" s="4">
        <v>11</v>
      </c>
      <c r="E1038" s="4" t="s">
        <v>745</v>
      </c>
      <c r="F1038" t="s">
        <v>447</v>
      </c>
      <c r="G1038" t="s">
        <v>434</v>
      </c>
      <c r="J1038" s="4" t="s">
        <v>31</v>
      </c>
      <c r="K1038" s="4" t="s">
        <v>20</v>
      </c>
      <c r="L1038" s="4" t="s">
        <v>742</v>
      </c>
      <c r="M1038" s="17">
        <v>24</v>
      </c>
      <c r="N1038" s="17">
        <v>1031</v>
      </c>
      <c r="O1038" s="18" t="s">
        <v>31</v>
      </c>
      <c r="P1038" s="18">
        <v>1031</v>
      </c>
      <c r="Q1038" s="18">
        <v>24</v>
      </c>
      <c r="R1038" s="18"/>
      <c r="S1038" s="18"/>
      <c r="T1038" s="18"/>
      <c r="U10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38" s="19">
        <f>IF(AUDITORIA[[#This Row],[CAT]]="",0,1)</f>
        <v>1</v>
      </c>
      <c r="W1038" s="20">
        <v>46170</v>
      </c>
      <c r="X1038" s="21" t="str">
        <f>UPPER(IF(AUDITORIA[[#This Row],[DATA VERIFICAÇÃO]]="","",TEXT(AUDITORIA[[#This Row],[DATA VERIFICAÇÃO]],"mmm")))</f>
        <v>MAI</v>
      </c>
      <c r="Y1038" t="s">
        <v>598</v>
      </c>
      <c r="Z1038" t="s">
        <v>830</v>
      </c>
      <c r="AA1038" t="s">
        <v>600</v>
      </c>
    </row>
    <row r="1039" spans="1:27" ht="14.4" hidden="1" customHeight="1" x14ac:dyDescent="0.3">
      <c r="A1039" s="4" t="s">
        <v>279</v>
      </c>
      <c r="B1039" s="4" t="s">
        <v>17</v>
      </c>
      <c r="C1039" s="16" t="s">
        <v>18</v>
      </c>
      <c r="D1039" s="4">
        <v>11</v>
      </c>
      <c r="E1039" s="4" t="s">
        <v>745</v>
      </c>
      <c r="F1039" t="s">
        <v>440</v>
      </c>
      <c r="G1039" t="s">
        <v>434</v>
      </c>
      <c r="J1039" s="4" t="s">
        <v>31</v>
      </c>
      <c r="K1039" s="4" t="s">
        <v>20</v>
      </c>
      <c r="L1039" s="4" t="s">
        <v>742</v>
      </c>
      <c r="M1039" s="17">
        <v>24</v>
      </c>
      <c r="N1039" s="17">
        <v>1029</v>
      </c>
      <c r="O1039" s="18" t="s">
        <v>31</v>
      </c>
      <c r="P1039" s="18">
        <v>1029</v>
      </c>
      <c r="Q1039" s="18">
        <v>24</v>
      </c>
      <c r="R1039" s="18"/>
      <c r="S1039" s="18"/>
      <c r="T1039" s="18"/>
      <c r="U10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39" s="19">
        <f>IF(AUDITORIA[[#This Row],[CAT]]="",0,1)</f>
        <v>1</v>
      </c>
      <c r="W1039" s="20">
        <v>46170</v>
      </c>
      <c r="X1039" s="21" t="str">
        <f>UPPER(IF(AUDITORIA[[#This Row],[DATA VERIFICAÇÃO]]="","",TEXT(AUDITORIA[[#This Row],[DATA VERIFICAÇÃO]],"mmm")))</f>
        <v>MAI</v>
      </c>
      <c r="Y1039" t="s">
        <v>598</v>
      </c>
      <c r="Z1039" t="s">
        <v>830</v>
      </c>
      <c r="AA1039" t="s">
        <v>600</v>
      </c>
    </row>
    <row r="1040" spans="1:27" ht="14.4" hidden="1" customHeight="1" x14ac:dyDescent="0.3">
      <c r="A1040" s="4" t="s">
        <v>279</v>
      </c>
      <c r="B1040" s="4" t="s">
        <v>17</v>
      </c>
      <c r="C1040" s="16" t="s">
        <v>18</v>
      </c>
      <c r="D1040" s="4">
        <v>11</v>
      </c>
      <c r="E1040" s="4" t="s">
        <v>745</v>
      </c>
      <c r="F1040" t="s">
        <v>433</v>
      </c>
      <c r="G1040" t="s">
        <v>434</v>
      </c>
      <c r="J1040" s="4" t="s">
        <v>31</v>
      </c>
      <c r="K1040" s="4" t="s">
        <v>20</v>
      </c>
      <c r="L1040" s="4" t="s">
        <v>742</v>
      </c>
      <c r="M1040" s="17">
        <v>14</v>
      </c>
      <c r="N1040" s="17">
        <v>1033</v>
      </c>
      <c r="O1040" s="18" t="s">
        <v>31</v>
      </c>
      <c r="P1040" s="18">
        <v>1033</v>
      </c>
      <c r="Q1040" s="18">
        <v>14</v>
      </c>
      <c r="R1040" s="18"/>
      <c r="S1040" s="18"/>
      <c r="T1040" s="18"/>
      <c r="U10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40" s="19">
        <f>IF(AUDITORIA[[#This Row],[CAT]]="",0,1)</f>
        <v>1</v>
      </c>
      <c r="W1040" s="20">
        <v>46170</v>
      </c>
      <c r="X1040" s="21" t="str">
        <f>UPPER(IF(AUDITORIA[[#This Row],[DATA VERIFICAÇÃO]]="","",TEXT(AUDITORIA[[#This Row],[DATA VERIFICAÇÃO]],"mmm")))</f>
        <v>MAI</v>
      </c>
      <c r="Y1040" t="s">
        <v>598</v>
      </c>
      <c r="Z1040" t="s">
        <v>830</v>
      </c>
      <c r="AA1040" t="s">
        <v>600</v>
      </c>
    </row>
    <row r="1041" spans="1:27" ht="14.4" hidden="1" customHeight="1" x14ac:dyDescent="0.3">
      <c r="A1041" s="4" t="s">
        <v>279</v>
      </c>
      <c r="B1041" s="4" t="s">
        <v>17</v>
      </c>
      <c r="C1041" s="16" t="s">
        <v>18</v>
      </c>
      <c r="D1041" s="4">
        <v>11</v>
      </c>
      <c r="E1041" s="4" t="s">
        <v>745</v>
      </c>
      <c r="F1041" t="s">
        <v>448</v>
      </c>
      <c r="G1041" t="s">
        <v>434</v>
      </c>
      <c r="J1041" s="4" t="s">
        <v>31</v>
      </c>
      <c r="K1041" s="4" t="s">
        <v>21</v>
      </c>
      <c r="L1041" s="4" t="s">
        <v>742</v>
      </c>
      <c r="M1041" s="17">
        <v>18</v>
      </c>
      <c r="N1041" s="17">
        <v>1203</v>
      </c>
      <c r="O1041" s="18" t="s">
        <v>31</v>
      </c>
      <c r="P1041" s="18">
        <v>1203</v>
      </c>
      <c r="Q1041" s="18">
        <v>18</v>
      </c>
      <c r="R1041" s="18"/>
      <c r="S1041" s="18"/>
      <c r="T1041" s="18"/>
      <c r="U10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41" s="19">
        <f>IF(AUDITORIA[[#This Row],[CAT]]="",0,1)</f>
        <v>1</v>
      </c>
      <c r="W1041" s="20">
        <v>46170</v>
      </c>
      <c r="X1041" s="21" t="str">
        <f>UPPER(IF(AUDITORIA[[#This Row],[DATA VERIFICAÇÃO]]="","",TEXT(AUDITORIA[[#This Row],[DATA VERIFICAÇÃO]],"mmm")))</f>
        <v>MAI</v>
      </c>
      <c r="Y1041" t="s">
        <v>598</v>
      </c>
      <c r="Z1041" t="s">
        <v>830</v>
      </c>
      <c r="AA1041" t="s">
        <v>600</v>
      </c>
    </row>
    <row r="1042" spans="1:27" ht="14.4" hidden="1" customHeight="1" x14ac:dyDescent="0.3">
      <c r="A1042" s="4" t="s">
        <v>279</v>
      </c>
      <c r="B1042" s="4" t="s">
        <v>17</v>
      </c>
      <c r="C1042" s="16" t="s">
        <v>18</v>
      </c>
      <c r="D1042" s="4">
        <v>11</v>
      </c>
      <c r="E1042" s="4" t="s">
        <v>745</v>
      </c>
      <c r="F1042" t="s">
        <v>446</v>
      </c>
      <c r="G1042" t="s">
        <v>434</v>
      </c>
      <c r="J1042" s="4" t="s">
        <v>31</v>
      </c>
      <c r="K1042" s="4" t="s">
        <v>21</v>
      </c>
      <c r="L1042" s="4" t="s">
        <v>742</v>
      </c>
      <c r="M1042" s="17">
        <v>18</v>
      </c>
      <c r="N1042" s="17">
        <v>1201</v>
      </c>
      <c r="O1042" s="18" t="s">
        <v>31</v>
      </c>
      <c r="P1042" s="18">
        <v>1201</v>
      </c>
      <c r="Q1042" s="18">
        <v>18</v>
      </c>
      <c r="R1042" s="18"/>
      <c r="S1042" s="18"/>
      <c r="T1042" s="18"/>
      <c r="U10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42" s="19">
        <f>IF(AUDITORIA[[#This Row],[CAT]]="",0,1)</f>
        <v>1</v>
      </c>
      <c r="W1042" s="20">
        <v>46170</v>
      </c>
      <c r="X1042" s="21" t="str">
        <f>UPPER(IF(AUDITORIA[[#This Row],[DATA VERIFICAÇÃO]]="","",TEXT(AUDITORIA[[#This Row],[DATA VERIFICAÇÃO]],"mmm")))</f>
        <v>MAI</v>
      </c>
      <c r="Y1042" t="s">
        <v>598</v>
      </c>
      <c r="Z1042" t="s">
        <v>830</v>
      </c>
      <c r="AA1042" t="s">
        <v>600</v>
      </c>
    </row>
    <row r="1043" spans="1:27" ht="14.4" hidden="1" customHeight="1" x14ac:dyDescent="0.3">
      <c r="A1043" s="4" t="s">
        <v>279</v>
      </c>
      <c r="B1043" s="4" t="s">
        <v>17</v>
      </c>
      <c r="C1043" s="16" t="s">
        <v>18</v>
      </c>
      <c r="D1043" s="4">
        <v>11</v>
      </c>
      <c r="E1043" s="4" t="s">
        <v>745</v>
      </c>
      <c r="F1043" t="s">
        <v>437</v>
      </c>
      <c r="G1043" t="s">
        <v>434</v>
      </c>
      <c r="J1043" s="4" t="s">
        <v>31</v>
      </c>
      <c r="K1043" s="4" t="s">
        <v>21</v>
      </c>
      <c r="L1043" s="4" t="s">
        <v>742</v>
      </c>
      <c r="M1043" s="17">
        <v>9</v>
      </c>
      <c r="N1043" s="17">
        <v>1200</v>
      </c>
      <c r="O1043" s="18" t="s">
        <v>31</v>
      </c>
      <c r="P1043" s="18">
        <v>1200</v>
      </c>
      <c r="Q1043" s="18">
        <v>9</v>
      </c>
      <c r="R1043" s="18"/>
      <c r="S1043" s="18"/>
      <c r="T1043" s="18"/>
      <c r="U10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43" s="19">
        <f>IF(AUDITORIA[[#This Row],[CAT]]="",0,1)</f>
        <v>1</v>
      </c>
      <c r="W1043" s="20">
        <v>46170</v>
      </c>
      <c r="X1043" s="21" t="str">
        <f>UPPER(IF(AUDITORIA[[#This Row],[DATA VERIFICAÇÃO]]="","",TEXT(AUDITORIA[[#This Row],[DATA VERIFICAÇÃO]],"mmm")))</f>
        <v>MAI</v>
      </c>
      <c r="Y1043" t="s">
        <v>598</v>
      </c>
      <c r="Z1043" t="s">
        <v>830</v>
      </c>
      <c r="AA1043" t="s">
        <v>600</v>
      </c>
    </row>
    <row r="1044" spans="1:27" ht="14.4" hidden="1" customHeight="1" x14ac:dyDescent="0.3">
      <c r="A1044" s="4" t="s">
        <v>279</v>
      </c>
      <c r="B1044" s="4" t="s">
        <v>17</v>
      </c>
      <c r="C1044" s="16" t="s">
        <v>18</v>
      </c>
      <c r="D1044" s="4">
        <v>11</v>
      </c>
      <c r="E1044" s="4" t="s">
        <v>745</v>
      </c>
      <c r="F1044" t="s">
        <v>364</v>
      </c>
      <c r="G1044" t="s">
        <v>106</v>
      </c>
      <c r="J1044" s="4" t="s">
        <v>19</v>
      </c>
      <c r="K1044" s="4" t="s">
        <v>20</v>
      </c>
      <c r="L1044" s="4" t="s">
        <v>742</v>
      </c>
      <c r="M1044" s="17">
        <v>30</v>
      </c>
      <c r="N1044" s="17">
        <v>846</v>
      </c>
      <c r="O1044" s="18" t="s">
        <v>19</v>
      </c>
      <c r="P1044" s="18">
        <v>846</v>
      </c>
      <c r="Q1044" s="18">
        <v>30</v>
      </c>
      <c r="R1044" s="18"/>
      <c r="S1044" s="18"/>
      <c r="T1044" s="18"/>
      <c r="U10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44" s="19">
        <f>IF(AUDITORIA[[#This Row],[CAT]]="",0,1)</f>
        <v>1</v>
      </c>
      <c r="W1044" s="20">
        <v>46170</v>
      </c>
      <c r="X1044" s="21" t="str">
        <f>UPPER(IF(AUDITORIA[[#This Row],[DATA VERIFICAÇÃO]]="","",TEXT(AUDITORIA[[#This Row],[DATA VERIFICAÇÃO]],"mmm")))</f>
        <v>MAI</v>
      </c>
      <c r="Y1044" t="s">
        <v>598</v>
      </c>
      <c r="Z1044" t="s">
        <v>830</v>
      </c>
      <c r="AA1044" t="s">
        <v>600</v>
      </c>
    </row>
    <row r="1045" spans="1:27" ht="14.4" hidden="1" customHeight="1" x14ac:dyDescent="0.3">
      <c r="A1045" s="4" t="s">
        <v>279</v>
      </c>
      <c r="B1045" s="4" t="s">
        <v>17</v>
      </c>
      <c r="C1045" s="16" t="s">
        <v>18</v>
      </c>
      <c r="D1045" s="4">
        <v>11</v>
      </c>
      <c r="E1045" s="4" t="s">
        <v>745</v>
      </c>
      <c r="F1045" t="s">
        <v>363</v>
      </c>
      <c r="G1045" t="s">
        <v>106</v>
      </c>
      <c r="J1045" s="4" t="s">
        <v>19</v>
      </c>
      <c r="K1045" s="4" t="s">
        <v>20</v>
      </c>
      <c r="L1045" s="4" t="s">
        <v>742</v>
      </c>
      <c r="M1045" s="17">
        <v>30</v>
      </c>
      <c r="N1045" s="17">
        <v>834</v>
      </c>
      <c r="O1045" s="18" t="s">
        <v>19</v>
      </c>
      <c r="P1045" s="18">
        <v>834</v>
      </c>
      <c r="Q1045" s="18">
        <v>30</v>
      </c>
      <c r="R1045" s="18"/>
      <c r="S1045" s="18"/>
      <c r="T1045" s="18"/>
      <c r="U10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45" s="19">
        <f>IF(AUDITORIA[[#This Row],[CAT]]="",0,1)</f>
        <v>1</v>
      </c>
      <c r="W1045" s="20">
        <v>46170</v>
      </c>
      <c r="X1045" s="21" t="str">
        <f>UPPER(IF(AUDITORIA[[#This Row],[DATA VERIFICAÇÃO]]="","",TEXT(AUDITORIA[[#This Row],[DATA VERIFICAÇÃO]],"mmm")))</f>
        <v>MAI</v>
      </c>
      <c r="Y1045" t="s">
        <v>598</v>
      </c>
      <c r="Z1045" t="s">
        <v>830</v>
      </c>
      <c r="AA1045" t="s">
        <v>600</v>
      </c>
    </row>
    <row r="1046" spans="1:27" ht="14.4" hidden="1" customHeight="1" x14ac:dyDescent="0.3">
      <c r="A1046" s="4" t="s">
        <v>279</v>
      </c>
      <c r="B1046" s="4" t="s">
        <v>17</v>
      </c>
      <c r="C1046" s="16" t="s">
        <v>18</v>
      </c>
      <c r="D1046" s="4">
        <v>11</v>
      </c>
      <c r="E1046" s="4" t="s">
        <v>745</v>
      </c>
      <c r="F1046" t="s">
        <v>360</v>
      </c>
      <c r="G1046" t="s">
        <v>106</v>
      </c>
      <c r="J1046" s="4" t="s">
        <v>19</v>
      </c>
      <c r="K1046" s="4" t="s">
        <v>20</v>
      </c>
      <c r="L1046" s="4" t="s">
        <v>742</v>
      </c>
      <c r="M1046" s="17">
        <v>30</v>
      </c>
      <c r="N1046" s="17">
        <v>853</v>
      </c>
      <c r="O1046" s="18" t="s">
        <v>19</v>
      </c>
      <c r="P1046" s="18">
        <v>853</v>
      </c>
      <c r="Q1046" s="18">
        <v>30</v>
      </c>
      <c r="R1046" s="18"/>
      <c r="S1046" s="18"/>
      <c r="T1046" s="18"/>
      <c r="U10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46" s="19">
        <f>IF(AUDITORIA[[#This Row],[CAT]]="",0,1)</f>
        <v>1</v>
      </c>
      <c r="W1046" s="20">
        <v>46170</v>
      </c>
      <c r="X1046" s="21" t="str">
        <f>UPPER(IF(AUDITORIA[[#This Row],[DATA VERIFICAÇÃO]]="","",TEXT(AUDITORIA[[#This Row],[DATA VERIFICAÇÃO]],"mmm")))</f>
        <v>MAI</v>
      </c>
      <c r="Y1046" t="s">
        <v>598</v>
      </c>
      <c r="Z1046" t="s">
        <v>830</v>
      </c>
      <c r="AA1046" t="s">
        <v>600</v>
      </c>
    </row>
    <row r="1047" spans="1:27" ht="14.4" hidden="1" customHeight="1" x14ac:dyDescent="0.3">
      <c r="A1047" s="4" t="s">
        <v>279</v>
      </c>
      <c r="B1047" s="4" t="s">
        <v>17</v>
      </c>
      <c r="C1047" s="16" t="s">
        <v>18</v>
      </c>
      <c r="D1047" s="4">
        <v>11</v>
      </c>
      <c r="E1047" s="4" t="s">
        <v>745</v>
      </c>
      <c r="F1047" t="s">
        <v>356</v>
      </c>
      <c r="G1047" t="s">
        <v>106</v>
      </c>
      <c r="J1047" s="4" t="s">
        <v>19</v>
      </c>
      <c r="K1047" s="4" t="s">
        <v>20</v>
      </c>
      <c r="L1047" s="4" t="s">
        <v>742</v>
      </c>
      <c r="M1047" s="17">
        <v>30</v>
      </c>
      <c r="N1047" s="17">
        <v>849</v>
      </c>
      <c r="O1047" s="18" t="s">
        <v>19</v>
      </c>
      <c r="P1047" s="18">
        <v>849</v>
      </c>
      <c r="Q1047" s="18">
        <v>30</v>
      </c>
      <c r="R1047" s="18"/>
      <c r="S1047" s="18"/>
      <c r="T1047" s="18"/>
      <c r="U10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47" s="19">
        <f>IF(AUDITORIA[[#This Row],[CAT]]="",0,1)</f>
        <v>1</v>
      </c>
      <c r="W1047" s="20">
        <v>46170</v>
      </c>
      <c r="X1047" s="21" t="str">
        <f>UPPER(IF(AUDITORIA[[#This Row],[DATA VERIFICAÇÃO]]="","",TEXT(AUDITORIA[[#This Row],[DATA VERIFICAÇÃO]],"mmm")))</f>
        <v>MAI</v>
      </c>
      <c r="Y1047" t="s">
        <v>598</v>
      </c>
      <c r="Z1047" t="s">
        <v>830</v>
      </c>
      <c r="AA1047" t="s">
        <v>600</v>
      </c>
    </row>
    <row r="1048" spans="1:27" ht="14.4" hidden="1" customHeight="1" x14ac:dyDescent="0.3">
      <c r="A1048" s="4" t="s">
        <v>279</v>
      </c>
      <c r="B1048" s="4" t="s">
        <v>17</v>
      </c>
      <c r="C1048" s="16" t="s">
        <v>18</v>
      </c>
      <c r="D1048" s="4">
        <v>11</v>
      </c>
      <c r="E1048" s="4" t="s">
        <v>745</v>
      </c>
      <c r="F1048" t="s">
        <v>355</v>
      </c>
      <c r="G1048" t="s">
        <v>106</v>
      </c>
      <c r="J1048" s="4" t="s">
        <v>19</v>
      </c>
      <c r="K1048" s="4" t="s">
        <v>20</v>
      </c>
      <c r="L1048" s="4" t="s">
        <v>742</v>
      </c>
      <c r="M1048" s="17">
        <v>30</v>
      </c>
      <c r="N1048" s="17">
        <v>853</v>
      </c>
      <c r="O1048" s="18" t="s">
        <v>19</v>
      </c>
      <c r="P1048" s="18">
        <v>853</v>
      </c>
      <c r="Q1048" s="18">
        <v>30</v>
      </c>
      <c r="R1048" s="18"/>
      <c r="S1048" s="18"/>
      <c r="T1048" s="18"/>
      <c r="U10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48" s="19">
        <f>IF(AUDITORIA[[#This Row],[CAT]]="",0,1)</f>
        <v>1</v>
      </c>
      <c r="W1048" s="20">
        <v>46170</v>
      </c>
      <c r="X1048" s="21" t="str">
        <f>UPPER(IF(AUDITORIA[[#This Row],[DATA VERIFICAÇÃO]]="","",TEXT(AUDITORIA[[#This Row],[DATA VERIFICAÇÃO]],"mmm")))</f>
        <v>MAI</v>
      </c>
      <c r="Y1048" t="s">
        <v>598</v>
      </c>
      <c r="Z1048" t="s">
        <v>830</v>
      </c>
      <c r="AA1048" t="s">
        <v>600</v>
      </c>
    </row>
    <row r="1049" spans="1:27" ht="14.4" hidden="1" customHeight="1" x14ac:dyDescent="0.3">
      <c r="A1049" s="4" t="s">
        <v>279</v>
      </c>
      <c r="B1049" s="4" t="s">
        <v>17</v>
      </c>
      <c r="C1049" s="16" t="s">
        <v>18</v>
      </c>
      <c r="D1049" s="4">
        <v>11</v>
      </c>
      <c r="E1049" s="4" t="s">
        <v>745</v>
      </c>
      <c r="F1049" t="s">
        <v>352</v>
      </c>
      <c r="G1049" t="s">
        <v>106</v>
      </c>
      <c r="J1049" s="4" t="s">
        <v>19</v>
      </c>
      <c r="K1049" s="4" t="s">
        <v>20</v>
      </c>
      <c r="L1049" s="4" t="s">
        <v>742</v>
      </c>
      <c r="M1049" s="17">
        <v>30</v>
      </c>
      <c r="N1049" s="17">
        <v>833</v>
      </c>
      <c r="O1049" s="18" t="s">
        <v>19</v>
      </c>
      <c r="P1049" s="18">
        <v>833</v>
      </c>
      <c r="Q1049" s="18">
        <v>30</v>
      </c>
      <c r="R1049" s="18"/>
      <c r="S1049" s="18"/>
      <c r="T1049" s="18"/>
      <c r="U10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49" s="19">
        <f>IF(AUDITORIA[[#This Row],[CAT]]="",0,1)</f>
        <v>1</v>
      </c>
      <c r="W1049" s="20">
        <v>46170</v>
      </c>
      <c r="X1049" s="21" t="str">
        <f>UPPER(IF(AUDITORIA[[#This Row],[DATA VERIFICAÇÃO]]="","",TEXT(AUDITORIA[[#This Row],[DATA VERIFICAÇÃO]],"mmm")))</f>
        <v>MAI</v>
      </c>
      <c r="Y1049" t="s">
        <v>598</v>
      </c>
      <c r="Z1049" t="s">
        <v>830</v>
      </c>
      <c r="AA1049" t="s">
        <v>600</v>
      </c>
    </row>
    <row r="1050" spans="1:27" ht="14.4" hidden="1" customHeight="1" x14ac:dyDescent="0.3">
      <c r="A1050" s="4" t="s">
        <v>279</v>
      </c>
      <c r="B1050" s="4" t="s">
        <v>17</v>
      </c>
      <c r="C1050" s="16" t="s">
        <v>18</v>
      </c>
      <c r="D1050" s="4">
        <v>11</v>
      </c>
      <c r="E1050" s="4" t="s">
        <v>745</v>
      </c>
      <c r="F1050" t="s">
        <v>349</v>
      </c>
      <c r="G1050" t="s">
        <v>106</v>
      </c>
      <c r="J1050" s="4" t="s">
        <v>19</v>
      </c>
      <c r="K1050" s="4" t="s">
        <v>20</v>
      </c>
      <c r="L1050" s="4" t="s">
        <v>742</v>
      </c>
      <c r="M1050" s="17">
        <v>30</v>
      </c>
      <c r="N1050" s="17">
        <v>844</v>
      </c>
      <c r="O1050" s="18" t="s">
        <v>19</v>
      </c>
      <c r="P1050" s="18">
        <v>844</v>
      </c>
      <c r="Q1050" s="18">
        <v>30</v>
      </c>
      <c r="R1050" s="18"/>
      <c r="S1050" s="18"/>
      <c r="T1050" s="18"/>
      <c r="U10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50" s="19">
        <f>IF(AUDITORIA[[#This Row],[CAT]]="",0,1)</f>
        <v>1</v>
      </c>
      <c r="W1050" s="20">
        <v>46170</v>
      </c>
      <c r="X1050" s="21" t="str">
        <f>UPPER(IF(AUDITORIA[[#This Row],[DATA VERIFICAÇÃO]]="","",TEXT(AUDITORIA[[#This Row],[DATA VERIFICAÇÃO]],"mmm")))</f>
        <v>MAI</v>
      </c>
      <c r="Y1050" t="s">
        <v>598</v>
      </c>
      <c r="Z1050" t="s">
        <v>830</v>
      </c>
      <c r="AA1050" t="s">
        <v>600</v>
      </c>
    </row>
    <row r="1051" spans="1:27" ht="14.4" hidden="1" customHeight="1" x14ac:dyDescent="0.3">
      <c r="A1051" s="4" t="s">
        <v>279</v>
      </c>
      <c r="B1051" s="4" t="s">
        <v>17</v>
      </c>
      <c r="C1051" s="16" t="s">
        <v>18</v>
      </c>
      <c r="D1051" s="4">
        <v>11</v>
      </c>
      <c r="E1051" s="4" t="s">
        <v>745</v>
      </c>
      <c r="F1051" t="s">
        <v>348</v>
      </c>
      <c r="G1051" t="s">
        <v>106</v>
      </c>
      <c r="J1051" s="4" t="s">
        <v>19</v>
      </c>
      <c r="K1051" s="4" t="s">
        <v>20</v>
      </c>
      <c r="L1051" s="4" t="s">
        <v>742</v>
      </c>
      <c r="M1051" s="17">
        <v>30</v>
      </c>
      <c r="N1051" s="17">
        <v>842</v>
      </c>
      <c r="O1051" s="18" t="s">
        <v>19</v>
      </c>
      <c r="P1051" s="18">
        <v>842</v>
      </c>
      <c r="Q1051" s="18">
        <v>30</v>
      </c>
      <c r="R1051" s="18"/>
      <c r="S1051" s="18"/>
      <c r="T1051" s="18"/>
      <c r="U10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51" s="19">
        <f>IF(AUDITORIA[[#This Row],[CAT]]="",0,1)</f>
        <v>1</v>
      </c>
      <c r="W1051" s="20">
        <v>46170</v>
      </c>
      <c r="X1051" s="21" t="str">
        <f>UPPER(IF(AUDITORIA[[#This Row],[DATA VERIFICAÇÃO]]="","",TEXT(AUDITORIA[[#This Row],[DATA VERIFICAÇÃO]],"mmm")))</f>
        <v>MAI</v>
      </c>
      <c r="Y1051" t="s">
        <v>598</v>
      </c>
      <c r="Z1051" t="s">
        <v>830</v>
      </c>
      <c r="AA1051" t="s">
        <v>600</v>
      </c>
    </row>
    <row r="1052" spans="1:27" ht="14.4" hidden="1" customHeight="1" x14ac:dyDescent="0.3">
      <c r="A1052" s="4" t="s">
        <v>279</v>
      </c>
      <c r="B1052" s="4" t="s">
        <v>17</v>
      </c>
      <c r="C1052" s="16" t="s">
        <v>18</v>
      </c>
      <c r="D1052" s="4">
        <v>11</v>
      </c>
      <c r="E1052" s="4" t="s">
        <v>745</v>
      </c>
      <c r="F1052" t="s">
        <v>344</v>
      </c>
      <c r="G1052" t="s">
        <v>106</v>
      </c>
      <c r="J1052" s="4" t="s">
        <v>19</v>
      </c>
      <c r="K1052" s="4" t="s">
        <v>20</v>
      </c>
      <c r="L1052" s="4" t="s">
        <v>742</v>
      </c>
      <c r="M1052" s="17">
        <v>30</v>
      </c>
      <c r="N1052" s="17">
        <v>853</v>
      </c>
      <c r="O1052" s="18" t="s">
        <v>19</v>
      </c>
      <c r="P1052" s="18">
        <v>853</v>
      </c>
      <c r="Q1052" s="18">
        <v>30</v>
      </c>
      <c r="R1052" s="18"/>
      <c r="S1052" s="18"/>
      <c r="T1052" s="18"/>
      <c r="U10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52" s="19">
        <f>IF(AUDITORIA[[#This Row],[CAT]]="",0,1)</f>
        <v>1</v>
      </c>
      <c r="W1052" s="20">
        <v>46170</v>
      </c>
      <c r="X1052" s="21" t="str">
        <f>UPPER(IF(AUDITORIA[[#This Row],[DATA VERIFICAÇÃO]]="","",TEXT(AUDITORIA[[#This Row],[DATA VERIFICAÇÃO]],"mmm")))</f>
        <v>MAI</v>
      </c>
      <c r="Y1052" t="s">
        <v>598</v>
      </c>
      <c r="Z1052" t="s">
        <v>830</v>
      </c>
      <c r="AA1052" t="s">
        <v>600</v>
      </c>
    </row>
    <row r="1053" spans="1:27" ht="14.4" hidden="1" customHeight="1" x14ac:dyDescent="0.3">
      <c r="A1053" s="4" t="s">
        <v>279</v>
      </c>
      <c r="B1053" s="4" t="s">
        <v>17</v>
      </c>
      <c r="C1053" s="16" t="s">
        <v>18</v>
      </c>
      <c r="D1053" s="4">
        <v>11</v>
      </c>
      <c r="E1053" s="4" t="s">
        <v>745</v>
      </c>
      <c r="F1053" t="s">
        <v>343</v>
      </c>
      <c r="G1053" t="s">
        <v>106</v>
      </c>
      <c r="J1053" s="4" t="s">
        <v>19</v>
      </c>
      <c r="K1053" s="4" t="s">
        <v>20</v>
      </c>
      <c r="L1053" s="4" t="s">
        <v>742</v>
      </c>
      <c r="M1053" s="17">
        <v>30</v>
      </c>
      <c r="N1053" s="17">
        <v>838</v>
      </c>
      <c r="O1053" s="18" t="s">
        <v>19</v>
      </c>
      <c r="P1053" s="18">
        <v>838</v>
      </c>
      <c r="Q1053" s="18">
        <v>30</v>
      </c>
      <c r="R1053" s="18"/>
      <c r="S1053" s="18"/>
      <c r="T1053" s="18"/>
      <c r="U10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53" s="19">
        <f>IF(AUDITORIA[[#This Row],[CAT]]="",0,1)</f>
        <v>1</v>
      </c>
      <c r="W1053" s="20">
        <v>46170</v>
      </c>
      <c r="X1053" s="21" t="str">
        <f>UPPER(IF(AUDITORIA[[#This Row],[DATA VERIFICAÇÃO]]="","",TEXT(AUDITORIA[[#This Row],[DATA VERIFICAÇÃO]],"mmm")))</f>
        <v>MAI</v>
      </c>
      <c r="Y1053" t="s">
        <v>598</v>
      </c>
      <c r="Z1053" t="s">
        <v>830</v>
      </c>
      <c r="AA1053" t="s">
        <v>600</v>
      </c>
    </row>
    <row r="1054" spans="1:27" ht="14.4" hidden="1" customHeight="1" x14ac:dyDescent="0.3">
      <c r="A1054" s="4" t="s">
        <v>279</v>
      </c>
      <c r="B1054" s="4" t="s">
        <v>17</v>
      </c>
      <c r="C1054" s="16" t="s">
        <v>18</v>
      </c>
      <c r="D1054" s="4">
        <v>11</v>
      </c>
      <c r="E1054" s="4" t="s">
        <v>745</v>
      </c>
      <c r="F1054" t="s">
        <v>340</v>
      </c>
      <c r="G1054" t="s">
        <v>106</v>
      </c>
      <c r="J1054" s="4" t="s">
        <v>19</v>
      </c>
      <c r="K1054" s="4" t="s">
        <v>20</v>
      </c>
      <c r="L1054" s="4" t="s">
        <v>742</v>
      </c>
      <c r="M1054" s="17">
        <v>30</v>
      </c>
      <c r="N1054" s="17">
        <v>842</v>
      </c>
      <c r="O1054" s="18" t="s">
        <v>19</v>
      </c>
      <c r="P1054" s="18">
        <v>842</v>
      </c>
      <c r="Q1054" s="18">
        <v>30</v>
      </c>
      <c r="R1054" s="18"/>
      <c r="S1054" s="18"/>
      <c r="T1054" s="18"/>
      <c r="U10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54" s="19">
        <f>IF(AUDITORIA[[#This Row],[CAT]]="",0,1)</f>
        <v>1</v>
      </c>
      <c r="W1054" s="20">
        <v>46170</v>
      </c>
      <c r="X1054" s="21" t="str">
        <f>UPPER(IF(AUDITORIA[[#This Row],[DATA VERIFICAÇÃO]]="","",TEXT(AUDITORIA[[#This Row],[DATA VERIFICAÇÃO]],"mmm")))</f>
        <v>MAI</v>
      </c>
      <c r="Y1054" t="s">
        <v>598</v>
      </c>
      <c r="Z1054" t="s">
        <v>830</v>
      </c>
      <c r="AA1054" t="s">
        <v>600</v>
      </c>
    </row>
    <row r="1055" spans="1:27" ht="14.4" hidden="1" customHeight="1" x14ac:dyDescent="0.3">
      <c r="A1055" s="4" t="s">
        <v>279</v>
      </c>
      <c r="B1055" s="4" t="s">
        <v>17</v>
      </c>
      <c r="C1055" s="16" t="s">
        <v>18</v>
      </c>
      <c r="D1055" s="4">
        <v>11</v>
      </c>
      <c r="E1055" s="4" t="s">
        <v>745</v>
      </c>
      <c r="F1055" t="s">
        <v>339</v>
      </c>
      <c r="G1055" t="s">
        <v>106</v>
      </c>
      <c r="J1055" s="4" t="s">
        <v>19</v>
      </c>
      <c r="K1055" s="4" t="s">
        <v>20</v>
      </c>
      <c r="L1055" s="4" t="s">
        <v>742</v>
      </c>
      <c r="M1055" s="17">
        <v>30</v>
      </c>
      <c r="N1055" s="17">
        <v>825</v>
      </c>
      <c r="O1055" s="18" t="s">
        <v>19</v>
      </c>
      <c r="P1055" s="18">
        <v>825</v>
      </c>
      <c r="Q1055" s="18">
        <v>30</v>
      </c>
      <c r="R1055" s="18"/>
      <c r="S1055" s="18"/>
      <c r="T1055" s="18"/>
      <c r="U10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55" s="19">
        <f>IF(AUDITORIA[[#This Row],[CAT]]="",0,1)</f>
        <v>1</v>
      </c>
      <c r="W1055" s="20">
        <v>46170</v>
      </c>
      <c r="X1055" s="21" t="str">
        <f>UPPER(IF(AUDITORIA[[#This Row],[DATA VERIFICAÇÃO]]="","",TEXT(AUDITORIA[[#This Row],[DATA VERIFICAÇÃO]],"mmm")))</f>
        <v>MAI</v>
      </c>
      <c r="Y1055" t="s">
        <v>598</v>
      </c>
      <c r="Z1055" t="s">
        <v>830</v>
      </c>
      <c r="AA1055" t="s">
        <v>600</v>
      </c>
    </row>
    <row r="1056" spans="1:27" ht="14.4" hidden="1" customHeight="1" x14ac:dyDescent="0.3">
      <c r="A1056" s="4" t="s">
        <v>279</v>
      </c>
      <c r="B1056" s="4" t="s">
        <v>17</v>
      </c>
      <c r="C1056" s="16" t="s">
        <v>18</v>
      </c>
      <c r="D1056" s="4">
        <v>11</v>
      </c>
      <c r="E1056" s="4" t="s">
        <v>745</v>
      </c>
      <c r="F1056" t="s">
        <v>333</v>
      </c>
      <c r="G1056" t="s">
        <v>106</v>
      </c>
      <c r="J1056" s="4" t="s">
        <v>19</v>
      </c>
      <c r="K1056" s="4" t="s">
        <v>20</v>
      </c>
      <c r="L1056" s="4" t="s">
        <v>742</v>
      </c>
      <c r="M1056" s="17">
        <v>30</v>
      </c>
      <c r="N1056" s="17">
        <v>842</v>
      </c>
      <c r="O1056" s="18" t="s">
        <v>19</v>
      </c>
      <c r="P1056" s="18">
        <v>842</v>
      </c>
      <c r="Q1056" s="18">
        <v>30</v>
      </c>
      <c r="R1056" s="18"/>
      <c r="S1056" s="18"/>
      <c r="T1056" s="18"/>
      <c r="U10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56" s="19">
        <f>IF(AUDITORIA[[#This Row],[CAT]]="",0,1)</f>
        <v>1</v>
      </c>
      <c r="W1056" s="20">
        <v>46170</v>
      </c>
      <c r="X1056" s="21" t="str">
        <f>UPPER(IF(AUDITORIA[[#This Row],[DATA VERIFICAÇÃO]]="","",TEXT(AUDITORIA[[#This Row],[DATA VERIFICAÇÃO]],"mmm")))</f>
        <v>MAI</v>
      </c>
      <c r="Y1056" t="s">
        <v>598</v>
      </c>
      <c r="Z1056" t="s">
        <v>830</v>
      </c>
      <c r="AA1056" t="s">
        <v>600</v>
      </c>
    </row>
    <row r="1057" spans="1:27" ht="14.4" hidden="1" customHeight="1" x14ac:dyDescent="0.3">
      <c r="A1057" s="4" t="s">
        <v>279</v>
      </c>
      <c r="B1057" s="4" t="s">
        <v>17</v>
      </c>
      <c r="C1057" s="16" t="s">
        <v>18</v>
      </c>
      <c r="D1057" s="4">
        <v>11</v>
      </c>
      <c r="E1057" s="4" t="s">
        <v>745</v>
      </c>
      <c r="F1057" t="s">
        <v>331</v>
      </c>
      <c r="G1057" t="s">
        <v>106</v>
      </c>
      <c r="J1057" s="4" t="s">
        <v>19</v>
      </c>
      <c r="K1057" s="4" t="s">
        <v>20</v>
      </c>
      <c r="L1057" s="4" t="s">
        <v>742</v>
      </c>
      <c r="M1057" s="17">
        <v>30</v>
      </c>
      <c r="N1057" s="17">
        <v>851</v>
      </c>
      <c r="O1057" s="18" t="s">
        <v>19</v>
      </c>
      <c r="P1057" s="18">
        <v>851</v>
      </c>
      <c r="Q1057" s="18">
        <v>30</v>
      </c>
      <c r="R1057" s="18"/>
      <c r="S1057" s="18"/>
      <c r="T1057" s="18"/>
      <c r="U10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57" s="19">
        <f>IF(AUDITORIA[[#This Row],[CAT]]="",0,1)</f>
        <v>1</v>
      </c>
      <c r="W1057" s="20">
        <v>46170</v>
      </c>
      <c r="X1057" s="21" t="str">
        <f>UPPER(IF(AUDITORIA[[#This Row],[DATA VERIFICAÇÃO]]="","",TEXT(AUDITORIA[[#This Row],[DATA VERIFICAÇÃO]],"mmm")))</f>
        <v>MAI</v>
      </c>
      <c r="Y1057" t="s">
        <v>598</v>
      </c>
      <c r="Z1057" t="s">
        <v>830</v>
      </c>
      <c r="AA1057" t="s">
        <v>600</v>
      </c>
    </row>
    <row r="1058" spans="1:27" ht="14.4" hidden="1" customHeight="1" x14ac:dyDescent="0.3">
      <c r="A1058" s="4" t="s">
        <v>279</v>
      </c>
      <c r="B1058" s="4" t="s">
        <v>17</v>
      </c>
      <c r="C1058" s="16" t="s">
        <v>18</v>
      </c>
      <c r="D1058" s="4">
        <v>11</v>
      </c>
      <c r="E1058" s="4" t="s">
        <v>745</v>
      </c>
      <c r="F1058" t="s">
        <v>327</v>
      </c>
      <c r="G1058" t="s">
        <v>106</v>
      </c>
      <c r="J1058" s="4" t="s">
        <v>19</v>
      </c>
      <c r="K1058" s="4" t="s">
        <v>20</v>
      </c>
      <c r="L1058" s="4" t="s">
        <v>742</v>
      </c>
      <c r="M1058" s="17">
        <v>30</v>
      </c>
      <c r="N1058" s="17">
        <v>850</v>
      </c>
      <c r="O1058" s="18" t="s">
        <v>19</v>
      </c>
      <c r="P1058" s="18">
        <v>850</v>
      </c>
      <c r="Q1058" s="18">
        <v>30</v>
      </c>
      <c r="R1058" s="18"/>
      <c r="S1058" s="18"/>
      <c r="T1058" s="18"/>
      <c r="U10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58" s="19">
        <f>IF(AUDITORIA[[#This Row],[CAT]]="",0,1)</f>
        <v>1</v>
      </c>
      <c r="W1058" s="20">
        <v>46170</v>
      </c>
      <c r="X1058" s="21" t="str">
        <f>UPPER(IF(AUDITORIA[[#This Row],[DATA VERIFICAÇÃO]]="","",TEXT(AUDITORIA[[#This Row],[DATA VERIFICAÇÃO]],"mmm")))</f>
        <v>MAI</v>
      </c>
      <c r="Y1058" t="s">
        <v>598</v>
      </c>
      <c r="Z1058" t="s">
        <v>830</v>
      </c>
      <c r="AA1058" t="s">
        <v>600</v>
      </c>
    </row>
    <row r="1059" spans="1:27" ht="14.4" hidden="1" customHeight="1" x14ac:dyDescent="0.3">
      <c r="A1059" s="4" t="s">
        <v>279</v>
      </c>
      <c r="B1059" s="4" t="s">
        <v>17</v>
      </c>
      <c r="C1059" s="16" t="s">
        <v>18</v>
      </c>
      <c r="D1059" s="4">
        <v>11</v>
      </c>
      <c r="E1059" s="4" t="s">
        <v>745</v>
      </c>
      <c r="F1059" t="s">
        <v>325</v>
      </c>
      <c r="G1059" t="s">
        <v>106</v>
      </c>
      <c r="J1059" s="4" t="s">
        <v>19</v>
      </c>
      <c r="K1059" s="4" t="s">
        <v>20</v>
      </c>
      <c r="L1059" s="4" t="s">
        <v>742</v>
      </c>
      <c r="M1059" s="17">
        <v>30</v>
      </c>
      <c r="N1059" s="17">
        <v>850</v>
      </c>
      <c r="O1059" s="18" t="s">
        <v>19</v>
      </c>
      <c r="P1059" s="18">
        <v>850</v>
      </c>
      <c r="Q1059" s="18">
        <v>30</v>
      </c>
      <c r="R1059" s="18"/>
      <c r="S1059" s="18"/>
      <c r="T1059" s="18"/>
      <c r="U10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59" s="19">
        <f>IF(AUDITORIA[[#This Row],[CAT]]="",0,1)</f>
        <v>1</v>
      </c>
      <c r="W1059" s="20">
        <v>46170</v>
      </c>
      <c r="X1059" s="21" t="str">
        <f>UPPER(IF(AUDITORIA[[#This Row],[DATA VERIFICAÇÃO]]="","",TEXT(AUDITORIA[[#This Row],[DATA VERIFICAÇÃO]],"mmm")))</f>
        <v>MAI</v>
      </c>
      <c r="Y1059" t="s">
        <v>598</v>
      </c>
      <c r="Z1059" t="s">
        <v>830</v>
      </c>
      <c r="AA1059" t="s">
        <v>600</v>
      </c>
    </row>
    <row r="1060" spans="1:27" ht="14.4" hidden="1" customHeight="1" x14ac:dyDescent="0.3">
      <c r="A1060" s="4" t="s">
        <v>279</v>
      </c>
      <c r="B1060" s="4" t="s">
        <v>17</v>
      </c>
      <c r="C1060" s="16" t="s">
        <v>18</v>
      </c>
      <c r="D1060" s="4">
        <v>11</v>
      </c>
      <c r="E1060" s="4" t="s">
        <v>745</v>
      </c>
      <c r="F1060" t="s">
        <v>321</v>
      </c>
      <c r="G1060" t="s">
        <v>106</v>
      </c>
      <c r="J1060" s="4" t="s">
        <v>19</v>
      </c>
      <c r="K1060" s="4" t="s">
        <v>20</v>
      </c>
      <c r="L1060" s="4" t="s">
        <v>742</v>
      </c>
      <c r="M1060" s="17">
        <v>30</v>
      </c>
      <c r="N1060" s="17">
        <v>830</v>
      </c>
      <c r="O1060" s="18" t="s">
        <v>19</v>
      </c>
      <c r="P1060" s="18">
        <v>830</v>
      </c>
      <c r="Q1060" s="18">
        <v>30</v>
      </c>
      <c r="R1060" s="18"/>
      <c r="S1060" s="18"/>
      <c r="T1060" s="18"/>
      <c r="U10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60" s="19">
        <f>IF(AUDITORIA[[#This Row],[CAT]]="",0,1)</f>
        <v>1</v>
      </c>
      <c r="W1060" s="20">
        <v>46170</v>
      </c>
      <c r="X1060" s="21" t="str">
        <f>UPPER(IF(AUDITORIA[[#This Row],[DATA VERIFICAÇÃO]]="","",TEXT(AUDITORIA[[#This Row],[DATA VERIFICAÇÃO]],"mmm")))</f>
        <v>MAI</v>
      </c>
      <c r="Y1060" t="s">
        <v>598</v>
      </c>
      <c r="Z1060" t="s">
        <v>830</v>
      </c>
      <c r="AA1060" t="s">
        <v>600</v>
      </c>
    </row>
    <row r="1061" spans="1:27" ht="14.4" hidden="1" customHeight="1" x14ac:dyDescent="0.3">
      <c r="A1061" s="4" t="s">
        <v>279</v>
      </c>
      <c r="B1061" s="4" t="s">
        <v>17</v>
      </c>
      <c r="C1061" s="16" t="s">
        <v>18</v>
      </c>
      <c r="D1061" s="4">
        <v>11</v>
      </c>
      <c r="E1061" s="4" t="s">
        <v>745</v>
      </c>
      <c r="F1061" t="s">
        <v>318</v>
      </c>
      <c r="G1061" t="s">
        <v>106</v>
      </c>
      <c r="J1061" s="4" t="s">
        <v>19</v>
      </c>
      <c r="K1061" s="4" t="s">
        <v>20</v>
      </c>
      <c r="L1061" s="4" t="s">
        <v>742</v>
      </c>
      <c r="M1061" s="17">
        <v>30</v>
      </c>
      <c r="N1061" s="17">
        <v>846</v>
      </c>
      <c r="O1061" s="18" t="s">
        <v>19</v>
      </c>
      <c r="P1061" s="18">
        <v>846</v>
      </c>
      <c r="Q1061" s="18">
        <v>30</v>
      </c>
      <c r="R1061" s="18"/>
      <c r="S1061" s="18"/>
      <c r="T1061" s="18"/>
      <c r="U10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61" s="19">
        <f>IF(AUDITORIA[[#This Row],[CAT]]="",0,1)</f>
        <v>1</v>
      </c>
      <c r="W1061" s="20">
        <v>46170</v>
      </c>
      <c r="X1061" s="21" t="str">
        <f>UPPER(IF(AUDITORIA[[#This Row],[DATA VERIFICAÇÃO]]="","",TEXT(AUDITORIA[[#This Row],[DATA VERIFICAÇÃO]],"mmm")))</f>
        <v>MAI</v>
      </c>
      <c r="Y1061" t="s">
        <v>598</v>
      </c>
      <c r="Z1061" t="s">
        <v>830</v>
      </c>
      <c r="AA1061" t="s">
        <v>600</v>
      </c>
    </row>
    <row r="1062" spans="1:27" ht="14.4" hidden="1" customHeight="1" x14ac:dyDescent="0.3">
      <c r="A1062" s="4" t="s">
        <v>279</v>
      </c>
      <c r="B1062" s="4" t="s">
        <v>17</v>
      </c>
      <c r="C1062" s="16" t="s">
        <v>18</v>
      </c>
      <c r="D1062" s="4">
        <v>11</v>
      </c>
      <c r="E1062" s="4" t="s">
        <v>745</v>
      </c>
      <c r="F1062" t="s">
        <v>315</v>
      </c>
      <c r="G1062" t="s">
        <v>106</v>
      </c>
      <c r="J1062" s="4" t="s">
        <v>19</v>
      </c>
      <c r="K1062" s="4" t="s">
        <v>20</v>
      </c>
      <c r="L1062" s="4" t="s">
        <v>742</v>
      </c>
      <c r="M1062" s="17">
        <v>30</v>
      </c>
      <c r="N1062" s="17">
        <v>841</v>
      </c>
      <c r="O1062" s="18" t="s">
        <v>19</v>
      </c>
      <c r="P1062" s="18">
        <v>841</v>
      </c>
      <c r="Q1062" s="18">
        <v>30</v>
      </c>
      <c r="R1062" s="18"/>
      <c r="S1062" s="18"/>
      <c r="T1062" s="18"/>
      <c r="U10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62" s="19">
        <f>IF(AUDITORIA[[#This Row],[CAT]]="",0,1)</f>
        <v>1</v>
      </c>
      <c r="W1062" s="20">
        <v>46170</v>
      </c>
      <c r="X1062" s="21" t="str">
        <f>UPPER(IF(AUDITORIA[[#This Row],[DATA VERIFICAÇÃO]]="","",TEXT(AUDITORIA[[#This Row],[DATA VERIFICAÇÃO]],"mmm")))</f>
        <v>MAI</v>
      </c>
      <c r="Y1062" t="s">
        <v>598</v>
      </c>
      <c r="Z1062" t="s">
        <v>830</v>
      </c>
      <c r="AA1062" t="s">
        <v>600</v>
      </c>
    </row>
    <row r="1063" spans="1:27" ht="14.4" hidden="1" customHeight="1" x14ac:dyDescent="0.3">
      <c r="A1063" s="4" t="s">
        <v>279</v>
      </c>
      <c r="B1063" s="4" t="s">
        <v>17</v>
      </c>
      <c r="C1063" s="16" t="s">
        <v>18</v>
      </c>
      <c r="D1063" s="4">
        <v>11</v>
      </c>
      <c r="E1063" s="4" t="s">
        <v>745</v>
      </c>
      <c r="F1063" t="s">
        <v>311</v>
      </c>
      <c r="G1063" t="s">
        <v>106</v>
      </c>
      <c r="J1063" s="4" t="s">
        <v>19</v>
      </c>
      <c r="K1063" s="4" t="s">
        <v>20</v>
      </c>
      <c r="L1063" s="4" t="s">
        <v>742</v>
      </c>
      <c r="M1063" s="17">
        <v>30</v>
      </c>
      <c r="N1063" s="17">
        <v>857</v>
      </c>
      <c r="O1063" s="18" t="s">
        <v>19</v>
      </c>
      <c r="P1063" s="18">
        <v>857</v>
      </c>
      <c r="Q1063" s="18">
        <v>30</v>
      </c>
      <c r="R1063" s="18"/>
      <c r="S1063" s="18"/>
      <c r="T1063" s="18"/>
      <c r="U10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63" s="19">
        <f>IF(AUDITORIA[[#This Row],[CAT]]="",0,1)</f>
        <v>1</v>
      </c>
      <c r="W1063" s="20">
        <v>46170</v>
      </c>
      <c r="X1063" s="21" t="str">
        <f>UPPER(IF(AUDITORIA[[#This Row],[DATA VERIFICAÇÃO]]="","",TEXT(AUDITORIA[[#This Row],[DATA VERIFICAÇÃO]],"mmm")))</f>
        <v>MAI</v>
      </c>
      <c r="Y1063" t="s">
        <v>598</v>
      </c>
      <c r="Z1063" t="s">
        <v>830</v>
      </c>
      <c r="AA1063" t="s">
        <v>600</v>
      </c>
    </row>
    <row r="1064" spans="1:27" ht="14.4" hidden="1" customHeight="1" x14ac:dyDescent="0.3">
      <c r="A1064" s="4" t="s">
        <v>279</v>
      </c>
      <c r="B1064" s="4" t="s">
        <v>17</v>
      </c>
      <c r="C1064" s="16" t="s">
        <v>18</v>
      </c>
      <c r="D1064" s="4">
        <v>11</v>
      </c>
      <c r="E1064" s="4" t="s">
        <v>745</v>
      </c>
      <c r="F1064" t="s">
        <v>307</v>
      </c>
      <c r="G1064" t="s">
        <v>106</v>
      </c>
      <c r="J1064" s="4" t="s">
        <v>19</v>
      </c>
      <c r="K1064" s="4" t="s">
        <v>20</v>
      </c>
      <c r="L1064" s="4" t="s">
        <v>742</v>
      </c>
      <c r="M1064" s="17">
        <v>30</v>
      </c>
      <c r="N1064" s="17">
        <v>858</v>
      </c>
      <c r="O1064" s="18" t="s">
        <v>19</v>
      </c>
      <c r="P1064" s="18">
        <v>858</v>
      </c>
      <c r="Q1064" s="18">
        <v>30</v>
      </c>
      <c r="R1064" s="18"/>
      <c r="S1064" s="18"/>
      <c r="T1064" s="18"/>
      <c r="U10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64" s="19">
        <f>IF(AUDITORIA[[#This Row],[CAT]]="",0,1)</f>
        <v>1</v>
      </c>
      <c r="W1064" s="20">
        <v>46170</v>
      </c>
      <c r="X1064" s="21" t="str">
        <f>UPPER(IF(AUDITORIA[[#This Row],[DATA VERIFICAÇÃO]]="","",TEXT(AUDITORIA[[#This Row],[DATA VERIFICAÇÃO]],"mmm")))</f>
        <v>MAI</v>
      </c>
      <c r="Y1064" t="s">
        <v>598</v>
      </c>
      <c r="Z1064" t="s">
        <v>830</v>
      </c>
      <c r="AA1064" t="s">
        <v>600</v>
      </c>
    </row>
    <row r="1065" spans="1:27" ht="14.4" hidden="1" customHeight="1" x14ac:dyDescent="0.3">
      <c r="A1065" s="4" t="s">
        <v>279</v>
      </c>
      <c r="B1065" s="4" t="s">
        <v>17</v>
      </c>
      <c r="C1065" s="16" t="s">
        <v>18</v>
      </c>
      <c r="D1065" s="4">
        <v>11</v>
      </c>
      <c r="E1065" s="4" t="s">
        <v>745</v>
      </c>
      <c r="F1065" t="s">
        <v>305</v>
      </c>
      <c r="G1065" t="s">
        <v>106</v>
      </c>
      <c r="J1065" s="4" t="s">
        <v>19</v>
      </c>
      <c r="K1065" s="4" t="s">
        <v>20</v>
      </c>
      <c r="L1065" s="4" t="s">
        <v>742</v>
      </c>
      <c r="M1065" s="17">
        <v>30</v>
      </c>
      <c r="N1065" s="17">
        <v>852</v>
      </c>
      <c r="O1065" s="18" t="s">
        <v>19</v>
      </c>
      <c r="P1065" s="18">
        <v>852</v>
      </c>
      <c r="Q1065" s="18">
        <v>30</v>
      </c>
      <c r="R1065" s="18"/>
      <c r="S1065" s="18"/>
      <c r="T1065" s="18"/>
      <c r="U10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65" s="19">
        <f>IF(AUDITORIA[[#This Row],[CAT]]="",0,1)</f>
        <v>1</v>
      </c>
      <c r="W1065" s="20">
        <v>46170</v>
      </c>
      <c r="X1065" s="21" t="str">
        <f>UPPER(IF(AUDITORIA[[#This Row],[DATA VERIFICAÇÃO]]="","",TEXT(AUDITORIA[[#This Row],[DATA VERIFICAÇÃO]],"mmm")))</f>
        <v>MAI</v>
      </c>
      <c r="Y1065" t="s">
        <v>598</v>
      </c>
      <c r="Z1065" t="s">
        <v>830</v>
      </c>
      <c r="AA1065" t="s">
        <v>600</v>
      </c>
    </row>
    <row r="1066" spans="1:27" ht="14.4" hidden="1" customHeight="1" x14ac:dyDescent="0.3">
      <c r="A1066" s="4" t="s">
        <v>279</v>
      </c>
      <c r="B1066" s="4" t="s">
        <v>17</v>
      </c>
      <c r="C1066" s="16" t="s">
        <v>18</v>
      </c>
      <c r="D1066" s="4">
        <v>11</v>
      </c>
      <c r="E1066" s="4" t="s">
        <v>745</v>
      </c>
      <c r="F1066" t="s">
        <v>300</v>
      </c>
      <c r="G1066" t="s">
        <v>106</v>
      </c>
      <c r="J1066" s="4" t="s">
        <v>19</v>
      </c>
      <c r="K1066" s="4" t="s">
        <v>20</v>
      </c>
      <c r="L1066" s="4" t="s">
        <v>742</v>
      </c>
      <c r="M1066" s="17">
        <v>30</v>
      </c>
      <c r="N1066" s="17">
        <v>854</v>
      </c>
      <c r="O1066" s="18" t="s">
        <v>19</v>
      </c>
      <c r="P1066" s="18">
        <v>854</v>
      </c>
      <c r="Q1066" s="18">
        <v>30</v>
      </c>
      <c r="R1066" s="18"/>
      <c r="S1066" s="18"/>
      <c r="T1066" s="18"/>
      <c r="U10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66" s="19">
        <f>IF(AUDITORIA[[#This Row],[CAT]]="",0,1)</f>
        <v>1</v>
      </c>
      <c r="W1066" s="20">
        <v>46170</v>
      </c>
      <c r="X1066" s="21" t="str">
        <f>UPPER(IF(AUDITORIA[[#This Row],[DATA VERIFICAÇÃO]]="","",TEXT(AUDITORIA[[#This Row],[DATA VERIFICAÇÃO]],"mmm")))</f>
        <v>MAI</v>
      </c>
      <c r="Y1066" t="s">
        <v>598</v>
      </c>
      <c r="Z1066" t="s">
        <v>830</v>
      </c>
      <c r="AA1066" t="s">
        <v>600</v>
      </c>
    </row>
    <row r="1067" spans="1:27" ht="14.4" hidden="1" customHeight="1" x14ac:dyDescent="0.3">
      <c r="A1067" s="4" t="s">
        <v>279</v>
      </c>
      <c r="B1067" s="4" t="s">
        <v>17</v>
      </c>
      <c r="C1067" s="16" t="s">
        <v>18</v>
      </c>
      <c r="D1067" s="4">
        <v>11</v>
      </c>
      <c r="E1067" s="4" t="s">
        <v>745</v>
      </c>
      <c r="F1067" t="s">
        <v>296</v>
      </c>
      <c r="G1067" t="s">
        <v>106</v>
      </c>
      <c r="J1067" s="4" t="s">
        <v>19</v>
      </c>
      <c r="K1067" s="4" t="s">
        <v>20</v>
      </c>
      <c r="L1067" s="4" t="s">
        <v>742</v>
      </c>
      <c r="M1067" s="17">
        <v>30</v>
      </c>
      <c r="N1067" s="17">
        <v>863</v>
      </c>
      <c r="O1067" s="18" t="s">
        <v>19</v>
      </c>
      <c r="P1067" s="18">
        <v>863</v>
      </c>
      <c r="Q1067" s="18">
        <v>30</v>
      </c>
      <c r="R1067" s="18"/>
      <c r="S1067" s="18"/>
      <c r="T1067" s="18"/>
      <c r="U10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67" s="19">
        <f>IF(AUDITORIA[[#This Row],[CAT]]="",0,1)</f>
        <v>1</v>
      </c>
      <c r="W1067" s="20">
        <v>46170</v>
      </c>
      <c r="X1067" s="21" t="str">
        <f>UPPER(IF(AUDITORIA[[#This Row],[DATA VERIFICAÇÃO]]="","",TEXT(AUDITORIA[[#This Row],[DATA VERIFICAÇÃO]],"mmm")))</f>
        <v>MAI</v>
      </c>
      <c r="Y1067" t="s">
        <v>598</v>
      </c>
      <c r="Z1067" t="s">
        <v>830</v>
      </c>
      <c r="AA1067" t="s">
        <v>600</v>
      </c>
    </row>
    <row r="1068" spans="1:27" ht="14.4" hidden="1" customHeight="1" x14ac:dyDescent="0.3">
      <c r="A1068" s="4" t="s">
        <v>279</v>
      </c>
      <c r="B1068" s="4" t="s">
        <v>17</v>
      </c>
      <c r="C1068" s="16" t="s">
        <v>18</v>
      </c>
      <c r="D1068" s="4">
        <v>11</v>
      </c>
      <c r="E1068" s="4" t="s">
        <v>745</v>
      </c>
      <c r="F1068" t="s">
        <v>294</v>
      </c>
      <c r="G1068" t="s">
        <v>106</v>
      </c>
      <c r="J1068" s="4" t="s">
        <v>19</v>
      </c>
      <c r="K1068" s="4" t="s">
        <v>20</v>
      </c>
      <c r="L1068" s="4" t="s">
        <v>742</v>
      </c>
      <c r="M1068" s="17">
        <v>30</v>
      </c>
      <c r="N1068" s="17">
        <v>844</v>
      </c>
      <c r="O1068" s="18" t="s">
        <v>19</v>
      </c>
      <c r="P1068" s="18">
        <v>844</v>
      </c>
      <c r="Q1068" s="18">
        <v>30</v>
      </c>
      <c r="R1068" s="18"/>
      <c r="S1068" s="18"/>
      <c r="T1068" s="18"/>
      <c r="U10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68" s="19">
        <f>IF(AUDITORIA[[#This Row],[CAT]]="",0,1)</f>
        <v>1</v>
      </c>
      <c r="W1068" s="20">
        <v>46170</v>
      </c>
      <c r="X1068" s="21" t="str">
        <f>UPPER(IF(AUDITORIA[[#This Row],[DATA VERIFICAÇÃO]]="","",TEXT(AUDITORIA[[#This Row],[DATA VERIFICAÇÃO]],"mmm")))</f>
        <v>MAI</v>
      </c>
      <c r="Y1068" t="s">
        <v>598</v>
      </c>
      <c r="Z1068" t="s">
        <v>830</v>
      </c>
      <c r="AA1068" t="s">
        <v>600</v>
      </c>
    </row>
    <row r="1069" spans="1:27" ht="14.4" hidden="1" customHeight="1" x14ac:dyDescent="0.3">
      <c r="A1069" s="4" t="s">
        <v>279</v>
      </c>
      <c r="B1069" s="4" t="s">
        <v>17</v>
      </c>
      <c r="C1069" s="16" t="s">
        <v>18</v>
      </c>
      <c r="D1069" s="4">
        <v>11</v>
      </c>
      <c r="E1069" s="4" t="s">
        <v>745</v>
      </c>
      <c r="F1069" t="s">
        <v>287</v>
      </c>
      <c r="G1069" t="s">
        <v>106</v>
      </c>
      <c r="J1069" s="4" t="s">
        <v>19</v>
      </c>
      <c r="K1069" s="4" t="s">
        <v>20</v>
      </c>
      <c r="L1069" s="4" t="s">
        <v>742</v>
      </c>
      <c r="M1069" s="17">
        <v>30</v>
      </c>
      <c r="N1069" s="17">
        <v>857</v>
      </c>
      <c r="O1069" s="18" t="s">
        <v>19</v>
      </c>
      <c r="P1069" s="18">
        <v>857</v>
      </c>
      <c r="Q1069" s="18">
        <v>30</v>
      </c>
      <c r="R1069" s="18"/>
      <c r="S1069" s="18"/>
      <c r="T1069" s="18"/>
      <c r="U10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69" s="19">
        <f>IF(AUDITORIA[[#This Row],[CAT]]="",0,1)</f>
        <v>1</v>
      </c>
      <c r="W1069" s="20">
        <v>46170</v>
      </c>
      <c r="X1069" s="21" t="str">
        <f>UPPER(IF(AUDITORIA[[#This Row],[DATA VERIFICAÇÃO]]="","",TEXT(AUDITORIA[[#This Row],[DATA VERIFICAÇÃO]],"mmm")))</f>
        <v>MAI</v>
      </c>
      <c r="Y1069" t="s">
        <v>598</v>
      </c>
      <c r="Z1069" t="s">
        <v>830</v>
      </c>
      <c r="AA1069" t="s">
        <v>600</v>
      </c>
    </row>
    <row r="1070" spans="1:27" ht="14.4" hidden="1" customHeight="1" x14ac:dyDescent="0.3">
      <c r="A1070" s="4" t="s">
        <v>279</v>
      </c>
      <c r="B1070" s="4" t="s">
        <v>17</v>
      </c>
      <c r="C1070" s="16" t="s">
        <v>18</v>
      </c>
      <c r="D1070" s="4">
        <v>11</v>
      </c>
      <c r="E1070" s="4" t="s">
        <v>745</v>
      </c>
      <c r="F1070" t="s">
        <v>286</v>
      </c>
      <c r="G1070" t="s">
        <v>106</v>
      </c>
      <c r="J1070" s="4" t="s">
        <v>19</v>
      </c>
      <c r="K1070" s="4" t="s">
        <v>20</v>
      </c>
      <c r="L1070" s="4" t="s">
        <v>742</v>
      </c>
      <c r="M1070" s="17">
        <v>30</v>
      </c>
      <c r="N1070" s="17">
        <v>833</v>
      </c>
      <c r="O1070" s="18" t="s">
        <v>19</v>
      </c>
      <c r="P1070" s="18">
        <v>833</v>
      </c>
      <c r="Q1070" s="18">
        <v>30</v>
      </c>
      <c r="R1070" s="18"/>
      <c r="S1070" s="18"/>
      <c r="T1070" s="18"/>
      <c r="U10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70" s="19">
        <f>IF(AUDITORIA[[#This Row],[CAT]]="",0,1)</f>
        <v>1</v>
      </c>
      <c r="W1070" s="20">
        <v>46170</v>
      </c>
      <c r="X1070" s="21" t="str">
        <f>UPPER(IF(AUDITORIA[[#This Row],[DATA VERIFICAÇÃO]]="","",TEXT(AUDITORIA[[#This Row],[DATA VERIFICAÇÃO]],"mmm")))</f>
        <v>MAI</v>
      </c>
      <c r="Y1070" t="s">
        <v>598</v>
      </c>
      <c r="Z1070" t="s">
        <v>830</v>
      </c>
      <c r="AA1070" t="s">
        <v>600</v>
      </c>
    </row>
    <row r="1071" spans="1:27" ht="14.4" hidden="1" customHeight="1" x14ac:dyDescent="0.3">
      <c r="A1071" s="4" t="s">
        <v>279</v>
      </c>
      <c r="B1071" s="4" t="s">
        <v>17</v>
      </c>
      <c r="C1071" s="16" t="s">
        <v>18</v>
      </c>
      <c r="D1071" s="4">
        <v>11</v>
      </c>
      <c r="E1071" s="4" t="s">
        <v>745</v>
      </c>
      <c r="F1071" t="s">
        <v>285</v>
      </c>
      <c r="G1071" t="s">
        <v>106</v>
      </c>
      <c r="J1071" s="4" t="s">
        <v>19</v>
      </c>
      <c r="K1071" s="4" t="s">
        <v>20</v>
      </c>
      <c r="L1071" s="4" t="s">
        <v>742</v>
      </c>
      <c r="M1071" s="17">
        <v>30</v>
      </c>
      <c r="N1071" s="17">
        <v>862</v>
      </c>
      <c r="O1071" s="18" t="s">
        <v>19</v>
      </c>
      <c r="P1071" s="18">
        <v>862</v>
      </c>
      <c r="Q1071" s="18">
        <v>30</v>
      </c>
      <c r="R1071" s="18"/>
      <c r="S1071" s="18"/>
      <c r="T1071" s="18"/>
      <c r="U10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71" s="19">
        <f>IF(AUDITORIA[[#This Row],[CAT]]="",0,1)</f>
        <v>1</v>
      </c>
      <c r="W1071" s="20">
        <v>46170</v>
      </c>
      <c r="X1071" s="21" t="str">
        <f>UPPER(IF(AUDITORIA[[#This Row],[DATA VERIFICAÇÃO]]="","",TEXT(AUDITORIA[[#This Row],[DATA VERIFICAÇÃO]],"mmm")))</f>
        <v>MAI</v>
      </c>
      <c r="Y1071" t="s">
        <v>598</v>
      </c>
      <c r="Z1071" t="s">
        <v>830</v>
      </c>
      <c r="AA1071" t="s">
        <v>600</v>
      </c>
    </row>
    <row r="1072" spans="1:27" ht="14.4" hidden="1" customHeight="1" x14ac:dyDescent="0.3">
      <c r="A1072" s="4" t="s">
        <v>279</v>
      </c>
      <c r="B1072" s="4" t="s">
        <v>17</v>
      </c>
      <c r="C1072" s="16" t="s">
        <v>18</v>
      </c>
      <c r="D1072" s="4">
        <v>11</v>
      </c>
      <c r="E1072" s="4" t="s">
        <v>745</v>
      </c>
      <c r="F1072" t="s">
        <v>502</v>
      </c>
      <c r="G1072" t="s">
        <v>106</v>
      </c>
      <c r="J1072" s="4" t="s">
        <v>19</v>
      </c>
      <c r="K1072" s="4" t="s">
        <v>20</v>
      </c>
      <c r="L1072" s="4" t="s">
        <v>742</v>
      </c>
      <c r="M1072" s="17">
        <v>30</v>
      </c>
      <c r="N1072" s="17">
        <v>830</v>
      </c>
      <c r="O1072" s="18" t="s">
        <v>19</v>
      </c>
      <c r="P1072" s="18">
        <v>830</v>
      </c>
      <c r="Q1072" s="18">
        <v>30</v>
      </c>
      <c r="R1072" s="18"/>
      <c r="S1072" s="18"/>
      <c r="T1072" s="18"/>
      <c r="U10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72" s="19">
        <f>IF(AUDITORIA[[#This Row],[CAT]]="",0,1)</f>
        <v>1</v>
      </c>
      <c r="W1072" s="20">
        <v>46170</v>
      </c>
      <c r="X1072" s="21" t="str">
        <f>UPPER(IF(AUDITORIA[[#This Row],[DATA VERIFICAÇÃO]]="","",TEXT(AUDITORIA[[#This Row],[DATA VERIFICAÇÃO]],"mmm")))</f>
        <v>MAI</v>
      </c>
      <c r="Y1072" t="s">
        <v>598</v>
      </c>
      <c r="Z1072" t="s">
        <v>830</v>
      </c>
      <c r="AA1072" t="s">
        <v>600</v>
      </c>
    </row>
    <row r="1073" spans="1:27" ht="14.4" hidden="1" customHeight="1" x14ac:dyDescent="0.3">
      <c r="A1073" s="4" t="s">
        <v>279</v>
      </c>
      <c r="B1073" s="4" t="s">
        <v>17</v>
      </c>
      <c r="C1073" s="16" t="s">
        <v>18</v>
      </c>
      <c r="D1073" s="4">
        <v>11</v>
      </c>
      <c r="E1073" s="4" t="s">
        <v>745</v>
      </c>
      <c r="F1073" t="s">
        <v>500</v>
      </c>
      <c r="G1073" t="s">
        <v>106</v>
      </c>
      <c r="J1073" s="4" t="s">
        <v>19</v>
      </c>
      <c r="K1073" s="4" t="s">
        <v>20</v>
      </c>
      <c r="L1073" s="4" t="s">
        <v>742</v>
      </c>
      <c r="M1073" s="17">
        <v>30</v>
      </c>
      <c r="N1073" s="17">
        <v>830</v>
      </c>
      <c r="O1073" s="18" t="s">
        <v>19</v>
      </c>
      <c r="P1073" s="18">
        <v>830</v>
      </c>
      <c r="Q1073" s="18">
        <v>30</v>
      </c>
      <c r="R1073" s="18"/>
      <c r="S1073" s="18"/>
      <c r="T1073" s="18"/>
      <c r="U10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73" s="19">
        <f>IF(AUDITORIA[[#This Row],[CAT]]="",0,1)</f>
        <v>1</v>
      </c>
      <c r="W1073" s="20">
        <v>46170</v>
      </c>
      <c r="X1073" s="21" t="str">
        <f>UPPER(IF(AUDITORIA[[#This Row],[DATA VERIFICAÇÃO]]="","",TEXT(AUDITORIA[[#This Row],[DATA VERIFICAÇÃO]],"mmm")))</f>
        <v>MAI</v>
      </c>
      <c r="Y1073" t="s">
        <v>598</v>
      </c>
      <c r="Z1073" t="s">
        <v>830</v>
      </c>
      <c r="AA1073" t="s">
        <v>600</v>
      </c>
    </row>
    <row r="1074" spans="1:27" ht="14.4" hidden="1" customHeight="1" x14ac:dyDescent="0.3">
      <c r="A1074" s="4" t="s">
        <v>279</v>
      </c>
      <c r="B1074" s="4" t="s">
        <v>17</v>
      </c>
      <c r="C1074" s="16" t="s">
        <v>18</v>
      </c>
      <c r="D1074" s="4">
        <v>11</v>
      </c>
      <c r="E1074" s="4" t="s">
        <v>745</v>
      </c>
      <c r="F1074" t="s">
        <v>507</v>
      </c>
      <c r="G1074" t="s">
        <v>106</v>
      </c>
      <c r="J1074" s="4" t="s">
        <v>19</v>
      </c>
      <c r="K1074" s="4" t="s">
        <v>20</v>
      </c>
      <c r="L1074" s="4" t="s">
        <v>742</v>
      </c>
      <c r="M1074" s="17">
        <v>30</v>
      </c>
      <c r="N1074" s="17">
        <v>839</v>
      </c>
      <c r="O1074" s="18" t="s">
        <v>19</v>
      </c>
      <c r="P1074" s="18">
        <v>839</v>
      </c>
      <c r="Q1074" s="18">
        <v>30</v>
      </c>
      <c r="R1074" s="18"/>
      <c r="S1074" s="18"/>
      <c r="T1074" s="18"/>
      <c r="U10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74" s="19">
        <f>IF(AUDITORIA[[#This Row],[CAT]]="",0,1)</f>
        <v>1</v>
      </c>
      <c r="W1074" s="20">
        <v>46170</v>
      </c>
      <c r="X1074" s="21" t="str">
        <f>UPPER(IF(AUDITORIA[[#This Row],[DATA VERIFICAÇÃO]]="","",TEXT(AUDITORIA[[#This Row],[DATA VERIFICAÇÃO]],"mmm")))</f>
        <v>MAI</v>
      </c>
      <c r="Y1074" t="s">
        <v>598</v>
      </c>
      <c r="Z1074" t="s">
        <v>830</v>
      </c>
      <c r="AA1074" t="s">
        <v>600</v>
      </c>
    </row>
    <row r="1075" spans="1:27" ht="14.4" customHeight="1" x14ac:dyDescent="0.3">
      <c r="A1075" s="4" t="s">
        <v>279</v>
      </c>
      <c r="B1075" s="4" t="s">
        <v>17</v>
      </c>
      <c r="C1075" s="16" t="s">
        <v>18</v>
      </c>
      <c r="D1075" s="4">
        <v>11</v>
      </c>
      <c r="E1075" s="4" t="s">
        <v>745</v>
      </c>
      <c r="F1075" t="s">
        <v>506</v>
      </c>
      <c r="G1075" t="s">
        <v>106</v>
      </c>
      <c r="J1075" s="4" t="s">
        <v>19</v>
      </c>
      <c r="K1075" s="4" t="s">
        <v>20</v>
      </c>
      <c r="L1075" s="4" t="s">
        <v>742</v>
      </c>
      <c r="M1075" s="17">
        <v>30</v>
      </c>
      <c r="N1075" s="17">
        <v>845</v>
      </c>
      <c r="O1075" s="18" t="s">
        <v>19</v>
      </c>
      <c r="P1075" s="18">
        <v>845</v>
      </c>
      <c r="Q1075" s="18">
        <v>30</v>
      </c>
      <c r="R1075" s="18"/>
      <c r="S1075" s="18"/>
      <c r="T1075" s="18"/>
      <c r="U10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75" s="19">
        <f>IF(AUDITORIA[[#This Row],[CAT]]="",0,1)</f>
        <v>1</v>
      </c>
      <c r="W1075" s="20">
        <v>46170</v>
      </c>
      <c r="X1075" s="21" t="str">
        <f>UPPER(IF(AUDITORIA[[#This Row],[DATA VERIFICAÇÃO]]="","",TEXT(AUDITORIA[[#This Row],[DATA VERIFICAÇÃO]],"mmm")))</f>
        <v>MAI</v>
      </c>
      <c r="Y1075" t="s">
        <v>598</v>
      </c>
      <c r="Z1075" t="s">
        <v>830</v>
      </c>
      <c r="AA1075" t="s">
        <v>600</v>
      </c>
    </row>
    <row r="1076" spans="1:27" ht="14.4" customHeight="1" x14ac:dyDescent="0.3">
      <c r="A1076" s="4" t="s">
        <v>279</v>
      </c>
      <c r="B1076" s="4" t="s">
        <v>17</v>
      </c>
      <c r="C1076" s="16" t="s">
        <v>18</v>
      </c>
      <c r="D1076" s="4">
        <v>11</v>
      </c>
      <c r="E1076" s="4" t="s">
        <v>745</v>
      </c>
      <c r="F1076" t="s">
        <v>503</v>
      </c>
      <c r="G1076" t="s">
        <v>106</v>
      </c>
      <c r="J1076" s="4" t="s">
        <v>19</v>
      </c>
      <c r="K1076" s="4" t="s">
        <v>20</v>
      </c>
      <c r="L1076" s="4" t="s">
        <v>742</v>
      </c>
      <c r="M1076" s="17">
        <v>30</v>
      </c>
      <c r="N1076" s="17">
        <v>851</v>
      </c>
      <c r="O1076" s="18" t="s">
        <v>19</v>
      </c>
      <c r="P1076" s="18">
        <v>851</v>
      </c>
      <c r="Q1076" s="18">
        <v>30</v>
      </c>
      <c r="R1076" s="18"/>
      <c r="S1076" s="18"/>
      <c r="T1076" s="18"/>
      <c r="U10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76" s="19">
        <f>IF(AUDITORIA[[#This Row],[CAT]]="",0,1)</f>
        <v>1</v>
      </c>
      <c r="W1076" s="20">
        <v>46170</v>
      </c>
      <c r="X1076" s="21" t="str">
        <f>UPPER(IF(AUDITORIA[[#This Row],[DATA VERIFICAÇÃO]]="","",TEXT(AUDITORIA[[#This Row],[DATA VERIFICAÇÃO]],"mmm")))</f>
        <v>MAI</v>
      </c>
      <c r="Y1076" t="s">
        <v>598</v>
      </c>
      <c r="Z1076" t="s">
        <v>830</v>
      </c>
      <c r="AA1076" t="s">
        <v>600</v>
      </c>
    </row>
    <row r="1077" spans="1:27" ht="14.4" customHeight="1" x14ac:dyDescent="0.3">
      <c r="A1077" s="4" t="s">
        <v>279</v>
      </c>
      <c r="B1077" s="4" t="s">
        <v>17</v>
      </c>
      <c r="C1077" s="16" t="s">
        <v>18</v>
      </c>
      <c r="D1077" s="4">
        <v>11</v>
      </c>
      <c r="E1077" s="4" t="s">
        <v>745</v>
      </c>
      <c r="F1077" t="s">
        <v>512</v>
      </c>
      <c r="G1077" t="s">
        <v>106</v>
      </c>
      <c r="J1077" s="4" t="s">
        <v>19</v>
      </c>
      <c r="K1077" s="4" t="s">
        <v>20</v>
      </c>
      <c r="L1077" s="4" t="s">
        <v>742</v>
      </c>
      <c r="M1077" s="17">
        <v>30</v>
      </c>
      <c r="N1077" s="17">
        <v>857</v>
      </c>
      <c r="O1077" s="18" t="s">
        <v>19</v>
      </c>
      <c r="P1077" s="18">
        <v>857</v>
      </c>
      <c r="Q1077" s="18">
        <v>30</v>
      </c>
      <c r="R1077" s="18"/>
      <c r="S1077" s="18"/>
      <c r="T1077" s="18"/>
      <c r="U10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77" s="19">
        <f>IF(AUDITORIA[[#This Row],[CAT]]="",0,1)</f>
        <v>1</v>
      </c>
      <c r="W1077" s="20">
        <v>46170</v>
      </c>
      <c r="X1077" s="21" t="str">
        <f>UPPER(IF(AUDITORIA[[#This Row],[DATA VERIFICAÇÃO]]="","",TEXT(AUDITORIA[[#This Row],[DATA VERIFICAÇÃO]],"mmm")))</f>
        <v>MAI</v>
      </c>
      <c r="Y1077" t="s">
        <v>598</v>
      </c>
      <c r="Z1077" t="s">
        <v>830</v>
      </c>
      <c r="AA1077" t="s">
        <v>600</v>
      </c>
    </row>
    <row r="1078" spans="1:27" ht="14.4" hidden="1" customHeight="1" x14ac:dyDescent="0.3">
      <c r="A1078" s="4" t="s">
        <v>279</v>
      </c>
      <c r="B1078" s="4" t="s">
        <v>17</v>
      </c>
      <c r="C1078" s="16" t="s">
        <v>18</v>
      </c>
      <c r="D1078" s="4">
        <v>11</v>
      </c>
      <c r="E1078" s="4" t="s">
        <v>745</v>
      </c>
      <c r="F1078" t="s">
        <v>518</v>
      </c>
      <c r="G1078" t="s">
        <v>106</v>
      </c>
      <c r="J1078" s="4" t="s">
        <v>19</v>
      </c>
      <c r="K1078" s="4" t="s">
        <v>20</v>
      </c>
      <c r="L1078" s="4" t="s">
        <v>742</v>
      </c>
      <c r="M1078" s="17">
        <v>29</v>
      </c>
      <c r="N1078" s="17">
        <v>864</v>
      </c>
      <c r="O1078" s="18" t="s">
        <v>19</v>
      </c>
      <c r="P1078" s="18">
        <v>864</v>
      </c>
      <c r="Q1078" s="18">
        <v>29</v>
      </c>
      <c r="R1078" s="18"/>
      <c r="S1078" s="18"/>
      <c r="T1078" s="18"/>
      <c r="U10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78" s="19">
        <f>IF(AUDITORIA[[#This Row],[CAT]]="",0,1)</f>
        <v>1</v>
      </c>
      <c r="W1078" s="20">
        <v>46170</v>
      </c>
      <c r="X1078" s="21" t="str">
        <f>UPPER(IF(AUDITORIA[[#This Row],[DATA VERIFICAÇÃO]]="","",TEXT(AUDITORIA[[#This Row],[DATA VERIFICAÇÃO]],"mmm")))</f>
        <v>MAI</v>
      </c>
      <c r="Y1078" t="s">
        <v>598</v>
      </c>
      <c r="Z1078" t="s">
        <v>830</v>
      </c>
      <c r="AA1078" t="s">
        <v>600</v>
      </c>
    </row>
    <row r="1079" spans="1:27" ht="14.4" hidden="1" customHeight="1" x14ac:dyDescent="0.3">
      <c r="A1079" s="4" t="s">
        <v>279</v>
      </c>
      <c r="B1079" s="4" t="s">
        <v>17</v>
      </c>
      <c r="C1079" s="16" t="s">
        <v>18</v>
      </c>
      <c r="D1079" s="4">
        <v>11</v>
      </c>
      <c r="E1079" s="4" t="s">
        <v>745</v>
      </c>
      <c r="F1079" t="s">
        <v>366</v>
      </c>
      <c r="G1079" t="s">
        <v>106</v>
      </c>
      <c r="J1079" s="4" t="s">
        <v>19</v>
      </c>
      <c r="K1079" s="4" t="s">
        <v>21</v>
      </c>
      <c r="L1079" s="4" t="s">
        <v>742</v>
      </c>
      <c r="M1079" s="17">
        <v>24</v>
      </c>
      <c r="N1079" s="17">
        <v>1029</v>
      </c>
      <c r="O1079" s="18" t="s">
        <v>19</v>
      </c>
      <c r="P1079" s="18">
        <v>1029</v>
      </c>
      <c r="Q1079" s="18">
        <v>24</v>
      </c>
      <c r="R1079" s="18"/>
      <c r="S1079" s="18"/>
      <c r="T1079" s="18"/>
      <c r="U10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79" s="19">
        <f>IF(AUDITORIA[[#This Row],[CAT]]="",0,1)</f>
        <v>1</v>
      </c>
      <c r="W1079" s="20">
        <v>46170</v>
      </c>
      <c r="X1079" s="21" t="str">
        <f>UPPER(IF(AUDITORIA[[#This Row],[DATA VERIFICAÇÃO]]="","",TEXT(AUDITORIA[[#This Row],[DATA VERIFICAÇÃO]],"mmm")))</f>
        <v>MAI</v>
      </c>
      <c r="Y1079" t="s">
        <v>598</v>
      </c>
      <c r="Z1079" t="s">
        <v>830</v>
      </c>
      <c r="AA1079" t="s">
        <v>600</v>
      </c>
    </row>
    <row r="1080" spans="1:27" ht="14.4" hidden="1" customHeight="1" x14ac:dyDescent="0.3">
      <c r="A1080" s="4" t="s">
        <v>279</v>
      </c>
      <c r="B1080" s="4" t="s">
        <v>17</v>
      </c>
      <c r="C1080" s="16" t="s">
        <v>18</v>
      </c>
      <c r="D1080" s="4">
        <v>11</v>
      </c>
      <c r="E1080" s="4" t="s">
        <v>745</v>
      </c>
      <c r="F1080" t="s">
        <v>361</v>
      </c>
      <c r="G1080" t="s">
        <v>106</v>
      </c>
      <c r="J1080" s="4" t="s">
        <v>19</v>
      </c>
      <c r="K1080" s="4" t="s">
        <v>21</v>
      </c>
      <c r="L1080" s="4" t="s">
        <v>742</v>
      </c>
      <c r="M1080" s="17">
        <v>24</v>
      </c>
      <c r="N1080" s="17">
        <v>1030</v>
      </c>
      <c r="O1080" s="18" t="s">
        <v>19</v>
      </c>
      <c r="P1080" s="18">
        <v>1030</v>
      </c>
      <c r="Q1080" s="18">
        <v>24</v>
      </c>
      <c r="R1080" s="18"/>
      <c r="S1080" s="18"/>
      <c r="T1080" s="18"/>
      <c r="U10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80" s="19">
        <f>IF(AUDITORIA[[#This Row],[CAT]]="",0,1)</f>
        <v>1</v>
      </c>
      <c r="W1080" s="20">
        <v>46170</v>
      </c>
      <c r="X1080" s="21" t="str">
        <f>UPPER(IF(AUDITORIA[[#This Row],[DATA VERIFICAÇÃO]]="","",TEXT(AUDITORIA[[#This Row],[DATA VERIFICAÇÃO]],"mmm")))</f>
        <v>MAI</v>
      </c>
      <c r="Y1080" t="s">
        <v>598</v>
      </c>
      <c r="Z1080" t="s">
        <v>830</v>
      </c>
      <c r="AA1080" t="s">
        <v>600</v>
      </c>
    </row>
    <row r="1081" spans="1:27" ht="14.4" hidden="1" customHeight="1" x14ac:dyDescent="0.3">
      <c r="A1081" s="4" t="s">
        <v>279</v>
      </c>
      <c r="B1081" s="4" t="s">
        <v>17</v>
      </c>
      <c r="C1081" s="16" t="s">
        <v>18</v>
      </c>
      <c r="D1081" s="4">
        <v>11</v>
      </c>
      <c r="E1081" s="4" t="s">
        <v>745</v>
      </c>
      <c r="F1081" t="s">
        <v>359</v>
      </c>
      <c r="G1081" t="s">
        <v>106</v>
      </c>
      <c r="J1081" s="4" t="s">
        <v>19</v>
      </c>
      <c r="K1081" s="4" t="s">
        <v>21</v>
      </c>
      <c r="L1081" s="4" t="s">
        <v>742</v>
      </c>
      <c r="M1081" s="17">
        <v>24</v>
      </c>
      <c r="N1081" s="17">
        <v>1026</v>
      </c>
      <c r="O1081" s="18" t="s">
        <v>19</v>
      </c>
      <c r="P1081" s="18">
        <v>1026</v>
      </c>
      <c r="Q1081" s="18">
        <v>24</v>
      </c>
      <c r="R1081" s="18"/>
      <c r="S1081" s="18"/>
      <c r="T1081" s="18"/>
      <c r="U10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81" s="19">
        <f>IF(AUDITORIA[[#This Row],[CAT]]="",0,1)</f>
        <v>1</v>
      </c>
      <c r="W1081" s="20">
        <v>46170</v>
      </c>
      <c r="X1081" s="21" t="str">
        <f>UPPER(IF(AUDITORIA[[#This Row],[DATA VERIFICAÇÃO]]="","",TEXT(AUDITORIA[[#This Row],[DATA VERIFICAÇÃO]],"mmm")))</f>
        <v>MAI</v>
      </c>
      <c r="Y1081" t="s">
        <v>598</v>
      </c>
      <c r="Z1081" t="s">
        <v>830</v>
      </c>
      <c r="AA1081" t="s">
        <v>600</v>
      </c>
    </row>
    <row r="1082" spans="1:27" ht="14.4" hidden="1" customHeight="1" x14ac:dyDescent="0.3">
      <c r="A1082" s="4" t="s">
        <v>279</v>
      </c>
      <c r="B1082" s="4" t="s">
        <v>17</v>
      </c>
      <c r="C1082" s="16" t="s">
        <v>18</v>
      </c>
      <c r="D1082" s="4">
        <v>11</v>
      </c>
      <c r="E1082" s="4" t="s">
        <v>745</v>
      </c>
      <c r="F1082" t="s">
        <v>353</v>
      </c>
      <c r="G1082" t="s">
        <v>106</v>
      </c>
      <c r="J1082" s="4" t="s">
        <v>19</v>
      </c>
      <c r="K1082" s="4" t="s">
        <v>21</v>
      </c>
      <c r="L1082" s="4" t="s">
        <v>742</v>
      </c>
      <c r="M1082" s="17">
        <v>24</v>
      </c>
      <c r="N1082" s="17">
        <v>1023</v>
      </c>
      <c r="O1082" s="18" t="s">
        <v>19</v>
      </c>
      <c r="P1082" s="18">
        <v>1023</v>
      </c>
      <c r="Q1082" s="18">
        <v>24</v>
      </c>
      <c r="R1082" s="18"/>
      <c r="S1082" s="18"/>
      <c r="T1082" s="18"/>
      <c r="U10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82" s="19">
        <f>IF(AUDITORIA[[#This Row],[CAT]]="",0,1)</f>
        <v>1</v>
      </c>
      <c r="W1082" s="20">
        <v>46170</v>
      </c>
      <c r="X1082" s="21" t="str">
        <f>UPPER(IF(AUDITORIA[[#This Row],[DATA VERIFICAÇÃO]]="","",TEXT(AUDITORIA[[#This Row],[DATA VERIFICAÇÃO]],"mmm")))</f>
        <v>MAI</v>
      </c>
      <c r="Y1082" t="s">
        <v>598</v>
      </c>
      <c r="Z1082" t="s">
        <v>830</v>
      </c>
      <c r="AA1082" t="s">
        <v>600</v>
      </c>
    </row>
    <row r="1083" spans="1:27" ht="14.4" hidden="1" customHeight="1" x14ac:dyDescent="0.3">
      <c r="A1083" s="4" t="s">
        <v>279</v>
      </c>
      <c r="B1083" s="4" t="s">
        <v>17</v>
      </c>
      <c r="C1083" s="16" t="s">
        <v>18</v>
      </c>
      <c r="D1083" s="4">
        <v>11</v>
      </c>
      <c r="E1083" s="4" t="s">
        <v>745</v>
      </c>
      <c r="F1083" t="s">
        <v>350</v>
      </c>
      <c r="G1083" t="s">
        <v>106</v>
      </c>
      <c r="J1083" s="4" t="s">
        <v>19</v>
      </c>
      <c r="K1083" s="4" t="s">
        <v>21</v>
      </c>
      <c r="L1083" s="4" t="s">
        <v>742</v>
      </c>
      <c r="M1083" s="17">
        <v>24</v>
      </c>
      <c r="N1083" s="17">
        <v>1031</v>
      </c>
      <c r="O1083" s="18" t="s">
        <v>19</v>
      </c>
      <c r="P1083" s="18">
        <v>1031</v>
      </c>
      <c r="Q1083" s="18">
        <v>24</v>
      </c>
      <c r="R1083" s="18"/>
      <c r="S1083" s="18"/>
      <c r="T1083" s="18"/>
      <c r="U10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83" s="19">
        <f>IF(AUDITORIA[[#This Row],[CAT]]="",0,1)</f>
        <v>1</v>
      </c>
      <c r="W1083" s="20">
        <v>46170</v>
      </c>
      <c r="X1083" s="21" t="str">
        <f>UPPER(IF(AUDITORIA[[#This Row],[DATA VERIFICAÇÃO]]="","",TEXT(AUDITORIA[[#This Row],[DATA VERIFICAÇÃO]],"mmm")))</f>
        <v>MAI</v>
      </c>
      <c r="Y1083" t="s">
        <v>598</v>
      </c>
      <c r="Z1083" t="s">
        <v>830</v>
      </c>
      <c r="AA1083" t="s">
        <v>600</v>
      </c>
    </row>
    <row r="1084" spans="1:27" ht="14.4" hidden="1" customHeight="1" x14ac:dyDescent="0.3">
      <c r="A1084" s="4" t="s">
        <v>279</v>
      </c>
      <c r="B1084" s="4" t="s">
        <v>17</v>
      </c>
      <c r="C1084" s="16" t="s">
        <v>18</v>
      </c>
      <c r="D1084" s="4">
        <v>11</v>
      </c>
      <c r="E1084" s="4" t="s">
        <v>745</v>
      </c>
      <c r="F1084" t="s">
        <v>347</v>
      </c>
      <c r="G1084" t="s">
        <v>106</v>
      </c>
      <c r="J1084" s="4" t="s">
        <v>19</v>
      </c>
      <c r="K1084" s="4" t="s">
        <v>21</v>
      </c>
      <c r="L1084" s="4" t="s">
        <v>742</v>
      </c>
      <c r="M1084" s="17">
        <v>24</v>
      </c>
      <c r="N1084" s="17">
        <v>1019</v>
      </c>
      <c r="O1084" s="18" t="s">
        <v>19</v>
      </c>
      <c r="P1084" s="18">
        <v>1019</v>
      </c>
      <c r="Q1084" s="18">
        <v>24</v>
      </c>
      <c r="R1084" s="18"/>
      <c r="S1084" s="18"/>
      <c r="T1084" s="18"/>
      <c r="U10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84" s="19">
        <f>IF(AUDITORIA[[#This Row],[CAT]]="",0,1)</f>
        <v>1</v>
      </c>
      <c r="W1084" s="20">
        <v>46170</v>
      </c>
      <c r="X1084" s="21" t="str">
        <f>UPPER(IF(AUDITORIA[[#This Row],[DATA VERIFICAÇÃO]]="","",TEXT(AUDITORIA[[#This Row],[DATA VERIFICAÇÃO]],"mmm")))</f>
        <v>MAI</v>
      </c>
      <c r="Y1084" t="s">
        <v>598</v>
      </c>
      <c r="Z1084" t="s">
        <v>830</v>
      </c>
      <c r="AA1084" t="s">
        <v>600</v>
      </c>
    </row>
    <row r="1085" spans="1:27" ht="14.4" hidden="1" customHeight="1" x14ac:dyDescent="0.3">
      <c r="A1085" s="4" t="s">
        <v>279</v>
      </c>
      <c r="B1085" s="4" t="s">
        <v>17</v>
      </c>
      <c r="C1085" s="16" t="s">
        <v>18</v>
      </c>
      <c r="D1085" s="4">
        <v>11</v>
      </c>
      <c r="E1085" s="4" t="s">
        <v>745</v>
      </c>
      <c r="F1085" t="s">
        <v>342</v>
      </c>
      <c r="G1085" t="s">
        <v>106</v>
      </c>
      <c r="J1085" s="4" t="s">
        <v>19</v>
      </c>
      <c r="K1085" s="4" t="s">
        <v>21</v>
      </c>
      <c r="L1085" s="4" t="s">
        <v>742</v>
      </c>
      <c r="M1085" s="17">
        <v>24</v>
      </c>
      <c r="N1085" s="17">
        <v>1029</v>
      </c>
      <c r="O1085" s="18" t="s">
        <v>19</v>
      </c>
      <c r="P1085" s="18">
        <v>1029</v>
      </c>
      <c r="Q1085" s="18">
        <v>24</v>
      </c>
      <c r="R1085" s="18"/>
      <c r="S1085" s="18"/>
      <c r="T1085" s="18"/>
      <c r="U10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85" s="19">
        <f>IF(AUDITORIA[[#This Row],[CAT]]="",0,1)</f>
        <v>1</v>
      </c>
      <c r="W1085" s="20">
        <v>46170</v>
      </c>
      <c r="X1085" s="21" t="str">
        <f>UPPER(IF(AUDITORIA[[#This Row],[DATA VERIFICAÇÃO]]="","",TEXT(AUDITORIA[[#This Row],[DATA VERIFICAÇÃO]],"mmm")))</f>
        <v>MAI</v>
      </c>
      <c r="Y1085" t="s">
        <v>598</v>
      </c>
      <c r="Z1085" t="s">
        <v>830</v>
      </c>
      <c r="AA1085" t="s">
        <v>600</v>
      </c>
    </row>
    <row r="1086" spans="1:27" ht="14.4" hidden="1" customHeight="1" x14ac:dyDescent="0.3">
      <c r="A1086" s="4" t="s">
        <v>279</v>
      </c>
      <c r="B1086" s="4" t="s">
        <v>17</v>
      </c>
      <c r="C1086" s="16" t="s">
        <v>18</v>
      </c>
      <c r="D1086" s="4">
        <v>11</v>
      </c>
      <c r="E1086" s="4" t="s">
        <v>745</v>
      </c>
      <c r="F1086" t="s">
        <v>335</v>
      </c>
      <c r="G1086" t="s">
        <v>106</v>
      </c>
      <c r="J1086" s="4" t="s">
        <v>19</v>
      </c>
      <c r="K1086" s="4" t="s">
        <v>21</v>
      </c>
      <c r="L1086" s="4" t="s">
        <v>742</v>
      </c>
      <c r="M1086" s="17">
        <v>24</v>
      </c>
      <c r="N1086" s="17">
        <v>1027</v>
      </c>
      <c r="O1086" s="18" t="s">
        <v>19</v>
      </c>
      <c r="P1086" s="18">
        <v>1027</v>
      </c>
      <c r="Q1086" s="18">
        <v>24</v>
      </c>
      <c r="R1086" s="18"/>
      <c r="S1086" s="18"/>
      <c r="T1086" s="18"/>
      <c r="U10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86" s="19">
        <f>IF(AUDITORIA[[#This Row],[CAT]]="",0,1)</f>
        <v>1</v>
      </c>
      <c r="W1086" s="20">
        <v>46170</v>
      </c>
      <c r="X1086" s="21" t="str">
        <f>UPPER(IF(AUDITORIA[[#This Row],[DATA VERIFICAÇÃO]]="","",TEXT(AUDITORIA[[#This Row],[DATA VERIFICAÇÃO]],"mmm")))</f>
        <v>MAI</v>
      </c>
      <c r="Y1086" t="s">
        <v>598</v>
      </c>
      <c r="Z1086" t="s">
        <v>830</v>
      </c>
      <c r="AA1086" t="s">
        <v>600</v>
      </c>
    </row>
    <row r="1087" spans="1:27" ht="14.4" hidden="1" customHeight="1" x14ac:dyDescent="0.3">
      <c r="A1087" s="4" t="s">
        <v>279</v>
      </c>
      <c r="B1087" s="4" t="s">
        <v>17</v>
      </c>
      <c r="C1087" s="16" t="s">
        <v>18</v>
      </c>
      <c r="D1087" s="4">
        <v>11</v>
      </c>
      <c r="E1087" s="4" t="s">
        <v>745</v>
      </c>
      <c r="F1087" t="s">
        <v>329</v>
      </c>
      <c r="G1087" t="s">
        <v>106</v>
      </c>
      <c r="J1087" s="4" t="s">
        <v>19</v>
      </c>
      <c r="K1087" s="4" t="s">
        <v>21</v>
      </c>
      <c r="L1087" s="4" t="s">
        <v>742</v>
      </c>
      <c r="M1087" s="17">
        <v>24</v>
      </c>
      <c r="N1087" s="17">
        <v>1032</v>
      </c>
      <c r="O1087" s="18" t="s">
        <v>19</v>
      </c>
      <c r="P1087" s="18">
        <v>1032</v>
      </c>
      <c r="Q1087" s="18">
        <v>24</v>
      </c>
      <c r="R1087" s="18"/>
      <c r="S1087" s="18"/>
      <c r="T1087" s="18"/>
      <c r="U10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87" s="19">
        <f>IF(AUDITORIA[[#This Row],[CAT]]="",0,1)</f>
        <v>1</v>
      </c>
      <c r="W1087" s="20">
        <v>46170</v>
      </c>
      <c r="X1087" s="21" t="str">
        <f>UPPER(IF(AUDITORIA[[#This Row],[DATA VERIFICAÇÃO]]="","",TEXT(AUDITORIA[[#This Row],[DATA VERIFICAÇÃO]],"mmm")))</f>
        <v>MAI</v>
      </c>
      <c r="Y1087" t="s">
        <v>598</v>
      </c>
      <c r="Z1087" t="s">
        <v>830</v>
      </c>
      <c r="AA1087" t="s">
        <v>600</v>
      </c>
    </row>
    <row r="1088" spans="1:27" ht="14.4" hidden="1" customHeight="1" x14ac:dyDescent="0.3">
      <c r="A1088" s="4" t="s">
        <v>279</v>
      </c>
      <c r="B1088" s="4" t="s">
        <v>17</v>
      </c>
      <c r="C1088" s="16" t="s">
        <v>18</v>
      </c>
      <c r="D1088" s="4">
        <v>11</v>
      </c>
      <c r="E1088" s="4" t="s">
        <v>745</v>
      </c>
      <c r="F1088" t="s">
        <v>323</v>
      </c>
      <c r="G1088" t="s">
        <v>106</v>
      </c>
      <c r="J1088" s="4" t="s">
        <v>19</v>
      </c>
      <c r="K1088" s="4" t="s">
        <v>21</v>
      </c>
      <c r="L1088" s="4" t="s">
        <v>742</v>
      </c>
      <c r="M1088" s="17">
        <v>24</v>
      </c>
      <c r="N1088" s="17">
        <v>1039</v>
      </c>
      <c r="O1088" s="18" t="s">
        <v>19</v>
      </c>
      <c r="P1088" s="18">
        <v>1039</v>
      </c>
      <c r="Q1088" s="18">
        <v>24</v>
      </c>
      <c r="R1088" s="18"/>
      <c r="S1088" s="18"/>
      <c r="T1088" s="18"/>
      <c r="U10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88" s="19">
        <f>IF(AUDITORIA[[#This Row],[CAT]]="",0,1)</f>
        <v>1</v>
      </c>
      <c r="W1088" s="20">
        <v>46170</v>
      </c>
      <c r="X1088" s="21" t="str">
        <f>UPPER(IF(AUDITORIA[[#This Row],[DATA VERIFICAÇÃO]]="","",TEXT(AUDITORIA[[#This Row],[DATA VERIFICAÇÃO]],"mmm")))</f>
        <v>MAI</v>
      </c>
      <c r="Y1088" t="s">
        <v>598</v>
      </c>
      <c r="Z1088" t="s">
        <v>830</v>
      </c>
      <c r="AA1088" t="s">
        <v>600</v>
      </c>
    </row>
    <row r="1089" spans="1:27" ht="14.4" hidden="1" customHeight="1" x14ac:dyDescent="0.3">
      <c r="A1089" s="4" t="s">
        <v>279</v>
      </c>
      <c r="B1089" s="4" t="s">
        <v>17</v>
      </c>
      <c r="C1089" s="16" t="s">
        <v>18</v>
      </c>
      <c r="D1089" s="4">
        <v>11</v>
      </c>
      <c r="E1089" s="4" t="s">
        <v>745</v>
      </c>
      <c r="F1089" t="s">
        <v>317</v>
      </c>
      <c r="G1089" t="s">
        <v>106</v>
      </c>
      <c r="J1089" s="4" t="s">
        <v>19</v>
      </c>
      <c r="K1089" s="4" t="s">
        <v>21</v>
      </c>
      <c r="L1089" s="4" t="s">
        <v>742</v>
      </c>
      <c r="M1089" s="17">
        <v>24</v>
      </c>
      <c r="N1089" s="17">
        <v>1029</v>
      </c>
      <c r="O1089" s="18" t="s">
        <v>19</v>
      </c>
      <c r="P1089" s="18">
        <v>1029</v>
      </c>
      <c r="Q1089" s="18">
        <v>24</v>
      </c>
      <c r="R1089" s="18"/>
      <c r="S1089" s="18"/>
      <c r="T1089" s="18"/>
      <c r="U10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89" s="19">
        <f>IF(AUDITORIA[[#This Row],[CAT]]="",0,1)</f>
        <v>1</v>
      </c>
      <c r="W1089" s="20">
        <v>46170</v>
      </c>
      <c r="X1089" s="21" t="str">
        <f>UPPER(IF(AUDITORIA[[#This Row],[DATA VERIFICAÇÃO]]="","",TEXT(AUDITORIA[[#This Row],[DATA VERIFICAÇÃO]],"mmm")))</f>
        <v>MAI</v>
      </c>
      <c r="Y1089" t="s">
        <v>598</v>
      </c>
      <c r="Z1089" t="s">
        <v>830</v>
      </c>
      <c r="AA1089" t="s">
        <v>600</v>
      </c>
    </row>
    <row r="1090" spans="1:27" ht="14.4" hidden="1" customHeight="1" x14ac:dyDescent="0.3">
      <c r="A1090" s="4" t="s">
        <v>279</v>
      </c>
      <c r="B1090" s="4" t="s">
        <v>17</v>
      </c>
      <c r="C1090" s="16" t="s">
        <v>18</v>
      </c>
      <c r="D1090" s="4">
        <v>11</v>
      </c>
      <c r="E1090" s="4" t="s">
        <v>745</v>
      </c>
      <c r="F1090" t="s">
        <v>312</v>
      </c>
      <c r="G1090" t="s">
        <v>106</v>
      </c>
      <c r="J1090" s="4" t="s">
        <v>19</v>
      </c>
      <c r="K1090" s="4" t="s">
        <v>21</v>
      </c>
      <c r="L1090" s="4" t="s">
        <v>742</v>
      </c>
      <c r="M1090" s="17">
        <v>24</v>
      </c>
      <c r="N1090" s="17">
        <v>1045</v>
      </c>
      <c r="O1090" s="18" t="s">
        <v>19</v>
      </c>
      <c r="P1090" s="18">
        <v>1045</v>
      </c>
      <c r="Q1090" s="18">
        <v>24</v>
      </c>
      <c r="R1090" s="18"/>
      <c r="S1090" s="18"/>
      <c r="T1090" s="18"/>
      <c r="U10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90" s="19">
        <f>IF(AUDITORIA[[#This Row],[CAT]]="",0,1)</f>
        <v>1</v>
      </c>
      <c r="W1090" s="20">
        <v>46170</v>
      </c>
      <c r="X1090" s="21" t="str">
        <f>UPPER(IF(AUDITORIA[[#This Row],[DATA VERIFICAÇÃO]]="","",TEXT(AUDITORIA[[#This Row],[DATA VERIFICAÇÃO]],"mmm")))</f>
        <v>MAI</v>
      </c>
      <c r="Y1090" t="s">
        <v>598</v>
      </c>
      <c r="Z1090" t="s">
        <v>830</v>
      </c>
      <c r="AA1090" t="s">
        <v>600</v>
      </c>
    </row>
    <row r="1091" spans="1:27" ht="14.4" hidden="1" customHeight="1" x14ac:dyDescent="0.3">
      <c r="A1091" s="4" t="s">
        <v>279</v>
      </c>
      <c r="B1091" s="4" t="s">
        <v>17</v>
      </c>
      <c r="C1091" s="16" t="s">
        <v>18</v>
      </c>
      <c r="D1091" s="4">
        <v>11</v>
      </c>
      <c r="E1091" s="4" t="s">
        <v>745</v>
      </c>
      <c r="F1091" t="s">
        <v>308</v>
      </c>
      <c r="G1091" t="s">
        <v>106</v>
      </c>
      <c r="J1091" s="4" t="s">
        <v>19</v>
      </c>
      <c r="K1091" s="4" t="s">
        <v>21</v>
      </c>
      <c r="L1091" s="4" t="s">
        <v>742</v>
      </c>
      <c r="M1091" s="17">
        <v>24</v>
      </c>
      <c r="N1091" s="17">
        <v>1030</v>
      </c>
      <c r="O1091" s="18" t="s">
        <v>19</v>
      </c>
      <c r="P1091" s="18">
        <v>1030</v>
      </c>
      <c r="Q1091" s="18">
        <v>24</v>
      </c>
      <c r="R1091" s="18"/>
      <c r="S1091" s="18"/>
      <c r="T1091" s="18"/>
      <c r="U10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91" s="19">
        <f>IF(AUDITORIA[[#This Row],[CAT]]="",0,1)</f>
        <v>1</v>
      </c>
      <c r="W1091" s="20">
        <v>46170</v>
      </c>
      <c r="X1091" s="21" t="str">
        <f>UPPER(IF(AUDITORIA[[#This Row],[DATA VERIFICAÇÃO]]="","",TEXT(AUDITORIA[[#This Row],[DATA VERIFICAÇÃO]],"mmm")))</f>
        <v>MAI</v>
      </c>
      <c r="Y1091" t="s">
        <v>598</v>
      </c>
      <c r="Z1091" t="s">
        <v>830</v>
      </c>
      <c r="AA1091" t="s">
        <v>600</v>
      </c>
    </row>
    <row r="1092" spans="1:27" ht="14.4" hidden="1" customHeight="1" x14ac:dyDescent="0.3">
      <c r="A1092" s="4" t="s">
        <v>279</v>
      </c>
      <c r="B1092" s="4" t="s">
        <v>17</v>
      </c>
      <c r="C1092" s="16" t="s">
        <v>18</v>
      </c>
      <c r="D1092" s="4">
        <v>11</v>
      </c>
      <c r="E1092" s="4" t="s">
        <v>745</v>
      </c>
      <c r="F1092" t="s">
        <v>303</v>
      </c>
      <c r="G1092" t="s">
        <v>106</v>
      </c>
      <c r="J1092" s="4" t="s">
        <v>19</v>
      </c>
      <c r="K1092" s="4" t="s">
        <v>21</v>
      </c>
      <c r="L1092" s="4" t="s">
        <v>742</v>
      </c>
      <c r="M1092" s="17">
        <v>24</v>
      </c>
      <c r="N1092" s="17">
        <v>1020</v>
      </c>
      <c r="O1092" s="18" t="s">
        <v>19</v>
      </c>
      <c r="P1092" s="18">
        <v>1020</v>
      </c>
      <c r="Q1092" s="18">
        <v>24</v>
      </c>
      <c r="R1092" s="18"/>
      <c r="S1092" s="18"/>
      <c r="T1092" s="18"/>
      <c r="U10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92" s="19">
        <f>IF(AUDITORIA[[#This Row],[CAT]]="",0,1)</f>
        <v>1</v>
      </c>
      <c r="W1092" s="20">
        <v>46170</v>
      </c>
      <c r="X1092" s="21" t="str">
        <f>UPPER(IF(AUDITORIA[[#This Row],[DATA VERIFICAÇÃO]]="","",TEXT(AUDITORIA[[#This Row],[DATA VERIFICAÇÃO]],"mmm")))</f>
        <v>MAI</v>
      </c>
      <c r="Y1092" t="s">
        <v>598</v>
      </c>
      <c r="Z1092" t="s">
        <v>830</v>
      </c>
      <c r="AA1092" t="s">
        <v>600</v>
      </c>
    </row>
    <row r="1093" spans="1:27" ht="14.4" hidden="1" customHeight="1" x14ac:dyDescent="0.3">
      <c r="A1093" s="4" t="s">
        <v>279</v>
      </c>
      <c r="B1093" s="4" t="s">
        <v>17</v>
      </c>
      <c r="C1093" s="16" t="s">
        <v>18</v>
      </c>
      <c r="D1093" s="4">
        <v>11</v>
      </c>
      <c r="E1093" s="4" t="s">
        <v>745</v>
      </c>
      <c r="F1093" t="s">
        <v>297</v>
      </c>
      <c r="G1093" t="s">
        <v>106</v>
      </c>
      <c r="J1093" s="4" t="s">
        <v>19</v>
      </c>
      <c r="K1093" s="4" t="s">
        <v>21</v>
      </c>
      <c r="L1093" s="4" t="s">
        <v>742</v>
      </c>
      <c r="M1093" s="17">
        <v>24</v>
      </c>
      <c r="N1093" s="17">
        <v>1016</v>
      </c>
      <c r="O1093" s="18" t="s">
        <v>19</v>
      </c>
      <c r="P1093" s="18">
        <v>1016</v>
      </c>
      <c r="Q1093" s="18">
        <v>24</v>
      </c>
      <c r="R1093" s="18"/>
      <c r="S1093" s="18"/>
      <c r="T1093" s="18"/>
      <c r="U10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93" s="19">
        <f>IF(AUDITORIA[[#This Row],[CAT]]="",0,1)</f>
        <v>1</v>
      </c>
      <c r="W1093" s="20">
        <v>46170</v>
      </c>
      <c r="X1093" s="21" t="str">
        <f>UPPER(IF(AUDITORIA[[#This Row],[DATA VERIFICAÇÃO]]="","",TEXT(AUDITORIA[[#This Row],[DATA VERIFICAÇÃO]],"mmm")))</f>
        <v>MAI</v>
      </c>
      <c r="Y1093" t="s">
        <v>598</v>
      </c>
      <c r="Z1093" t="s">
        <v>830</v>
      </c>
      <c r="AA1093" t="s">
        <v>600</v>
      </c>
    </row>
    <row r="1094" spans="1:27" ht="14.4" hidden="1" customHeight="1" x14ac:dyDescent="0.3">
      <c r="A1094" s="4" t="s">
        <v>279</v>
      </c>
      <c r="B1094" s="4" t="s">
        <v>17</v>
      </c>
      <c r="C1094" s="16" t="s">
        <v>18</v>
      </c>
      <c r="D1094" s="4">
        <v>11</v>
      </c>
      <c r="E1094" s="4" t="s">
        <v>745</v>
      </c>
      <c r="F1094" t="s">
        <v>288</v>
      </c>
      <c r="G1094" t="s">
        <v>106</v>
      </c>
      <c r="J1094" s="4" t="s">
        <v>19</v>
      </c>
      <c r="K1094" s="4" t="s">
        <v>21</v>
      </c>
      <c r="L1094" s="4" t="s">
        <v>742</v>
      </c>
      <c r="M1094" s="17">
        <v>24</v>
      </c>
      <c r="N1094" s="17">
        <v>1025</v>
      </c>
      <c r="O1094" s="18" t="s">
        <v>19</v>
      </c>
      <c r="P1094" s="18">
        <v>1025</v>
      </c>
      <c r="Q1094" s="18">
        <v>24</v>
      </c>
      <c r="R1094" s="18"/>
      <c r="S1094" s="18"/>
      <c r="T1094" s="18"/>
      <c r="U10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94" s="19">
        <f>IF(AUDITORIA[[#This Row],[CAT]]="",0,1)</f>
        <v>1</v>
      </c>
      <c r="W1094" s="20">
        <v>46170</v>
      </c>
      <c r="X1094" s="21" t="str">
        <f>UPPER(IF(AUDITORIA[[#This Row],[DATA VERIFICAÇÃO]]="","",TEXT(AUDITORIA[[#This Row],[DATA VERIFICAÇÃO]],"mmm")))</f>
        <v>MAI</v>
      </c>
      <c r="Y1094" t="s">
        <v>598</v>
      </c>
      <c r="Z1094" t="s">
        <v>830</v>
      </c>
      <c r="AA1094" t="s">
        <v>600</v>
      </c>
    </row>
    <row r="1095" spans="1:27" ht="14.4" hidden="1" customHeight="1" x14ac:dyDescent="0.3">
      <c r="A1095" s="4" t="s">
        <v>279</v>
      </c>
      <c r="B1095" s="4" t="s">
        <v>17</v>
      </c>
      <c r="C1095" s="16" t="s">
        <v>18</v>
      </c>
      <c r="D1095" s="4">
        <v>11</v>
      </c>
      <c r="E1095" s="4" t="s">
        <v>745</v>
      </c>
      <c r="F1095" t="s">
        <v>284</v>
      </c>
      <c r="G1095" t="s">
        <v>106</v>
      </c>
      <c r="J1095" s="4" t="s">
        <v>19</v>
      </c>
      <c r="K1095" s="4" t="s">
        <v>21</v>
      </c>
      <c r="L1095" s="4" t="s">
        <v>742</v>
      </c>
      <c r="M1095" s="17">
        <v>24</v>
      </c>
      <c r="N1095" s="17">
        <v>1027</v>
      </c>
      <c r="O1095" s="18" t="s">
        <v>19</v>
      </c>
      <c r="P1095" s="18">
        <v>1027</v>
      </c>
      <c r="Q1095" s="18">
        <v>24</v>
      </c>
      <c r="R1095" s="18"/>
      <c r="S1095" s="18"/>
      <c r="T1095" s="18"/>
      <c r="U10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95" s="19">
        <f>IF(AUDITORIA[[#This Row],[CAT]]="",0,1)</f>
        <v>1</v>
      </c>
      <c r="W1095" s="20">
        <v>46170</v>
      </c>
      <c r="X1095" s="21" t="str">
        <f>UPPER(IF(AUDITORIA[[#This Row],[DATA VERIFICAÇÃO]]="","",TEXT(AUDITORIA[[#This Row],[DATA VERIFICAÇÃO]],"mmm")))</f>
        <v>MAI</v>
      </c>
      <c r="Y1095" t="s">
        <v>598</v>
      </c>
      <c r="Z1095" t="s">
        <v>830</v>
      </c>
      <c r="AA1095" t="s">
        <v>600</v>
      </c>
    </row>
    <row r="1096" spans="1:27" ht="14.4" hidden="1" customHeight="1" x14ac:dyDescent="0.3">
      <c r="A1096" s="4" t="s">
        <v>279</v>
      </c>
      <c r="B1096" s="4" t="s">
        <v>17</v>
      </c>
      <c r="C1096" s="16" t="s">
        <v>18</v>
      </c>
      <c r="D1096" s="4">
        <v>11</v>
      </c>
      <c r="E1096" s="4" t="s">
        <v>745</v>
      </c>
      <c r="F1096" t="s">
        <v>499</v>
      </c>
      <c r="G1096" t="s">
        <v>106</v>
      </c>
      <c r="J1096" s="4" t="s">
        <v>19</v>
      </c>
      <c r="K1096" s="4" t="s">
        <v>21</v>
      </c>
      <c r="L1096" s="4" t="s">
        <v>742</v>
      </c>
      <c r="M1096" s="17">
        <v>24</v>
      </c>
      <c r="N1096" s="17">
        <v>1030</v>
      </c>
      <c r="O1096" s="18" t="s">
        <v>19</v>
      </c>
      <c r="P1096" s="18">
        <v>1030</v>
      </c>
      <c r="Q1096" s="18">
        <v>24</v>
      </c>
      <c r="R1096" s="18"/>
      <c r="S1096" s="18"/>
      <c r="T1096" s="18"/>
      <c r="U10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96" s="19">
        <f>IF(AUDITORIA[[#This Row],[CAT]]="",0,1)</f>
        <v>1</v>
      </c>
      <c r="W1096" s="20">
        <v>46170</v>
      </c>
      <c r="X1096" s="21" t="str">
        <f>UPPER(IF(AUDITORIA[[#This Row],[DATA VERIFICAÇÃO]]="","",TEXT(AUDITORIA[[#This Row],[DATA VERIFICAÇÃO]],"mmm")))</f>
        <v>MAI</v>
      </c>
      <c r="Y1096" t="s">
        <v>598</v>
      </c>
      <c r="Z1096" t="s">
        <v>830</v>
      </c>
      <c r="AA1096" t="s">
        <v>600</v>
      </c>
    </row>
    <row r="1097" spans="1:27" ht="14.4" hidden="1" customHeight="1" x14ac:dyDescent="0.3">
      <c r="A1097" s="4" t="s">
        <v>279</v>
      </c>
      <c r="B1097" s="4" t="s">
        <v>17</v>
      </c>
      <c r="C1097" s="16" t="s">
        <v>18</v>
      </c>
      <c r="D1097" s="4">
        <v>11</v>
      </c>
      <c r="E1097" s="4" t="s">
        <v>745</v>
      </c>
      <c r="F1097" t="s">
        <v>505</v>
      </c>
      <c r="G1097" t="s">
        <v>106</v>
      </c>
      <c r="J1097" s="4" t="s">
        <v>19</v>
      </c>
      <c r="K1097" s="4" t="s">
        <v>21</v>
      </c>
      <c r="L1097" s="4" t="s">
        <v>742</v>
      </c>
      <c r="M1097" s="17">
        <v>24</v>
      </c>
      <c r="N1097" s="17">
        <v>1012</v>
      </c>
      <c r="O1097" s="18" t="s">
        <v>19</v>
      </c>
      <c r="P1097" s="18">
        <v>1012</v>
      </c>
      <c r="Q1097" s="18">
        <v>24</v>
      </c>
      <c r="R1097" s="18"/>
      <c r="S1097" s="18"/>
      <c r="T1097" s="18"/>
      <c r="U10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97" s="19">
        <f>IF(AUDITORIA[[#This Row],[CAT]]="",0,1)</f>
        <v>1</v>
      </c>
      <c r="W1097" s="20">
        <v>46170</v>
      </c>
      <c r="X1097" s="21" t="str">
        <f>UPPER(IF(AUDITORIA[[#This Row],[DATA VERIFICAÇÃO]]="","",TEXT(AUDITORIA[[#This Row],[DATA VERIFICAÇÃO]],"mmm")))</f>
        <v>MAI</v>
      </c>
      <c r="Y1097" t="s">
        <v>598</v>
      </c>
      <c r="Z1097" t="s">
        <v>830</v>
      </c>
      <c r="AA1097" t="s">
        <v>600</v>
      </c>
    </row>
    <row r="1098" spans="1:27" ht="14.4" hidden="1" customHeight="1" x14ac:dyDescent="0.3">
      <c r="A1098" s="4" t="s">
        <v>279</v>
      </c>
      <c r="B1098" s="4" t="s">
        <v>17</v>
      </c>
      <c r="C1098" s="16" t="s">
        <v>18</v>
      </c>
      <c r="D1098" s="4">
        <v>11</v>
      </c>
      <c r="E1098" s="4" t="s">
        <v>745</v>
      </c>
      <c r="F1098" t="s">
        <v>511</v>
      </c>
      <c r="G1098" t="s">
        <v>106</v>
      </c>
      <c r="J1098" s="4" t="s">
        <v>19</v>
      </c>
      <c r="K1098" s="4" t="s">
        <v>21</v>
      </c>
      <c r="L1098" s="4" t="s">
        <v>742</v>
      </c>
      <c r="M1098" s="17">
        <v>24</v>
      </c>
      <c r="N1098" s="17">
        <v>1023</v>
      </c>
      <c r="O1098" s="18" t="s">
        <v>19</v>
      </c>
      <c r="P1098" s="18">
        <v>1023</v>
      </c>
      <c r="Q1098" s="18">
        <v>24</v>
      </c>
      <c r="R1098" s="18"/>
      <c r="S1098" s="18"/>
      <c r="T1098" s="18"/>
      <c r="U10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98" s="19">
        <f>IF(AUDITORIA[[#This Row],[CAT]]="",0,1)</f>
        <v>1</v>
      </c>
      <c r="W1098" s="20">
        <v>46170</v>
      </c>
      <c r="X1098" s="21" t="str">
        <f>UPPER(IF(AUDITORIA[[#This Row],[DATA VERIFICAÇÃO]]="","",TEXT(AUDITORIA[[#This Row],[DATA VERIFICAÇÃO]],"mmm")))</f>
        <v>MAI</v>
      </c>
      <c r="Y1098" t="s">
        <v>598</v>
      </c>
      <c r="Z1098" t="s">
        <v>830</v>
      </c>
      <c r="AA1098" t="s">
        <v>600</v>
      </c>
    </row>
    <row r="1099" spans="1:27" ht="14.4" hidden="1" customHeight="1" x14ac:dyDescent="0.3">
      <c r="A1099" s="4" t="s">
        <v>279</v>
      </c>
      <c r="B1099" s="4" t="s">
        <v>17</v>
      </c>
      <c r="C1099" s="16" t="s">
        <v>18</v>
      </c>
      <c r="D1099" s="4">
        <v>11</v>
      </c>
      <c r="E1099" s="4" t="s">
        <v>745</v>
      </c>
      <c r="F1099" t="s">
        <v>509</v>
      </c>
      <c r="G1099" t="s">
        <v>106</v>
      </c>
      <c r="J1099" s="4" t="s">
        <v>19</v>
      </c>
      <c r="K1099" s="4" t="s">
        <v>21</v>
      </c>
      <c r="L1099" s="4" t="s">
        <v>742</v>
      </c>
      <c r="M1099" s="17">
        <v>15</v>
      </c>
      <c r="N1099" s="17">
        <v>1033</v>
      </c>
      <c r="O1099" s="18" t="s">
        <v>19</v>
      </c>
      <c r="P1099" s="18">
        <v>1033</v>
      </c>
      <c r="Q1099" s="18">
        <v>15</v>
      </c>
      <c r="R1099" s="18"/>
      <c r="S1099" s="18"/>
      <c r="T1099" s="18"/>
      <c r="U10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099" s="19">
        <f>IF(AUDITORIA[[#This Row],[CAT]]="",0,1)</f>
        <v>1</v>
      </c>
      <c r="W1099" s="20">
        <v>46170</v>
      </c>
      <c r="X1099" s="21" t="str">
        <f>UPPER(IF(AUDITORIA[[#This Row],[DATA VERIFICAÇÃO]]="","",TEXT(AUDITORIA[[#This Row],[DATA VERIFICAÇÃO]],"mmm")))</f>
        <v>MAI</v>
      </c>
      <c r="Y1099" t="s">
        <v>598</v>
      </c>
      <c r="Z1099" t="s">
        <v>830</v>
      </c>
      <c r="AA1099" t="s">
        <v>600</v>
      </c>
    </row>
    <row r="1100" spans="1:27" ht="14.4" hidden="1" customHeight="1" x14ac:dyDescent="0.3">
      <c r="A1100" s="4" t="s">
        <v>279</v>
      </c>
      <c r="B1100" s="4" t="s">
        <v>17</v>
      </c>
      <c r="C1100" s="16" t="s">
        <v>18</v>
      </c>
      <c r="D1100" s="4">
        <v>11</v>
      </c>
      <c r="E1100" s="4" t="s">
        <v>745</v>
      </c>
      <c r="F1100" t="s">
        <v>439</v>
      </c>
      <c r="G1100" t="s">
        <v>426</v>
      </c>
      <c r="J1100" s="4" t="s">
        <v>31</v>
      </c>
      <c r="K1100" s="4" t="s">
        <v>20</v>
      </c>
      <c r="L1100" s="4" t="s">
        <v>742</v>
      </c>
      <c r="M1100" s="17">
        <v>27</v>
      </c>
      <c r="N1100" s="17">
        <v>913</v>
      </c>
      <c r="O1100" s="18" t="s">
        <v>31</v>
      </c>
      <c r="P1100" s="18">
        <v>913</v>
      </c>
      <c r="Q1100" s="18">
        <v>27</v>
      </c>
      <c r="R1100" s="18"/>
      <c r="S1100" s="18"/>
      <c r="T1100" s="18"/>
      <c r="U11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00" s="19">
        <f>IF(AUDITORIA[[#This Row],[CAT]]="",0,1)</f>
        <v>1</v>
      </c>
      <c r="W1100" s="20">
        <v>46170</v>
      </c>
      <c r="X1100" s="21" t="str">
        <f>UPPER(IF(AUDITORIA[[#This Row],[DATA VERIFICAÇÃO]]="","",TEXT(AUDITORIA[[#This Row],[DATA VERIFICAÇÃO]],"mmm")))</f>
        <v>MAI</v>
      </c>
      <c r="Y1100" t="s">
        <v>598</v>
      </c>
      <c r="Z1100" t="s">
        <v>830</v>
      </c>
      <c r="AA1100" t="s">
        <v>600</v>
      </c>
    </row>
    <row r="1101" spans="1:27" ht="14.4" hidden="1" customHeight="1" x14ac:dyDescent="0.3">
      <c r="A1101" s="4" t="s">
        <v>279</v>
      </c>
      <c r="B1101" s="4" t="s">
        <v>17</v>
      </c>
      <c r="C1101" s="16" t="s">
        <v>18</v>
      </c>
      <c r="D1101" s="4">
        <v>11</v>
      </c>
      <c r="E1101" s="4" t="s">
        <v>745</v>
      </c>
      <c r="F1101" t="s">
        <v>432</v>
      </c>
      <c r="G1101" t="s">
        <v>426</v>
      </c>
      <c r="J1101" s="4" t="s">
        <v>31</v>
      </c>
      <c r="K1101" s="4" t="s">
        <v>20</v>
      </c>
      <c r="L1101" s="4" t="s">
        <v>742</v>
      </c>
      <c r="M1101" s="17">
        <v>27</v>
      </c>
      <c r="N1101" s="17">
        <v>917</v>
      </c>
      <c r="O1101" s="18" t="s">
        <v>31</v>
      </c>
      <c r="P1101" s="18">
        <v>917</v>
      </c>
      <c r="Q1101" s="18">
        <v>27</v>
      </c>
      <c r="R1101" s="18"/>
      <c r="S1101" s="18"/>
      <c r="T1101" s="18"/>
      <c r="U11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01" s="19">
        <f>IF(AUDITORIA[[#This Row],[CAT]]="",0,1)</f>
        <v>1</v>
      </c>
      <c r="W1101" s="20">
        <v>46170</v>
      </c>
      <c r="X1101" s="21" t="str">
        <f>UPPER(IF(AUDITORIA[[#This Row],[DATA VERIFICAÇÃO]]="","",TEXT(AUDITORIA[[#This Row],[DATA VERIFICAÇÃO]],"mmm")))</f>
        <v>MAI</v>
      </c>
      <c r="Y1101" t="s">
        <v>598</v>
      </c>
      <c r="Z1101" t="s">
        <v>830</v>
      </c>
      <c r="AA1101" t="s">
        <v>600</v>
      </c>
    </row>
    <row r="1102" spans="1:27" ht="14.4" hidden="1" customHeight="1" x14ac:dyDescent="0.3">
      <c r="A1102" s="4" t="s">
        <v>279</v>
      </c>
      <c r="B1102" s="4" t="s">
        <v>17</v>
      </c>
      <c r="C1102" s="16" t="s">
        <v>18</v>
      </c>
      <c r="D1102" s="4">
        <v>11</v>
      </c>
      <c r="E1102" s="4" t="s">
        <v>745</v>
      </c>
      <c r="F1102" t="s">
        <v>430</v>
      </c>
      <c r="G1102" t="s">
        <v>426</v>
      </c>
      <c r="J1102" s="4" t="s">
        <v>31</v>
      </c>
      <c r="K1102" s="4" t="s">
        <v>20</v>
      </c>
      <c r="L1102" s="4" t="s">
        <v>742</v>
      </c>
      <c r="M1102" s="17">
        <v>27</v>
      </c>
      <c r="N1102" s="17">
        <v>912</v>
      </c>
      <c r="O1102" s="18" t="s">
        <v>31</v>
      </c>
      <c r="P1102" s="18">
        <v>912</v>
      </c>
      <c r="Q1102" s="18">
        <v>27</v>
      </c>
      <c r="R1102" s="18"/>
      <c r="S1102" s="18"/>
      <c r="T1102" s="18"/>
      <c r="U11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02" s="19">
        <f>IF(AUDITORIA[[#This Row],[CAT]]="",0,1)</f>
        <v>1</v>
      </c>
      <c r="W1102" s="20">
        <v>46170</v>
      </c>
      <c r="X1102" s="21" t="str">
        <f>UPPER(IF(AUDITORIA[[#This Row],[DATA VERIFICAÇÃO]]="","",TEXT(AUDITORIA[[#This Row],[DATA VERIFICAÇÃO]],"mmm")))</f>
        <v>MAI</v>
      </c>
      <c r="Y1102" t="s">
        <v>598</v>
      </c>
      <c r="Z1102" t="s">
        <v>830</v>
      </c>
      <c r="AA1102" t="s">
        <v>600</v>
      </c>
    </row>
    <row r="1103" spans="1:27" ht="14.4" hidden="1" customHeight="1" x14ac:dyDescent="0.3">
      <c r="A1103" s="4" t="s">
        <v>279</v>
      </c>
      <c r="B1103" s="4" t="s">
        <v>17</v>
      </c>
      <c r="C1103" s="16" t="s">
        <v>18</v>
      </c>
      <c r="D1103" s="4">
        <v>11</v>
      </c>
      <c r="E1103" s="4" t="s">
        <v>745</v>
      </c>
      <c r="F1103" t="s">
        <v>425</v>
      </c>
      <c r="G1103" t="s">
        <v>426</v>
      </c>
      <c r="J1103" s="4" t="s">
        <v>31</v>
      </c>
      <c r="K1103" s="4" t="s">
        <v>20</v>
      </c>
      <c r="L1103" s="4" t="s">
        <v>742</v>
      </c>
      <c r="M1103" s="17">
        <v>4</v>
      </c>
      <c r="N1103" s="17">
        <v>905</v>
      </c>
      <c r="O1103" s="18" t="s">
        <v>31</v>
      </c>
      <c r="P1103" s="18">
        <v>905</v>
      </c>
      <c r="Q1103" s="18">
        <v>4</v>
      </c>
      <c r="R1103" s="18"/>
      <c r="S1103" s="18"/>
      <c r="T1103" s="18"/>
      <c r="U11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03" s="19">
        <f>IF(AUDITORIA[[#This Row],[CAT]]="",0,1)</f>
        <v>1</v>
      </c>
      <c r="W1103" s="20">
        <v>46170</v>
      </c>
      <c r="X1103" s="21" t="str">
        <f>UPPER(IF(AUDITORIA[[#This Row],[DATA VERIFICAÇÃO]]="","",TEXT(AUDITORIA[[#This Row],[DATA VERIFICAÇÃO]],"mmm")))</f>
        <v>MAI</v>
      </c>
      <c r="Y1103" t="s">
        <v>598</v>
      </c>
      <c r="Z1103" t="s">
        <v>830</v>
      </c>
      <c r="AA1103" t="s">
        <v>600</v>
      </c>
    </row>
    <row r="1104" spans="1:27" ht="14.4" hidden="1" customHeight="1" x14ac:dyDescent="0.3">
      <c r="A1104" s="4" t="s">
        <v>279</v>
      </c>
      <c r="B1104" s="4" t="s">
        <v>17</v>
      </c>
      <c r="C1104" s="16" t="s">
        <v>18</v>
      </c>
      <c r="D1104" s="4">
        <v>11</v>
      </c>
      <c r="E1104" s="4" t="s">
        <v>745</v>
      </c>
      <c r="F1104" t="s">
        <v>438</v>
      </c>
      <c r="G1104" t="s">
        <v>426</v>
      </c>
      <c r="J1104" s="4" t="s">
        <v>31</v>
      </c>
      <c r="K1104" s="4" t="s">
        <v>21</v>
      </c>
      <c r="L1104" s="4" t="s">
        <v>742</v>
      </c>
      <c r="M1104" s="17">
        <v>24</v>
      </c>
      <c r="N1104" s="17">
        <v>1112</v>
      </c>
      <c r="O1104" s="18" t="s">
        <v>31</v>
      </c>
      <c r="P1104" s="18">
        <v>1112</v>
      </c>
      <c r="Q1104" s="18">
        <v>24</v>
      </c>
      <c r="R1104" s="18"/>
      <c r="S1104" s="18"/>
      <c r="T1104" s="18"/>
      <c r="U11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04" s="19">
        <f>IF(AUDITORIA[[#This Row],[CAT]]="",0,1)</f>
        <v>1</v>
      </c>
      <c r="W1104" s="20">
        <v>46170</v>
      </c>
      <c r="X1104" s="21" t="str">
        <f>UPPER(IF(AUDITORIA[[#This Row],[DATA VERIFICAÇÃO]]="","",TEXT(AUDITORIA[[#This Row],[DATA VERIFICAÇÃO]],"mmm")))</f>
        <v>MAI</v>
      </c>
      <c r="Y1104" t="s">
        <v>598</v>
      </c>
      <c r="Z1104" t="s">
        <v>830</v>
      </c>
      <c r="AA1104" t="s">
        <v>600</v>
      </c>
    </row>
    <row r="1105" spans="1:27" ht="14.4" hidden="1" customHeight="1" x14ac:dyDescent="0.3">
      <c r="A1105" s="4" t="s">
        <v>279</v>
      </c>
      <c r="B1105" s="4" t="s">
        <v>17</v>
      </c>
      <c r="C1105" s="16" t="s">
        <v>18</v>
      </c>
      <c r="D1105" s="4">
        <v>11</v>
      </c>
      <c r="E1105" s="4" t="s">
        <v>745</v>
      </c>
      <c r="F1105" t="s">
        <v>431</v>
      </c>
      <c r="G1105" t="s">
        <v>426</v>
      </c>
      <c r="J1105" s="4" t="s">
        <v>31</v>
      </c>
      <c r="K1105" s="4" t="s">
        <v>21</v>
      </c>
      <c r="L1105" s="4" t="s">
        <v>742</v>
      </c>
      <c r="M1105" s="17">
        <v>24</v>
      </c>
      <c r="N1105" s="17">
        <v>1102</v>
      </c>
      <c r="O1105" s="18" t="s">
        <v>31</v>
      </c>
      <c r="P1105" s="18">
        <v>1102</v>
      </c>
      <c r="Q1105" s="18">
        <v>24</v>
      </c>
      <c r="R1105" s="18"/>
      <c r="S1105" s="18"/>
      <c r="T1105" s="18"/>
      <c r="U11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05" s="19">
        <f>IF(AUDITORIA[[#This Row],[CAT]]="",0,1)</f>
        <v>1</v>
      </c>
      <c r="W1105" s="20">
        <v>46170</v>
      </c>
      <c r="X1105" s="21" t="str">
        <f>UPPER(IF(AUDITORIA[[#This Row],[DATA VERIFICAÇÃO]]="","",TEXT(AUDITORIA[[#This Row],[DATA VERIFICAÇÃO]],"mmm")))</f>
        <v>MAI</v>
      </c>
      <c r="Y1105" t="s">
        <v>598</v>
      </c>
      <c r="Z1105" t="s">
        <v>830</v>
      </c>
      <c r="AA1105" t="s">
        <v>600</v>
      </c>
    </row>
    <row r="1106" spans="1:27" ht="14.4" hidden="1" customHeight="1" x14ac:dyDescent="0.3">
      <c r="A1106" s="4" t="s">
        <v>279</v>
      </c>
      <c r="B1106" s="4" t="s">
        <v>17</v>
      </c>
      <c r="C1106" s="16" t="s">
        <v>18</v>
      </c>
      <c r="D1106" s="4">
        <v>11</v>
      </c>
      <c r="E1106" s="4" t="s">
        <v>745</v>
      </c>
      <c r="F1106" t="s">
        <v>429</v>
      </c>
      <c r="G1106" t="s">
        <v>426</v>
      </c>
      <c r="J1106" s="4" t="s">
        <v>31</v>
      </c>
      <c r="K1106" s="4" t="s">
        <v>21</v>
      </c>
      <c r="L1106" s="4" t="s">
        <v>742</v>
      </c>
      <c r="M1106" s="17">
        <v>21</v>
      </c>
      <c r="N1106" s="17">
        <v>1105</v>
      </c>
      <c r="O1106" s="18" t="s">
        <v>31</v>
      </c>
      <c r="P1106" s="18">
        <v>1105</v>
      </c>
      <c r="Q1106" s="18">
        <v>21</v>
      </c>
      <c r="R1106" s="18"/>
      <c r="S1106" s="18"/>
      <c r="T1106" s="18"/>
      <c r="U11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06" s="19">
        <f>IF(AUDITORIA[[#This Row],[CAT]]="",0,1)</f>
        <v>1</v>
      </c>
      <c r="W1106" s="20">
        <v>46170</v>
      </c>
      <c r="X1106" s="21" t="str">
        <f>UPPER(IF(AUDITORIA[[#This Row],[DATA VERIFICAÇÃO]]="","",TEXT(AUDITORIA[[#This Row],[DATA VERIFICAÇÃO]],"mmm")))</f>
        <v>MAI</v>
      </c>
      <c r="Y1106" t="s">
        <v>598</v>
      </c>
      <c r="Z1106" t="s">
        <v>830</v>
      </c>
      <c r="AA1106" t="s">
        <v>600</v>
      </c>
    </row>
    <row r="1107" spans="1:27" ht="14.4" hidden="1" customHeight="1" x14ac:dyDescent="0.3">
      <c r="A1107" s="4" t="s">
        <v>279</v>
      </c>
      <c r="B1107" s="4" t="s">
        <v>17</v>
      </c>
      <c r="C1107" s="16" t="s">
        <v>18</v>
      </c>
      <c r="D1107" s="4">
        <v>11</v>
      </c>
      <c r="E1107" s="4" t="s">
        <v>745</v>
      </c>
      <c r="F1107" t="s">
        <v>393</v>
      </c>
      <c r="G1107" t="s">
        <v>290</v>
      </c>
      <c r="J1107" s="4" t="s">
        <v>19</v>
      </c>
      <c r="K1107" s="4" t="s">
        <v>20</v>
      </c>
      <c r="L1107" s="4" t="s">
        <v>742</v>
      </c>
      <c r="M1107" s="17">
        <v>30</v>
      </c>
      <c r="N1107" s="17">
        <v>838</v>
      </c>
      <c r="O1107" s="18" t="s">
        <v>19</v>
      </c>
      <c r="P1107" s="18">
        <v>838</v>
      </c>
      <c r="Q1107" s="18">
        <v>30</v>
      </c>
      <c r="R1107" s="18"/>
      <c r="S1107" s="18"/>
      <c r="T1107" s="18"/>
      <c r="U11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07" s="19">
        <f>IF(AUDITORIA[[#This Row],[CAT]]="",0,1)</f>
        <v>1</v>
      </c>
      <c r="W1107" s="20">
        <v>46170</v>
      </c>
      <c r="X1107" s="21" t="str">
        <f>UPPER(IF(AUDITORIA[[#This Row],[DATA VERIFICAÇÃO]]="","",TEXT(AUDITORIA[[#This Row],[DATA VERIFICAÇÃO]],"mmm")))</f>
        <v>MAI</v>
      </c>
      <c r="Y1107" t="s">
        <v>598</v>
      </c>
      <c r="Z1107" t="s">
        <v>830</v>
      </c>
      <c r="AA1107" t="s">
        <v>600</v>
      </c>
    </row>
    <row r="1108" spans="1:27" ht="14.4" hidden="1" customHeight="1" x14ac:dyDescent="0.3">
      <c r="A1108" s="4" t="s">
        <v>279</v>
      </c>
      <c r="B1108" s="4" t="s">
        <v>17</v>
      </c>
      <c r="C1108" s="16" t="s">
        <v>18</v>
      </c>
      <c r="D1108" s="4">
        <v>11</v>
      </c>
      <c r="E1108" s="4" t="s">
        <v>745</v>
      </c>
      <c r="F1108" t="s">
        <v>392</v>
      </c>
      <c r="G1108" t="s">
        <v>290</v>
      </c>
      <c r="J1108" s="4" t="s">
        <v>19</v>
      </c>
      <c r="K1108" s="4" t="s">
        <v>20</v>
      </c>
      <c r="L1108" s="4" t="s">
        <v>742</v>
      </c>
      <c r="M1108" s="17">
        <v>30</v>
      </c>
      <c r="N1108" s="17">
        <v>826</v>
      </c>
      <c r="O1108" s="18" t="s">
        <v>19</v>
      </c>
      <c r="P1108" s="18">
        <v>826</v>
      </c>
      <c r="Q1108" s="18">
        <v>30</v>
      </c>
      <c r="R1108" s="18"/>
      <c r="S1108" s="18"/>
      <c r="T1108" s="18"/>
      <c r="U11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08" s="19">
        <f>IF(AUDITORIA[[#This Row],[CAT]]="",0,1)</f>
        <v>1</v>
      </c>
      <c r="W1108" s="20">
        <v>46170</v>
      </c>
      <c r="X1108" s="21" t="str">
        <f>UPPER(IF(AUDITORIA[[#This Row],[DATA VERIFICAÇÃO]]="","",TEXT(AUDITORIA[[#This Row],[DATA VERIFICAÇÃO]],"mmm")))</f>
        <v>MAI</v>
      </c>
      <c r="Y1108" t="s">
        <v>598</v>
      </c>
      <c r="Z1108" t="s">
        <v>830</v>
      </c>
      <c r="AA1108" t="s">
        <v>600</v>
      </c>
    </row>
    <row r="1109" spans="1:27" ht="14.4" hidden="1" customHeight="1" x14ac:dyDescent="0.3">
      <c r="A1109" s="4" t="s">
        <v>279</v>
      </c>
      <c r="B1109" s="4" t="s">
        <v>17</v>
      </c>
      <c r="C1109" s="16" t="s">
        <v>18</v>
      </c>
      <c r="D1109" s="4">
        <v>11</v>
      </c>
      <c r="E1109" s="4" t="s">
        <v>745</v>
      </c>
      <c r="F1109" t="s">
        <v>388</v>
      </c>
      <c r="G1109" t="s">
        <v>290</v>
      </c>
      <c r="J1109" s="4" t="s">
        <v>19</v>
      </c>
      <c r="K1109" s="4" t="s">
        <v>20</v>
      </c>
      <c r="L1109" s="4" t="s">
        <v>742</v>
      </c>
      <c r="M1109" s="17">
        <v>30</v>
      </c>
      <c r="N1109" s="17">
        <v>822</v>
      </c>
      <c r="O1109" s="18" t="s">
        <v>19</v>
      </c>
      <c r="P1109" s="18">
        <v>822</v>
      </c>
      <c r="Q1109" s="18">
        <v>30</v>
      </c>
      <c r="R1109" s="18"/>
      <c r="S1109" s="18"/>
      <c r="T1109" s="18"/>
      <c r="U11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09" s="19">
        <f>IF(AUDITORIA[[#This Row],[CAT]]="",0,1)</f>
        <v>1</v>
      </c>
      <c r="W1109" s="20">
        <v>46170</v>
      </c>
      <c r="X1109" s="21" t="str">
        <f>UPPER(IF(AUDITORIA[[#This Row],[DATA VERIFICAÇÃO]]="","",TEXT(AUDITORIA[[#This Row],[DATA VERIFICAÇÃO]],"mmm")))</f>
        <v>MAI</v>
      </c>
      <c r="Y1109" t="s">
        <v>598</v>
      </c>
      <c r="Z1109" t="s">
        <v>830</v>
      </c>
      <c r="AA1109" t="s">
        <v>600</v>
      </c>
    </row>
    <row r="1110" spans="1:27" ht="14.4" hidden="1" customHeight="1" x14ac:dyDescent="0.3">
      <c r="A1110" s="4" t="s">
        <v>279</v>
      </c>
      <c r="B1110" s="4" t="s">
        <v>17</v>
      </c>
      <c r="C1110" s="16" t="s">
        <v>18</v>
      </c>
      <c r="D1110" s="4">
        <v>11</v>
      </c>
      <c r="E1110" s="4" t="s">
        <v>745</v>
      </c>
      <c r="F1110" t="s">
        <v>384</v>
      </c>
      <c r="G1110" t="s">
        <v>290</v>
      </c>
      <c r="J1110" s="4" t="s">
        <v>19</v>
      </c>
      <c r="K1110" s="4" t="s">
        <v>20</v>
      </c>
      <c r="L1110" s="4" t="s">
        <v>742</v>
      </c>
      <c r="M1110" s="17">
        <v>30</v>
      </c>
      <c r="N1110" s="17">
        <v>830</v>
      </c>
      <c r="O1110" s="18" t="s">
        <v>19</v>
      </c>
      <c r="P1110" s="18">
        <v>830</v>
      </c>
      <c r="Q1110" s="18">
        <v>30</v>
      </c>
      <c r="R1110" s="18"/>
      <c r="S1110" s="18"/>
      <c r="T1110" s="18"/>
      <c r="U11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10" s="19">
        <f>IF(AUDITORIA[[#This Row],[CAT]]="",0,1)</f>
        <v>1</v>
      </c>
      <c r="W1110" s="20">
        <v>46170</v>
      </c>
      <c r="X1110" s="21" t="str">
        <f>UPPER(IF(AUDITORIA[[#This Row],[DATA VERIFICAÇÃO]]="","",TEXT(AUDITORIA[[#This Row],[DATA VERIFICAÇÃO]],"mmm")))</f>
        <v>MAI</v>
      </c>
      <c r="Y1110" t="s">
        <v>598</v>
      </c>
      <c r="Z1110" t="s">
        <v>830</v>
      </c>
      <c r="AA1110" t="s">
        <v>600</v>
      </c>
    </row>
    <row r="1111" spans="1:27" ht="14.4" hidden="1" customHeight="1" x14ac:dyDescent="0.3">
      <c r="A1111" s="4" t="s">
        <v>279</v>
      </c>
      <c r="B1111" s="4" t="s">
        <v>17</v>
      </c>
      <c r="C1111" s="16" t="s">
        <v>18</v>
      </c>
      <c r="D1111" s="4">
        <v>11</v>
      </c>
      <c r="E1111" s="4" t="s">
        <v>745</v>
      </c>
      <c r="F1111" t="s">
        <v>378</v>
      </c>
      <c r="G1111" t="s">
        <v>290</v>
      </c>
      <c r="J1111" s="4" t="s">
        <v>19</v>
      </c>
      <c r="K1111" s="4" t="s">
        <v>20</v>
      </c>
      <c r="L1111" s="4" t="s">
        <v>742</v>
      </c>
      <c r="M1111" s="17">
        <v>30</v>
      </c>
      <c r="N1111" s="17">
        <v>794</v>
      </c>
      <c r="O1111" s="18" t="s">
        <v>19</v>
      </c>
      <c r="P1111" s="18">
        <v>794</v>
      </c>
      <c r="Q1111" s="18">
        <v>30</v>
      </c>
      <c r="R1111" s="18"/>
      <c r="S1111" s="18"/>
      <c r="T1111" s="18"/>
      <c r="U11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11" s="19">
        <f>IF(AUDITORIA[[#This Row],[CAT]]="",0,1)</f>
        <v>1</v>
      </c>
      <c r="W1111" s="20">
        <v>46170</v>
      </c>
      <c r="X1111" s="21" t="str">
        <f>UPPER(IF(AUDITORIA[[#This Row],[DATA VERIFICAÇÃO]]="","",TEXT(AUDITORIA[[#This Row],[DATA VERIFICAÇÃO]],"mmm")))</f>
        <v>MAI</v>
      </c>
      <c r="Y1111" t="s">
        <v>598</v>
      </c>
      <c r="Z1111" t="s">
        <v>830</v>
      </c>
      <c r="AA1111" t="s">
        <v>600</v>
      </c>
    </row>
    <row r="1112" spans="1:27" ht="14.4" hidden="1" customHeight="1" x14ac:dyDescent="0.3">
      <c r="A1112" s="4" t="s">
        <v>279</v>
      </c>
      <c r="B1112" s="4" t="s">
        <v>17</v>
      </c>
      <c r="C1112" s="16" t="s">
        <v>18</v>
      </c>
      <c r="D1112" s="4">
        <v>11</v>
      </c>
      <c r="E1112" s="4" t="s">
        <v>745</v>
      </c>
      <c r="F1112" t="s">
        <v>379</v>
      </c>
      <c r="G1112" t="s">
        <v>290</v>
      </c>
      <c r="J1112" s="4" t="s">
        <v>19</v>
      </c>
      <c r="K1112" s="4" t="s">
        <v>20</v>
      </c>
      <c r="L1112" s="4" t="s">
        <v>742</v>
      </c>
      <c r="M1112" s="17">
        <v>30</v>
      </c>
      <c r="N1112" s="17">
        <v>785</v>
      </c>
      <c r="O1112" s="18" t="s">
        <v>19</v>
      </c>
      <c r="P1112" s="18">
        <v>785</v>
      </c>
      <c r="Q1112" s="18">
        <v>30</v>
      </c>
      <c r="R1112" s="18"/>
      <c r="S1112" s="18"/>
      <c r="T1112" s="18"/>
      <c r="U11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12" s="19">
        <f>IF(AUDITORIA[[#This Row],[CAT]]="",0,1)</f>
        <v>1</v>
      </c>
      <c r="W1112" s="20">
        <v>46170</v>
      </c>
      <c r="X1112" s="21" t="str">
        <f>UPPER(IF(AUDITORIA[[#This Row],[DATA VERIFICAÇÃO]]="","",TEXT(AUDITORIA[[#This Row],[DATA VERIFICAÇÃO]],"mmm")))</f>
        <v>MAI</v>
      </c>
      <c r="Y1112" t="s">
        <v>598</v>
      </c>
      <c r="Z1112" t="s">
        <v>830</v>
      </c>
      <c r="AA1112" t="s">
        <v>600</v>
      </c>
    </row>
    <row r="1113" spans="1:27" ht="14.4" hidden="1" customHeight="1" x14ac:dyDescent="0.3">
      <c r="A1113" s="4" t="s">
        <v>279</v>
      </c>
      <c r="B1113" s="4" t="s">
        <v>17</v>
      </c>
      <c r="C1113" s="16" t="s">
        <v>18</v>
      </c>
      <c r="D1113" s="4">
        <v>11</v>
      </c>
      <c r="E1113" s="4" t="s">
        <v>745</v>
      </c>
      <c r="F1113" t="s">
        <v>375</v>
      </c>
      <c r="G1113" t="s">
        <v>290</v>
      </c>
      <c r="J1113" s="4" t="s">
        <v>19</v>
      </c>
      <c r="K1113" s="4" t="s">
        <v>20</v>
      </c>
      <c r="L1113" s="4" t="s">
        <v>742</v>
      </c>
      <c r="M1113" s="17">
        <v>30</v>
      </c>
      <c r="N1113" s="17">
        <v>789</v>
      </c>
      <c r="O1113" s="18" t="s">
        <v>19</v>
      </c>
      <c r="P1113" s="18">
        <v>789</v>
      </c>
      <c r="Q1113" s="18">
        <v>30</v>
      </c>
      <c r="R1113" s="18"/>
      <c r="S1113" s="18"/>
      <c r="T1113" s="18"/>
      <c r="U11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13" s="19">
        <f>IF(AUDITORIA[[#This Row],[CAT]]="",0,1)</f>
        <v>1</v>
      </c>
      <c r="W1113" s="20">
        <v>46170</v>
      </c>
      <c r="X1113" s="21" t="str">
        <f>UPPER(IF(AUDITORIA[[#This Row],[DATA VERIFICAÇÃO]]="","",TEXT(AUDITORIA[[#This Row],[DATA VERIFICAÇÃO]],"mmm")))</f>
        <v>MAI</v>
      </c>
      <c r="Y1113" t="s">
        <v>598</v>
      </c>
      <c r="Z1113" t="s">
        <v>830</v>
      </c>
      <c r="AA1113" t="s">
        <v>600</v>
      </c>
    </row>
    <row r="1114" spans="1:27" ht="14.4" hidden="1" customHeight="1" x14ac:dyDescent="0.3">
      <c r="A1114" s="4" t="s">
        <v>279</v>
      </c>
      <c r="B1114" s="4" t="s">
        <v>17</v>
      </c>
      <c r="C1114" s="16" t="s">
        <v>18</v>
      </c>
      <c r="D1114" s="4">
        <v>11</v>
      </c>
      <c r="E1114" s="4" t="s">
        <v>745</v>
      </c>
      <c r="F1114" t="s">
        <v>373</v>
      </c>
      <c r="G1114" t="s">
        <v>290</v>
      </c>
      <c r="J1114" s="4" t="s">
        <v>19</v>
      </c>
      <c r="K1114" s="4" t="s">
        <v>20</v>
      </c>
      <c r="L1114" s="4" t="s">
        <v>742</v>
      </c>
      <c r="M1114" s="17">
        <v>30</v>
      </c>
      <c r="N1114" s="17">
        <v>792</v>
      </c>
      <c r="O1114" s="18" t="s">
        <v>19</v>
      </c>
      <c r="P1114" s="18">
        <v>792</v>
      </c>
      <c r="Q1114" s="18">
        <v>30</v>
      </c>
      <c r="R1114" s="18"/>
      <c r="S1114" s="18"/>
      <c r="T1114" s="18"/>
      <c r="U11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14" s="19">
        <f>IF(AUDITORIA[[#This Row],[CAT]]="",0,1)</f>
        <v>1</v>
      </c>
      <c r="W1114" s="20">
        <v>46170</v>
      </c>
      <c r="X1114" s="21" t="str">
        <f>UPPER(IF(AUDITORIA[[#This Row],[DATA VERIFICAÇÃO]]="","",TEXT(AUDITORIA[[#This Row],[DATA VERIFICAÇÃO]],"mmm")))</f>
        <v>MAI</v>
      </c>
      <c r="Y1114" t="s">
        <v>598</v>
      </c>
      <c r="Z1114" t="s">
        <v>830</v>
      </c>
      <c r="AA1114" t="s">
        <v>600</v>
      </c>
    </row>
    <row r="1115" spans="1:27" ht="14.4" hidden="1" customHeight="1" x14ac:dyDescent="0.3">
      <c r="A1115" s="4" t="s">
        <v>279</v>
      </c>
      <c r="B1115" s="4" t="s">
        <v>17</v>
      </c>
      <c r="C1115" s="16" t="s">
        <v>18</v>
      </c>
      <c r="D1115" s="4">
        <v>11</v>
      </c>
      <c r="E1115" s="4" t="s">
        <v>745</v>
      </c>
      <c r="F1115" t="s">
        <v>365</v>
      </c>
      <c r="G1115" t="s">
        <v>290</v>
      </c>
      <c r="J1115" s="4" t="s">
        <v>19</v>
      </c>
      <c r="K1115" s="4" t="s">
        <v>20</v>
      </c>
      <c r="L1115" s="4" t="s">
        <v>742</v>
      </c>
      <c r="M1115" s="17">
        <v>30</v>
      </c>
      <c r="N1115" s="17">
        <v>802</v>
      </c>
      <c r="O1115" s="18" t="s">
        <v>19</v>
      </c>
      <c r="P1115" s="18">
        <v>802</v>
      </c>
      <c r="Q1115" s="18">
        <v>30</v>
      </c>
      <c r="R1115" s="18"/>
      <c r="S1115" s="18"/>
      <c r="T1115" s="18"/>
      <c r="U11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15" s="19">
        <f>IF(AUDITORIA[[#This Row],[CAT]]="",0,1)</f>
        <v>1</v>
      </c>
      <c r="W1115" s="20">
        <v>46170</v>
      </c>
      <c r="X1115" s="21" t="str">
        <f>UPPER(IF(AUDITORIA[[#This Row],[DATA VERIFICAÇÃO]]="","",TEXT(AUDITORIA[[#This Row],[DATA VERIFICAÇÃO]],"mmm")))</f>
        <v>MAI</v>
      </c>
      <c r="Y1115" t="s">
        <v>598</v>
      </c>
      <c r="Z1115" t="s">
        <v>830</v>
      </c>
      <c r="AA1115" t="s">
        <v>600</v>
      </c>
    </row>
    <row r="1116" spans="1:27" ht="14.4" hidden="1" customHeight="1" x14ac:dyDescent="0.3">
      <c r="A1116" s="4" t="s">
        <v>279</v>
      </c>
      <c r="B1116" s="4" t="s">
        <v>17</v>
      </c>
      <c r="C1116" s="16" t="s">
        <v>18</v>
      </c>
      <c r="D1116" s="4">
        <v>11</v>
      </c>
      <c r="E1116" s="4" t="s">
        <v>745</v>
      </c>
      <c r="F1116" t="s">
        <v>362</v>
      </c>
      <c r="G1116" t="s">
        <v>290</v>
      </c>
      <c r="J1116" s="4" t="s">
        <v>19</v>
      </c>
      <c r="K1116" s="4" t="s">
        <v>20</v>
      </c>
      <c r="L1116" s="4" t="s">
        <v>742</v>
      </c>
      <c r="M1116" s="17">
        <v>30</v>
      </c>
      <c r="N1116" s="17">
        <v>797</v>
      </c>
      <c r="O1116" s="18" t="s">
        <v>19</v>
      </c>
      <c r="P1116" s="18">
        <v>797</v>
      </c>
      <c r="Q1116" s="18">
        <v>30</v>
      </c>
      <c r="R1116" s="18"/>
      <c r="S1116" s="18"/>
      <c r="T1116" s="18"/>
      <c r="U11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16" s="19">
        <f>IF(AUDITORIA[[#This Row],[CAT]]="",0,1)</f>
        <v>1</v>
      </c>
      <c r="W1116" s="20">
        <v>46170</v>
      </c>
      <c r="X1116" s="21" t="str">
        <f>UPPER(IF(AUDITORIA[[#This Row],[DATA VERIFICAÇÃO]]="","",TEXT(AUDITORIA[[#This Row],[DATA VERIFICAÇÃO]],"mmm")))</f>
        <v>MAI</v>
      </c>
      <c r="Y1116" t="s">
        <v>598</v>
      </c>
      <c r="Z1116" t="s">
        <v>830</v>
      </c>
      <c r="AA1116" t="s">
        <v>600</v>
      </c>
    </row>
    <row r="1117" spans="1:27" ht="14.4" hidden="1" customHeight="1" x14ac:dyDescent="0.3">
      <c r="A1117" s="4" t="s">
        <v>279</v>
      </c>
      <c r="B1117" s="4" t="s">
        <v>17</v>
      </c>
      <c r="C1117" s="16" t="s">
        <v>18</v>
      </c>
      <c r="D1117" s="4">
        <v>11</v>
      </c>
      <c r="E1117" s="4" t="s">
        <v>745</v>
      </c>
      <c r="F1117" t="s">
        <v>357</v>
      </c>
      <c r="G1117" t="s">
        <v>290</v>
      </c>
      <c r="J1117" s="4" t="s">
        <v>19</v>
      </c>
      <c r="K1117" s="4" t="s">
        <v>20</v>
      </c>
      <c r="L1117" s="4" t="s">
        <v>742</v>
      </c>
      <c r="M1117" s="17">
        <v>30</v>
      </c>
      <c r="N1117" s="17">
        <v>764</v>
      </c>
      <c r="O1117" s="18" t="s">
        <v>19</v>
      </c>
      <c r="P1117" s="18">
        <v>764</v>
      </c>
      <c r="Q1117" s="18">
        <v>30</v>
      </c>
      <c r="R1117" s="18"/>
      <c r="S1117" s="18"/>
      <c r="T1117" s="18"/>
      <c r="U11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17" s="19">
        <f>IF(AUDITORIA[[#This Row],[CAT]]="",0,1)</f>
        <v>1</v>
      </c>
      <c r="W1117" s="20">
        <v>46170</v>
      </c>
      <c r="X1117" s="21" t="str">
        <f>UPPER(IF(AUDITORIA[[#This Row],[DATA VERIFICAÇÃO]]="","",TEXT(AUDITORIA[[#This Row],[DATA VERIFICAÇÃO]],"mmm")))</f>
        <v>MAI</v>
      </c>
      <c r="Y1117" t="s">
        <v>598</v>
      </c>
      <c r="Z1117" t="s">
        <v>830</v>
      </c>
      <c r="AA1117" t="s">
        <v>600</v>
      </c>
    </row>
    <row r="1118" spans="1:27" ht="14.4" hidden="1" customHeight="1" x14ac:dyDescent="0.3">
      <c r="A1118" s="4" t="s">
        <v>279</v>
      </c>
      <c r="B1118" s="4" t="s">
        <v>17</v>
      </c>
      <c r="C1118" s="16" t="s">
        <v>18</v>
      </c>
      <c r="D1118" s="4">
        <v>11</v>
      </c>
      <c r="E1118" s="4" t="s">
        <v>745</v>
      </c>
      <c r="F1118" t="s">
        <v>354</v>
      </c>
      <c r="G1118" t="s">
        <v>290</v>
      </c>
      <c r="J1118" s="4" t="s">
        <v>19</v>
      </c>
      <c r="K1118" s="4" t="s">
        <v>20</v>
      </c>
      <c r="L1118" s="4" t="s">
        <v>742</v>
      </c>
      <c r="M1118" s="17">
        <v>30</v>
      </c>
      <c r="N1118" s="17">
        <v>764</v>
      </c>
      <c r="O1118" s="18" t="s">
        <v>19</v>
      </c>
      <c r="P1118" s="18">
        <v>764</v>
      </c>
      <c r="Q1118" s="18">
        <v>30</v>
      </c>
      <c r="R1118" s="18"/>
      <c r="S1118" s="18"/>
      <c r="T1118" s="18"/>
      <c r="U11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18" s="19">
        <f>IF(AUDITORIA[[#This Row],[CAT]]="",0,1)</f>
        <v>1</v>
      </c>
      <c r="W1118" s="20">
        <v>46170</v>
      </c>
      <c r="X1118" s="21" t="str">
        <f>UPPER(IF(AUDITORIA[[#This Row],[DATA VERIFICAÇÃO]]="","",TEXT(AUDITORIA[[#This Row],[DATA VERIFICAÇÃO]],"mmm")))</f>
        <v>MAI</v>
      </c>
      <c r="Y1118" t="s">
        <v>598</v>
      </c>
      <c r="Z1118" t="s">
        <v>830</v>
      </c>
      <c r="AA1118" t="s">
        <v>600</v>
      </c>
    </row>
    <row r="1119" spans="1:27" ht="14.4" hidden="1" customHeight="1" x14ac:dyDescent="0.3">
      <c r="A1119" s="4" t="s">
        <v>279</v>
      </c>
      <c r="B1119" s="4" t="s">
        <v>17</v>
      </c>
      <c r="C1119" s="16" t="s">
        <v>18</v>
      </c>
      <c r="D1119" s="4">
        <v>11</v>
      </c>
      <c r="E1119" s="4" t="s">
        <v>745</v>
      </c>
      <c r="F1119" t="s">
        <v>351</v>
      </c>
      <c r="G1119" t="s">
        <v>290</v>
      </c>
      <c r="J1119" s="4" t="s">
        <v>19</v>
      </c>
      <c r="K1119" s="4" t="s">
        <v>20</v>
      </c>
      <c r="L1119" s="4" t="s">
        <v>742</v>
      </c>
      <c r="M1119" s="17">
        <v>30</v>
      </c>
      <c r="N1119" s="17">
        <v>765</v>
      </c>
      <c r="O1119" s="18" t="s">
        <v>19</v>
      </c>
      <c r="P1119" s="18">
        <v>765</v>
      </c>
      <c r="Q1119" s="18">
        <v>30</v>
      </c>
      <c r="R1119" s="18"/>
      <c r="S1119" s="18"/>
      <c r="T1119" s="18"/>
      <c r="U11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19" s="19">
        <f>IF(AUDITORIA[[#This Row],[CAT]]="",0,1)</f>
        <v>1</v>
      </c>
      <c r="W1119" s="20">
        <v>46170</v>
      </c>
      <c r="X1119" s="21" t="str">
        <f>UPPER(IF(AUDITORIA[[#This Row],[DATA VERIFICAÇÃO]]="","",TEXT(AUDITORIA[[#This Row],[DATA VERIFICAÇÃO]],"mmm")))</f>
        <v>MAI</v>
      </c>
      <c r="Y1119" t="s">
        <v>598</v>
      </c>
      <c r="Z1119" t="s">
        <v>830</v>
      </c>
      <c r="AA1119" t="s">
        <v>600</v>
      </c>
    </row>
    <row r="1120" spans="1:27" ht="14.4" hidden="1" customHeight="1" x14ac:dyDescent="0.3">
      <c r="A1120" s="4" t="s">
        <v>279</v>
      </c>
      <c r="B1120" s="4" t="s">
        <v>17</v>
      </c>
      <c r="C1120" s="16" t="s">
        <v>18</v>
      </c>
      <c r="D1120" s="4">
        <v>11</v>
      </c>
      <c r="E1120" s="4" t="s">
        <v>745</v>
      </c>
      <c r="F1120" t="s">
        <v>345</v>
      </c>
      <c r="G1120" t="s">
        <v>290</v>
      </c>
      <c r="J1120" s="4" t="s">
        <v>19</v>
      </c>
      <c r="K1120" s="4" t="s">
        <v>20</v>
      </c>
      <c r="L1120" s="4" t="s">
        <v>742</v>
      </c>
      <c r="M1120" s="17">
        <v>30</v>
      </c>
      <c r="N1120" s="17">
        <v>762</v>
      </c>
      <c r="O1120" s="18" t="s">
        <v>19</v>
      </c>
      <c r="P1120" s="18">
        <v>762</v>
      </c>
      <c r="Q1120" s="18">
        <v>30</v>
      </c>
      <c r="R1120" s="18"/>
      <c r="S1120" s="18"/>
      <c r="T1120" s="18"/>
      <c r="U11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20" s="19">
        <f>IF(AUDITORIA[[#This Row],[CAT]]="",0,1)</f>
        <v>1</v>
      </c>
      <c r="W1120" s="20">
        <v>46170</v>
      </c>
      <c r="X1120" s="21" t="str">
        <f>UPPER(IF(AUDITORIA[[#This Row],[DATA VERIFICAÇÃO]]="","",TEXT(AUDITORIA[[#This Row],[DATA VERIFICAÇÃO]],"mmm")))</f>
        <v>MAI</v>
      </c>
      <c r="Y1120" t="s">
        <v>598</v>
      </c>
      <c r="Z1120" t="s">
        <v>830</v>
      </c>
      <c r="AA1120" t="s">
        <v>600</v>
      </c>
    </row>
    <row r="1121" spans="1:27" ht="14.4" hidden="1" customHeight="1" x14ac:dyDescent="0.3">
      <c r="A1121" s="4" t="s">
        <v>279</v>
      </c>
      <c r="B1121" s="4" t="s">
        <v>17</v>
      </c>
      <c r="C1121" s="16" t="s">
        <v>18</v>
      </c>
      <c r="D1121" s="4">
        <v>11</v>
      </c>
      <c r="E1121" s="4" t="s">
        <v>745</v>
      </c>
      <c r="F1121" t="s">
        <v>341</v>
      </c>
      <c r="G1121" t="s">
        <v>290</v>
      </c>
      <c r="J1121" s="4" t="s">
        <v>19</v>
      </c>
      <c r="K1121" s="4" t="s">
        <v>20</v>
      </c>
      <c r="L1121" s="4" t="s">
        <v>742</v>
      </c>
      <c r="M1121" s="17">
        <v>30</v>
      </c>
      <c r="N1121" s="17">
        <v>787</v>
      </c>
      <c r="O1121" s="18" t="s">
        <v>19</v>
      </c>
      <c r="P1121" s="18">
        <v>787</v>
      </c>
      <c r="Q1121" s="18">
        <v>30</v>
      </c>
      <c r="R1121" s="18"/>
      <c r="S1121" s="18"/>
      <c r="T1121" s="18"/>
      <c r="U11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21" s="19">
        <f>IF(AUDITORIA[[#This Row],[CAT]]="",0,1)</f>
        <v>1</v>
      </c>
      <c r="W1121" s="20">
        <v>46170</v>
      </c>
      <c r="X1121" s="21" t="str">
        <f>UPPER(IF(AUDITORIA[[#This Row],[DATA VERIFICAÇÃO]]="","",TEXT(AUDITORIA[[#This Row],[DATA VERIFICAÇÃO]],"mmm")))</f>
        <v>MAI</v>
      </c>
      <c r="Y1121" t="s">
        <v>598</v>
      </c>
      <c r="Z1121" t="s">
        <v>830</v>
      </c>
      <c r="AA1121" t="s">
        <v>600</v>
      </c>
    </row>
    <row r="1122" spans="1:27" ht="14.4" hidden="1" customHeight="1" x14ac:dyDescent="0.3">
      <c r="A1122" s="4" t="s">
        <v>279</v>
      </c>
      <c r="B1122" s="4" t="s">
        <v>17</v>
      </c>
      <c r="C1122" s="16" t="s">
        <v>18</v>
      </c>
      <c r="D1122" s="4">
        <v>11</v>
      </c>
      <c r="E1122" s="4" t="s">
        <v>745</v>
      </c>
      <c r="F1122" t="s">
        <v>338</v>
      </c>
      <c r="G1122" t="s">
        <v>290</v>
      </c>
      <c r="J1122" s="4" t="s">
        <v>31</v>
      </c>
      <c r="K1122" s="4" t="s">
        <v>20</v>
      </c>
      <c r="L1122" s="4" t="s">
        <v>742</v>
      </c>
      <c r="M1122" s="17">
        <v>30</v>
      </c>
      <c r="N1122" s="17">
        <v>787</v>
      </c>
      <c r="O1122" s="18" t="s">
        <v>31</v>
      </c>
      <c r="P1122" s="18">
        <v>787</v>
      </c>
      <c r="Q1122" s="18">
        <v>30</v>
      </c>
      <c r="R1122" s="18"/>
      <c r="S1122" s="18"/>
      <c r="T1122" s="18"/>
      <c r="U11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22" s="19">
        <f>IF(AUDITORIA[[#This Row],[CAT]]="",0,1)</f>
        <v>1</v>
      </c>
      <c r="W1122" s="20">
        <v>46170</v>
      </c>
      <c r="X1122" s="21" t="str">
        <f>UPPER(IF(AUDITORIA[[#This Row],[DATA VERIFICAÇÃO]]="","",TEXT(AUDITORIA[[#This Row],[DATA VERIFICAÇÃO]],"mmm")))</f>
        <v>MAI</v>
      </c>
      <c r="Y1122" t="s">
        <v>598</v>
      </c>
      <c r="Z1122" t="s">
        <v>830</v>
      </c>
      <c r="AA1122" t="s">
        <v>600</v>
      </c>
    </row>
    <row r="1123" spans="1:27" ht="14.4" hidden="1" customHeight="1" x14ac:dyDescent="0.3">
      <c r="A1123" s="4" t="s">
        <v>279</v>
      </c>
      <c r="B1123" s="4" t="s">
        <v>17</v>
      </c>
      <c r="C1123" s="16" t="s">
        <v>18</v>
      </c>
      <c r="D1123" s="4">
        <v>11</v>
      </c>
      <c r="E1123" s="4" t="s">
        <v>745</v>
      </c>
      <c r="F1123" t="s">
        <v>336</v>
      </c>
      <c r="G1123" t="s">
        <v>290</v>
      </c>
      <c r="J1123" s="4" t="s">
        <v>31</v>
      </c>
      <c r="K1123" s="4" t="s">
        <v>20</v>
      </c>
      <c r="L1123" s="4" t="s">
        <v>742</v>
      </c>
      <c r="M1123" s="17">
        <v>30</v>
      </c>
      <c r="N1123" s="17">
        <v>778</v>
      </c>
      <c r="O1123" s="18" t="s">
        <v>31</v>
      </c>
      <c r="P1123" s="18">
        <v>778</v>
      </c>
      <c r="Q1123" s="18">
        <v>30</v>
      </c>
      <c r="R1123" s="18"/>
      <c r="S1123" s="18"/>
      <c r="T1123" s="18"/>
      <c r="U11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23" s="19">
        <f>IF(AUDITORIA[[#This Row],[CAT]]="",0,1)</f>
        <v>1</v>
      </c>
      <c r="W1123" s="20">
        <v>46170</v>
      </c>
      <c r="X1123" s="21" t="str">
        <f>UPPER(IF(AUDITORIA[[#This Row],[DATA VERIFICAÇÃO]]="","",TEXT(AUDITORIA[[#This Row],[DATA VERIFICAÇÃO]],"mmm")))</f>
        <v>MAI</v>
      </c>
      <c r="Y1123" t="s">
        <v>598</v>
      </c>
      <c r="Z1123" t="s">
        <v>830</v>
      </c>
      <c r="AA1123" t="s">
        <v>600</v>
      </c>
    </row>
    <row r="1124" spans="1:27" ht="14.4" hidden="1" customHeight="1" x14ac:dyDescent="0.3">
      <c r="A1124" s="4" t="s">
        <v>279</v>
      </c>
      <c r="B1124" s="4" t="s">
        <v>17</v>
      </c>
      <c r="C1124" s="16" t="s">
        <v>18</v>
      </c>
      <c r="D1124" s="4">
        <v>11</v>
      </c>
      <c r="E1124" s="4" t="s">
        <v>745</v>
      </c>
      <c r="F1124" t="s">
        <v>334</v>
      </c>
      <c r="G1124" t="s">
        <v>290</v>
      </c>
      <c r="J1124" s="4" t="s">
        <v>31</v>
      </c>
      <c r="K1124" s="4" t="s">
        <v>20</v>
      </c>
      <c r="L1124" s="4" t="s">
        <v>742</v>
      </c>
      <c r="M1124" s="17">
        <v>30</v>
      </c>
      <c r="N1124" s="17">
        <v>785</v>
      </c>
      <c r="O1124" s="18" t="s">
        <v>31</v>
      </c>
      <c r="P1124" s="18">
        <v>785</v>
      </c>
      <c r="Q1124" s="18">
        <v>30</v>
      </c>
      <c r="R1124" s="18"/>
      <c r="S1124" s="18"/>
      <c r="T1124" s="18"/>
      <c r="U11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24" s="19">
        <f>IF(AUDITORIA[[#This Row],[CAT]]="",0,1)</f>
        <v>1</v>
      </c>
      <c r="W1124" s="20">
        <v>46170</v>
      </c>
      <c r="X1124" s="21" t="str">
        <f>UPPER(IF(AUDITORIA[[#This Row],[DATA VERIFICAÇÃO]]="","",TEXT(AUDITORIA[[#This Row],[DATA VERIFICAÇÃO]],"mmm")))</f>
        <v>MAI</v>
      </c>
      <c r="Y1124" t="s">
        <v>598</v>
      </c>
      <c r="Z1124" t="s">
        <v>830</v>
      </c>
      <c r="AA1124" t="s">
        <v>600</v>
      </c>
    </row>
    <row r="1125" spans="1:27" ht="14.4" hidden="1" customHeight="1" x14ac:dyDescent="0.3">
      <c r="A1125" s="4" t="s">
        <v>279</v>
      </c>
      <c r="B1125" s="4" t="s">
        <v>17</v>
      </c>
      <c r="C1125" s="16" t="s">
        <v>18</v>
      </c>
      <c r="D1125" s="4">
        <v>11</v>
      </c>
      <c r="E1125" s="4" t="s">
        <v>745</v>
      </c>
      <c r="F1125" t="s">
        <v>330</v>
      </c>
      <c r="G1125" t="s">
        <v>290</v>
      </c>
      <c r="J1125" s="4" t="s">
        <v>31</v>
      </c>
      <c r="K1125" s="4" t="s">
        <v>20</v>
      </c>
      <c r="L1125" s="4" t="s">
        <v>742</v>
      </c>
      <c r="M1125" s="17">
        <v>30</v>
      </c>
      <c r="N1125" s="17">
        <v>789</v>
      </c>
      <c r="O1125" s="18" t="s">
        <v>31</v>
      </c>
      <c r="P1125" s="18">
        <v>789</v>
      </c>
      <c r="Q1125" s="18">
        <v>30</v>
      </c>
      <c r="R1125" s="18"/>
      <c r="S1125" s="18"/>
      <c r="T1125" s="18"/>
      <c r="U11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25" s="19">
        <f>IF(AUDITORIA[[#This Row],[CAT]]="",0,1)</f>
        <v>1</v>
      </c>
      <c r="W1125" s="20">
        <v>46170</v>
      </c>
      <c r="X1125" s="21" t="str">
        <f>UPPER(IF(AUDITORIA[[#This Row],[DATA VERIFICAÇÃO]]="","",TEXT(AUDITORIA[[#This Row],[DATA VERIFICAÇÃO]],"mmm")))</f>
        <v>MAI</v>
      </c>
      <c r="Y1125" t="s">
        <v>598</v>
      </c>
      <c r="Z1125" t="s">
        <v>830</v>
      </c>
      <c r="AA1125" t="s">
        <v>600</v>
      </c>
    </row>
    <row r="1126" spans="1:27" ht="14.4" hidden="1" customHeight="1" x14ac:dyDescent="0.3">
      <c r="A1126" s="4" t="s">
        <v>279</v>
      </c>
      <c r="B1126" s="4" t="s">
        <v>17</v>
      </c>
      <c r="C1126" s="16" t="s">
        <v>18</v>
      </c>
      <c r="D1126" s="4">
        <v>11</v>
      </c>
      <c r="E1126" s="4" t="s">
        <v>745</v>
      </c>
      <c r="F1126" t="s">
        <v>328</v>
      </c>
      <c r="G1126" t="s">
        <v>290</v>
      </c>
      <c r="J1126" s="4" t="s">
        <v>31</v>
      </c>
      <c r="K1126" s="4" t="s">
        <v>20</v>
      </c>
      <c r="L1126" s="4" t="s">
        <v>742</v>
      </c>
      <c r="M1126" s="17">
        <v>30</v>
      </c>
      <c r="N1126" s="17">
        <v>783</v>
      </c>
      <c r="O1126" s="18" t="s">
        <v>31</v>
      </c>
      <c r="P1126" s="18">
        <v>783</v>
      </c>
      <c r="Q1126" s="18">
        <v>30</v>
      </c>
      <c r="R1126" s="18"/>
      <c r="S1126" s="18"/>
      <c r="T1126" s="18"/>
      <c r="U11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26" s="19">
        <f>IF(AUDITORIA[[#This Row],[CAT]]="",0,1)</f>
        <v>1</v>
      </c>
      <c r="W1126" s="20">
        <v>46170</v>
      </c>
      <c r="X1126" s="21" t="str">
        <f>UPPER(IF(AUDITORIA[[#This Row],[DATA VERIFICAÇÃO]]="","",TEXT(AUDITORIA[[#This Row],[DATA VERIFICAÇÃO]],"mmm")))</f>
        <v>MAI</v>
      </c>
      <c r="Y1126" t="s">
        <v>598</v>
      </c>
      <c r="Z1126" t="s">
        <v>830</v>
      </c>
      <c r="AA1126" t="s">
        <v>600</v>
      </c>
    </row>
    <row r="1127" spans="1:27" ht="14.4" hidden="1" customHeight="1" x14ac:dyDescent="0.3">
      <c r="A1127" s="4" t="s">
        <v>279</v>
      </c>
      <c r="B1127" s="4" t="s">
        <v>17</v>
      </c>
      <c r="C1127" s="16" t="s">
        <v>18</v>
      </c>
      <c r="D1127" s="4">
        <v>11</v>
      </c>
      <c r="E1127" s="4" t="s">
        <v>745</v>
      </c>
      <c r="F1127" t="s">
        <v>326</v>
      </c>
      <c r="G1127" t="s">
        <v>290</v>
      </c>
      <c r="J1127" s="4" t="s">
        <v>31</v>
      </c>
      <c r="K1127" s="4" t="s">
        <v>20</v>
      </c>
      <c r="L1127" s="4" t="s">
        <v>742</v>
      </c>
      <c r="M1127" s="17">
        <v>30</v>
      </c>
      <c r="N1127" s="17">
        <v>775</v>
      </c>
      <c r="O1127" s="18" t="s">
        <v>31</v>
      </c>
      <c r="P1127" s="18">
        <v>775</v>
      </c>
      <c r="Q1127" s="18">
        <v>30</v>
      </c>
      <c r="R1127" s="18"/>
      <c r="S1127" s="18"/>
      <c r="T1127" s="18"/>
      <c r="U11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27" s="19">
        <f>IF(AUDITORIA[[#This Row],[CAT]]="",0,1)</f>
        <v>1</v>
      </c>
      <c r="W1127" s="20">
        <v>46170</v>
      </c>
      <c r="X1127" s="21" t="str">
        <f>UPPER(IF(AUDITORIA[[#This Row],[DATA VERIFICAÇÃO]]="","",TEXT(AUDITORIA[[#This Row],[DATA VERIFICAÇÃO]],"mmm")))</f>
        <v>MAI</v>
      </c>
      <c r="Y1127" t="s">
        <v>598</v>
      </c>
      <c r="Z1127" t="s">
        <v>830</v>
      </c>
      <c r="AA1127" t="s">
        <v>600</v>
      </c>
    </row>
    <row r="1128" spans="1:27" ht="14.4" hidden="1" customHeight="1" x14ac:dyDescent="0.3">
      <c r="A1128" s="4" t="s">
        <v>279</v>
      </c>
      <c r="B1128" s="4" t="s">
        <v>17</v>
      </c>
      <c r="C1128" s="16" t="s">
        <v>18</v>
      </c>
      <c r="D1128" s="4">
        <v>11</v>
      </c>
      <c r="E1128" s="4" t="s">
        <v>745</v>
      </c>
      <c r="F1128" t="s">
        <v>322</v>
      </c>
      <c r="G1128" t="s">
        <v>290</v>
      </c>
      <c r="J1128" s="4" t="s">
        <v>31</v>
      </c>
      <c r="K1128" s="4" t="s">
        <v>20</v>
      </c>
      <c r="L1128" s="4" t="s">
        <v>742</v>
      </c>
      <c r="M1128" s="17">
        <v>30</v>
      </c>
      <c r="N1128" s="17">
        <v>747</v>
      </c>
      <c r="O1128" s="18" t="s">
        <v>31</v>
      </c>
      <c r="P1128" s="18">
        <v>747</v>
      </c>
      <c r="Q1128" s="18">
        <v>30</v>
      </c>
      <c r="R1128" s="18"/>
      <c r="S1128" s="18"/>
      <c r="T1128" s="18"/>
      <c r="U11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28" s="19">
        <f>IF(AUDITORIA[[#This Row],[CAT]]="",0,1)</f>
        <v>1</v>
      </c>
      <c r="W1128" s="20">
        <v>46170</v>
      </c>
      <c r="X1128" s="21" t="str">
        <f>UPPER(IF(AUDITORIA[[#This Row],[DATA VERIFICAÇÃO]]="","",TEXT(AUDITORIA[[#This Row],[DATA VERIFICAÇÃO]],"mmm")))</f>
        <v>MAI</v>
      </c>
      <c r="Y1128" t="s">
        <v>598</v>
      </c>
      <c r="Z1128" t="s">
        <v>830</v>
      </c>
      <c r="AA1128" t="s">
        <v>600</v>
      </c>
    </row>
    <row r="1129" spans="1:27" ht="14.4" hidden="1" customHeight="1" x14ac:dyDescent="0.3">
      <c r="A1129" s="4" t="s">
        <v>279</v>
      </c>
      <c r="B1129" s="4" t="s">
        <v>17</v>
      </c>
      <c r="C1129" s="16" t="s">
        <v>18</v>
      </c>
      <c r="D1129" s="4">
        <v>11</v>
      </c>
      <c r="E1129" s="4" t="s">
        <v>745</v>
      </c>
      <c r="F1129" t="s">
        <v>320</v>
      </c>
      <c r="G1129" t="s">
        <v>290</v>
      </c>
      <c r="J1129" s="4" t="s">
        <v>19</v>
      </c>
      <c r="K1129" s="4" t="s">
        <v>20</v>
      </c>
      <c r="L1129" s="4" t="s">
        <v>742</v>
      </c>
      <c r="M1129" s="17">
        <v>30</v>
      </c>
      <c r="N1129" s="17">
        <v>786</v>
      </c>
      <c r="O1129" s="18" t="s">
        <v>19</v>
      </c>
      <c r="P1129" s="18">
        <v>786</v>
      </c>
      <c r="Q1129" s="18">
        <v>30</v>
      </c>
      <c r="R1129" s="18"/>
      <c r="S1129" s="18"/>
      <c r="T1129" s="18"/>
      <c r="U11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29" s="19">
        <f>IF(AUDITORIA[[#This Row],[CAT]]="",0,1)</f>
        <v>1</v>
      </c>
      <c r="W1129" s="20">
        <v>46170</v>
      </c>
      <c r="X1129" s="21" t="str">
        <f>UPPER(IF(AUDITORIA[[#This Row],[DATA VERIFICAÇÃO]]="","",TEXT(AUDITORIA[[#This Row],[DATA VERIFICAÇÃO]],"mmm")))</f>
        <v>MAI</v>
      </c>
      <c r="Y1129" t="s">
        <v>598</v>
      </c>
      <c r="Z1129" t="s">
        <v>830</v>
      </c>
      <c r="AA1129" t="s">
        <v>600</v>
      </c>
    </row>
    <row r="1130" spans="1:27" ht="14.4" hidden="1" customHeight="1" x14ac:dyDescent="0.3">
      <c r="A1130" s="4" t="s">
        <v>279</v>
      </c>
      <c r="B1130" s="4" t="s">
        <v>17</v>
      </c>
      <c r="C1130" s="16" t="s">
        <v>18</v>
      </c>
      <c r="D1130" s="4">
        <v>11</v>
      </c>
      <c r="E1130" s="4" t="s">
        <v>745</v>
      </c>
      <c r="F1130" t="s">
        <v>319</v>
      </c>
      <c r="G1130" t="s">
        <v>290</v>
      </c>
      <c r="J1130" s="4" t="s">
        <v>19</v>
      </c>
      <c r="K1130" s="4" t="s">
        <v>20</v>
      </c>
      <c r="L1130" s="4" t="s">
        <v>742</v>
      </c>
      <c r="M1130" s="17">
        <v>30</v>
      </c>
      <c r="N1130" s="17">
        <v>759</v>
      </c>
      <c r="O1130" s="18" t="s">
        <v>19</v>
      </c>
      <c r="P1130" s="18">
        <v>759</v>
      </c>
      <c r="Q1130" s="18">
        <v>30</v>
      </c>
      <c r="R1130" s="18"/>
      <c r="S1130" s="18"/>
      <c r="T1130" s="18"/>
      <c r="U11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30" s="19">
        <f>IF(AUDITORIA[[#This Row],[CAT]]="",0,1)</f>
        <v>1</v>
      </c>
      <c r="W1130" s="20">
        <v>46170</v>
      </c>
      <c r="X1130" s="21" t="str">
        <f>UPPER(IF(AUDITORIA[[#This Row],[DATA VERIFICAÇÃO]]="","",TEXT(AUDITORIA[[#This Row],[DATA VERIFICAÇÃO]],"mmm")))</f>
        <v>MAI</v>
      </c>
      <c r="Y1130" t="s">
        <v>598</v>
      </c>
      <c r="Z1130" t="s">
        <v>830</v>
      </c>
      <c r="AA1130" t="s">
        <v>600</v>
      </c>
    </row>
    <row r="1131" spans="1:27" ht="14.4" hidden="1" customHeight="1" x14ac:dyDescent="0.3">
      <c r="A1131" s="4" t="s">
        <v>279</v>
      </c>
      <c r="B1131" s="4" t="s">
        <v>17</v>
      </c>
      <c r="C1131" s="16" t="s">
        <v>18</v>
      </c>
      <c r="D1131" s="4">
        <v>11</v>
      </c>
      <c r="E1131" s="4" t="s">
        <v>745</v>
      </c>
      <c r="F1131" t="s">
        <v>316</v>
      </c>
      <c r="G1131" t="s">
        <v>290</v>
      </c>
      <c r="J1131" s="4" t="s">
        <v>19</v>
      </c>
      <c r="K1131" s="4" t="s">
        <v>20</v>
      </c>
      <c r="L1131" s="4" t="s">
        <v>742</v>
      </c>
      <c r="M1131" s="17">
        <v>30</v>
      </c>
      <c r="N1131" s="17">
        <v>760</v>
      </c>
      <c r="O1131" s="18" t="s">
        <v>19</v>
      </c>
      <c r="P1131" s="18">
        <v>760</v>
      </c>
      <c r="Q1131" s="18">
        <v>30</v>
      </c>
      <c r="R1131" s="18"/>
      <c r="S1131" s="18"/>
      <c r="T1131" s="18"/>
      <c r="U11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31" s="19">
        <f>IF(AUDITORIA[[#This Row],[CAT]]="",0,1)</f>
        <v>1</v>
      </c>
      <c r="W1131" s="20">
        <v>46170</v>
      </c>
      <c r="X1131" s="21" t="str">
        <f>UPPER(IF(AUDITORIA[[#This Row],[DATA VERIFICAÇÃO]]="","",TEXT(AUDITORIA[[#This Row],[DATA VERIFICAÇÃO]],"mmm")))</f>
        <v>MAI</v>
      </c>
      <c r="Y1131" t="s">
        <v>598</v>
      </c>
      <c r="Z1131" t="s">
        <v>830</v>
      </c>
      <c r="AA1131" t="s">
        <v>600</v>
      </c>
    </row>
    <row r="1132" spans="1:27" ht="14.4" hidden="1" customHeight="1" x14ac:dyDescent="0.3">
      <c r="A1132" s="4" t="s">
        <v>279</v>
      </c>
      <c r="B1132" s="4" t="s">
        <v>17</v>
      </c>
      <c r="C1132" s="16" t="s">
        <v>18</v>
      </c>
      <c r="D1132" s="4">
        <v>11</v>
      </c>
      <c r="E1132" s="4" t="s">
        <v>745</v>
      </c>
      <c r="F1132" t="s">
        <v>313</v>
      </c>
      <c r="G1132" t="s">
        <v>290</v>
      </c>
      <c r="J1132" s="4" t="s">
        <v>19</v>
      </c>
      <c r="K1132" s="4" t="s">
        <v>20</v>
      </c>
      <c r="L1132" s="4" t="s">
        <v>742</v>
      </c>
      <c r="M1132" s="17">
        <v>30</v>
      </c>
      <c r="N1132" s="17">
        <v>763</v>
      </c>
      <c r="O1132" s="18" t="s">
        <v>19</v>
      </c>
      <c r="P1132" s="18">
        <v>763</v>
      </c>
      <c r="Q1132" s="18">
        <v>30</v>
      </c>
      <c r="R1132" s="18"/>
      <c r="S1132" s="18"/>
      <c r="T1132" s="18"/>
      <c r="U11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32" s="19">
        <f>IF(AUDITORIA[[#This Row],[CAT]]="",0,1)</f>
        <v>1</v>
      </c>
      <c r="W1132" s="20">
        <v>46170</v>
      </c>
      <c r="X1132" s="21" t="str">
        <f>UPPER(IF(AUDITORIA[[#This Row],[DATA VERIFICAÇÃO]]="","",TEXT(AUDITORIA[[#This Row],[DATA VERIFICAÇÃO]],"mmm")))</f>
        <v>MAI</v>
      </c>
      <c r="Y1132" t="s">
        <v>598</v>
      </c>
      <c r="Z1132" t="s">
        <v>830</v>
      </c>
      <c r="AA1132" t="s">
        <v>600</v>
      </c>
    </row>
    <row r="1133" spans="1:27" ht="14.4" hidden="1" customHeight="1" x14ac:dyDescent="0.3">
      <c r="A1133" s="4" t="s">
        <v>279</v>
      </c>
      <c r="B1133" s="4" t="s">
        <v>17</v>
      </c>
      <c r="C1133" s="16" t="s">
        <v>18</v>
      </c>
      <c r="D1133" s="4">
        <v>11</v>
      </c>
      <c r="E1133" s="4" t="s">
        <v>745</v>
      </c>
      <c r="F1133" t="s">
        <v>310</v>
      </c>
      <c r="G1133" t="s">
        <v>290</v>
      </c>
      <c r="J1133" s="4" t="s">
        <v>19</v>
      </c>
      <c r="K1133" s="4" t="s">
        <v>20</v>
      </c>
      <c r="L1133" s="4" t="s">
        <v>742</v>
      </c>
      <c r="M1133" s="17">
        <v>30</v>
      </c>
      <c r="N1133" s="17">
        <v>769</v>
      </c>
      <c r="O1133" s="18" t="s">
        <v>19</v>
      </c>
      <c r="P1133" s="18">
        <v>769</v>
      </c>
      <c r="Q1133" s="18">
        <v>30</v>
      </c>
      <c r="R1133" s="18"/>
      <c r="S1133" s="18"/>
      <c r="T1133" s="18"/>
      <c r="U11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33" s="19">
        <f>IF(AUDITORIA[[#This Row],[CAT]]="",0,1)</f>
        <v>1</v>
      </c>
      <c r="W1133" s="20">
        <v>46170</v>
      </c>
      <c r="X1133" s="21" t="str">
        <f>UPPER(IF(AUDITORIA[[#This Row],[DATA VERIFICAÇÃO]]="","",TEXT(AUDITORIA[[#This Row],[DATA VERIFICAÇÃO]],"mmm")))</f>
        <v>MAI</v>
      </c>
      <c r="Y1133" t="s">
        <v>598</v>
      </c>
      <c r="Z1133" t="s">
        <v>830</v>
      </c>
      <c r="AA1133" t="s">
        <v>600</v>
      </c>
    </row>
    <row r="1134" spans="1:27" ht="14.4" hidden="1" customHeight="1" x14ac:dyDescent="0.3">
      <c r="A1134" s="4" t="s">
        <v>279</v>
      </c>
      <c r="B1134" s="4" t="s">
        <v>17</v>
      </c>
      <c r="C1134" s="16" t="s">
        <v>18</v>
      </c>
      <c r="D1134" s="4">
        <v>11</v>
      </c>
      <c r="E1134" s="4" t="s">
        <v>745</v>
      </c>
      <c r="F1134" t="s">
        <v>309</v>
      </c>
      <c r="G1134" t="s">
        <v>290</v>
      </c>
      <c r="J1134" s="4" t="s">
        <v>19</v>
      </c>
      <c r="K1134" s="4" t="s">
        <v>20</v>
      </c>
      <c r="L1134" s="4" t="s">
        <v>742</v>
      </c>
      <c r="M1134" s="17">
        <v>30</v>
      </c>
      <c r="N1134" s="17">
        <v>739</v>
      </c>
      <c r="O1134" s="18" t="s">
        <v>19</v>
      </c>
      <c r="P1134" s="18">
        <v>739</v>
      </c>
      <c r="Q1134" s="18">
        <v>30</v>
      </c>
      <c r="R1134" s="18"/>
      <c r="S1134" s="18"/>
      <c r="T1134" s="18"/>
      <c r="U11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34" s="19">
        <f>IF(AUDITORIA[[#This Row],[CAT]]="",0,1)</f>
        <v>1</v>
      </c>
      <c r="W1134" s="20">
        <v>46170</v>
      </c>
      <c r="X1134" s="21" t="str">
        <f>UPPER(IF(AUDITORIA[[#This Row],[DATA VERIFICAÇÃO]]="","",TEXT(AUDITORIA[[#This Row],[DATA VERIFICAÇÃO]],"mmm")))</f>
        <v>MAI</v>
      </c>
      <c r="Y1134" t="s">
        <v>598</v>
      </c>
      <c r="Z1134" t="s">
        <v>830</v>
      </c>
      <c r="AA1134" t="s">
        <v>600</v>
      </c>
    </row>
    <row r="1135" spans="1:27" ht="14.4" hidden="1" customHeight="1" x14ac:dyDescent="0.3">
      <c r="A1135" s="4" t="s">
        <v>279</v>
      </c>
      <c r="B1135" s="4" t="s">
        <v>17</v>
      </c>
      <c r="C1135" s="16" t="s">
        <v>18</v>
      </c>
      <c r="D1135" s="4">
        <v>11</v>
      </c>
      <c r="E1135" s="4" t="s">
        <v>745</v>
      </c>
      <c r="F1135" t="s">
        <v>306</v>
      </c>
      <c r="G1135" t="s">
        <v>290</v>
      </c>
      <c r="J1135" s="4" t="s">
        <v>19</v>
      </c>
      <c r="K1135" s="4" t="s">
        <v>20</v>
      </c>
      <c r="L1135" s="4" t="s">
        <v>742</v>
      </c>
      <c r="M1135" s="17">
        <v>30</v>
      </c>
      <c r="N1135" s="17">
        <v>720</v>
      </c>
      <c r="O1135" s="18" t="s">
        <v>19</v>
      </c>
      <c r="P1135" s="18">
        <v>720</v>
      </c>
      <c r="Q1135" s="18">
        <v>30</v>
      </c>
      <c r="R1135" s="18"/>
      <c r="S1135" s="18"/>
      <c r="T1135" s="18"/>
      <c r="U11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35" s="19">
        <f>IF(AUDITORIA[[#This Row],[CAT]]="",0,1)</f>
        <v>1</v>
      </c>
      <c r="W1135" s="20">
        <v>46170</v>
      </c>
      <c r="X1135" s="21" t="str">
        <f>UPPER(IF(AUDITORIA[[#This Row],[DATA VERIFICAÇÃO]]="","",TEXT(AUDITORIA[[#This Row],[DATA VERIFICAÇÃO]],"mmm")))</f>
        <v>MAI</v>
      </c>
      <c r="Y1135" t="s">
        <v>598</v>
      </c>
      <c r="Z1135" t="s">
        <v>830</v>
      </c>
      <c r="AA1135" t="s">
        <v>600</v>
      </c>
    </row>
    <row r="1136" spans="1:27" ht="14.4" hidden="1" customHeight="1" x14ac:dyDescent="0.3">
      <c r="A1136" s="4" t="s">
        <v>279</v>
      </c>
      <c r="B1136" s="4" t="s">
        <v>17</v>
      </c>
      <c r="C1136" s="16" t="s">
        <v>18</v>
      </c>
      <c r="D1136" s="4">
        <v>11</v>
      </c>
      <c r="E1136" s="4" t="s">
        <v>745</v>
      </c>
      <c r="F1136" t="s">
        <v>304</v>
      </c>
      <c r="G1136" t="s">
        <v>290</v>
      </c>
      <c r="J1136" s="4" t="s">
        <v>19</v>
      </c>
      <c r="K1136" s="4" t="s">
        <v>20</v>
      </c>
      <c r="L1136" s="4" t="s">
        <v>742</v>
      </c>
      <c r="M1136" s="17">
        <v>30</v>
      </c>
      <c r="N1136" s="17">
        <v>755</v>
      </c>
      <c r="O1136" s="18" t="s">
        <v>19</v>
      </c>
      <c r="P1136" s="18">
        <v>755</v>
      </c>
      <c r="Q1136" s="18">
        <v>30</v>
      </c>
      <c r="R1136" s="18"/>
      <c r="S1136" s="18"/>
      <c r="T1136" s="18"/>
      <c r="U11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36" s="19">
        <f>IF(AUDITORIA[[#This Row],[CAT]]="",0,1)</f>
        <v>1</v>
      </c>
      <c r="W1136" s="20">
        <v>46170</v>
      </c>
      <c r="X1136" s="21" t="str">
        <f>UPPER(IF(AUDITORIA[[#This Row],[DATA VERIFICAÇÃO]]="","",TEXT(AUDITORIA[[#This Row],[DATA VERIFICAÇÃO]],"mmm")))</f>
        <v>MAI</v>
      </c>
      <c r="Y1136" t="s">
        <v>598</v>
      </c>
      <c r="Z1136" t="s">
        <v>830</v>
      </c>
      <c r="AA1136" t="s">
        <v>600</v>
      </c>
    </row>
    <row r="1137" spans="1:27" ht="14.4" hidden="1" customHeight="1" x14ac:dyDescent="0.3">
      <c r="A1137" s="4" t="s">
        <v>279</v>
      </c>
      <c r="B1137" s="4" t="s">
        <v>17</v>
      </c>
      <c r="C1137" s="16" t="s">
        <v>18</v>
      </c>
      <c r="D1137" s="4">
        <v>11</v>
      </c>
      <c r="E1137" s="4" t="s">
        <v>745</v>
      </c>
      <c r="F1137" t="s">
        <v>301</v>
      </c>
      <c r="G1137" t="s">
        <v>290</v>
      </c>
      <c r="J1137" s="4" t="s">
        <v>19</v>
      </c>
      <c r="K1137" s="4" t="s">
        <v>20</v>
      </c>
      <c r="L1137" s="4" t="s">
        <v>742</v>
      </c>
      <c r="M1137" s="17">
        <v>30</v>
      </c>
      <c r="N1137" s="17">
        <v>746</v>
      </c>
      <c r="O1137" s="18" t="s">
        <v>19</v>
      </c>
      <c r="P1137" s="18">
        <v>746</v>
      </c>
      <c r="Q1137" s="18">
        <v>30</v>
      </c>
      <c r="R1137" s="18"/>
      <c r="S1137" s="18"/>
      <c r="T1137" s="18"/>
      <c r="U11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37" s="19">
        <f>IF(AUDITORIA[[#This Row],[CAT]]="",0,1)</f>
        <v>1</v>
      </c>
      <c r="W1137" s="20">
        <v>46170</v>
      </c>
      <c r="X1137" s="21" t="str">
        <f>UPPER(IF(AUDITORIA[[#This Row],[DATA VERIFICAÇÃO]]="","",TEXT(AUDITORIA[[#This Row],[DATA VERIFICAÇÃO]],"mmm")))</f>
        <v>MAI</v>
      </c>
      <c r="Y1137" t="s">
        <v>598</v>
      </c>
      <c r="Z1137" t="s">
        <v>830</v>
      </c>
      <c r="AA1137" t="s">
        <v>600</v>
      </c>
    </row>
    <row r="1138" spans="1:27" ht="14.4" hidden="1" customHeight="1" x14ac:dyDescent="0.3">
      <c r="A1138" s="4" t="s">
        <v>279</v>
      </c>
      <c r="B1138" s="4" t="s">
        <v>17</v>
      </c>
      <c r="C1138" s="16" t="s">
        <v>18</v>
      </c>
      <c r="D1138" s="4">
        <v>11</v>
      </c>
      <c r="E1138" s="4" t="s">
        <v>745</v>
      </c>
      <c r="F1138" t="s">
        <v>298</v>
      </c>
      <c r="G1138" t="s">
        <v>290</v>
      </c>
      <c r="J1138" s="4" t="s">
        <v>19</v>
      </c>
      <c r="K1138" s="4" t="s">
        <v>20</v>
      </c>
      <c r="L1138" s="4" t="s">
        <v>742</v>
      </c>
      <c r="M1138" s="17">
        <v>30</v>
      </c>
      <c r="N1138" s="17">
        <v>800</v>
      </c>
      <c r="O1138" s="18" t="s">
        <v>19</v>
      </c>
      <c r="P1138" s="18">
        <v>800</v>
      </c>
      <c r="Q1138" s="18">
        <v>30</v>
      </c>
      <c r="R1138" s="18"/>
      <c r="S1138" s="18"/>
      <c r="T1138" s="18"/>
      <c r="U11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38" s="19">
        <f>IF(AUDITORIA[[#This Row],[CAT]]="",0,1)</f>
        <v>1</v>
      </c>
      <c r="W1138" s="20">
        <v>46170</v>
      </c>
      <c r="X1138" s="21" t="str">
        <f>UPPER(IF(AUDITORIA[[#This Row],[DATA VERIFICAÇÃO]]="","",TEXT(AUDITORIA[[#This Row],[DATA VERIFICAÇÃO]],"mmm")))</f>
        <v>MAI</v>
      </c>
      <c r="Y1138" t="s">
        <v>598</v>
      </c>
      <c r="Z1138" t="s">
        <v>830</v>
      </c>
      <c r="AA1138" t="s">
        <v>600</v>
      </c>
    </row>
    <row r="1139" spans="1:27" ht="14.4" hidden="1" customHeight="1" x14ac:dyDescent="0.3">
      <c r="A1139" s="4" t="s">
        <v>279</v>
      </c>
      <c r="B1139" s="4" t="s">
        <v>17</v>
      </c>
      <c r="C1139" s="16" t="s">
        <v>18</v>
      </c>
      <c r="D1139" s="4">
        <v>11</v>
      </c>
      <c r="E1139" s="4" t="s">
        <v>745</v>
      </c>
      <c r="F1139" t="s">
        <v>295</v>
      </c>
      <c r="G1139" t="s">
        <v>290</v>
      </c>
      <c r="J1139" s="4" t="s">
        <v>19</v>
      </c>
      <c r="K1139" s="4" t="s">
        <v>20</v>
      </c>
      <c r="L1139" s="4" t="s">
        <v>742</v>
      </c>
      <c r="M1139" s="17">
        <v>30</v>
      </c>
      <c r="N1139" s="17">
        <v>766</v>
      </c>
      <c r="O1139" s="18" t="s">
        <v>19</v>
      </c>
      <c r="P1139" s="18">
        <v>766</v>
      </c>
      <c r="Q1139" s="18">
        <v>30</v>
      </c>
      <c r="R1139" s="18"/>
      <c r="S1139" s="18"/>
      <c r="T1139" s="18"/>
      <c r="U11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39" s="19">
        <f>IF(AUDITORIA[[#This Row],[CAT]]="",0,1)</f>
        <v>1</v>
      </c>
      <c r="W1139" s="20">
        <v>46170</v>
      </c>
      <c r="X1139" s="21" t="str">
        <f>UPPER(IF(AUDITORIA[[#This Row],[DATA VERIFICAÇÃO]]="","",TEXT(AUDITORIA[[#This Row],[DATA VERIFICAÇÃO]],"mmm")))</f>
        <v>MAI</v>
      </c>
      <c r="Y1139" t="s">
        <v>598</v>
      </c>
      <c r="Z1139" t="s">
        <v>830</v>
      </c>
      <c r="AA1139" t="s">
        <v>600</v>
      </c>
    </row>
    <row r="1140" spans="1:27" ht="14.4" hidden="1" customHeight="1" x14ac:dyDescent="0.3">
      <c r="A1140" s="4" t="s">
        <v>279</v>
      </c>
      <c r="B1140" s="4" t="s">
        <v>17</v>
      </c>
      <c r="C1140" s="16" t="s">
        <v>18</v>
      </c>
      <c r="D1140" s="4">
        <v>11</v>
      </c>
      <c r="E1140" s="4" t="s">
        <v>745</v>
      </c>
      <c r="F1140" t="s">
        <v>289</v>
      </c>
      <c r="G1140" t="s">
        <v>290</v>
      </c>
      <c r="J1140" s="4" t="s">
        <v>19</v>
      </c>
      <c r="K1140" s="4" t="s">
        <v>20</v>
      </c>
      <c r="L1140" s="4" t="s">
        <v>742</v>
      </c>
      <c r="M1140" s="17">
        <v>9</v>
      </c>
      <c r="N1140" s="17">
        <v>777</v>
      </c>
      <c r="O1140" s="18" t="s">
        <v>19</v>
      </c>
      <c r="P1140" s="18">
        <v>777</v>
      </c>
      <c r="Q1140" s="18">
        <v>9</v>
      </c>
      <c r="R1140" s="18"/>
      <c r="S1140" s="18"/>
      <c r="T1140" s="18"/>
      <c r="U11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40" s="19">
        <f>IF(AUDITORIA[[#This Row],[CAT]]="",0,1)</f>
        <v>1</v>
      </c>
      <c r="W1140" s="20">
        <v>46170</v>
      </c>
      <c r="X1140" s="21" t="str">
        <f>UPPER(IF(AUDITORIA[[#This Row],[DATA VERIFICAÇÃO]]="","",TEXT(AUDITORIA[[#This Row],[DATA VERIFICAÇÃO]],"mmm")))</f>
        <v>MAI</v>
      </c>
      <c r="Y1140" t="s">
        <v>598</v>
      </c>
      <c r="Z1140" t="s">
        <v>830</v>
      </c>
      <c r="AA1140" t="s">
        <v>600</v>
      </c>
    </row>
    <row r="1141" spans="1:27" ht="14.4" hidden="1" customHeight="1" x14ac:dyDescent="0.3">
      <c r="A1141" s="4" t="s">
        <v>279</v>
      </c>
      <c r="B1141" s="4" t="s">
        <v>17</v>
      </c>
      <c r="C1141" s="16" t="s">
        <v>18</v>
      </c>
      <c r="D1141" s="4">
        <v>11</v>
      </c>
      <c r="E1141" s="4" t="s">
        <v>745</v>
      </c>
      <c r="F1141" t="s">
        <v>389</v>
      </c>
      <c r="G1141" t="s">
        <v>290</v>
      </c>
      <c r="J1141" s="4" t="s">
        <v>19</v>
      </c>
      <c r="K1141" s="4" t="s">
        <v>21</v>
      </c>
      <c r="L1141" s="4" t="s">
        <v>742</v>
      </c>
      <c r="M1141" s="17">
        <v>24</v>
      </c>
      <c r="N1141" s="17">
        <v>1010</v>
      </c>
      <c r="O1141" s="18" t="s">
        <v>19</v>
      </c>
      <c r="P1141" s="18">
        <v>1010</v>
      </c>
      <c r="Q1141" s="18">
        <v>24</v>
      </c>
      <c r="R1141" s="18"/>
      <c r="S1141" s="18"/>
      <c r="T1141" s="18"/>
      <c r="U11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41" s="19">
        <f>IF(AUDITORIA[[#This Row],[CAT]]="",0,1)</f>
        <v>1</v>
      </c>
      <c r="W1141" s="20">
        <v>46170</v>
      </c>
      <c r="X1141" s="21" t="str">
        <f>UPPER(IF(AUDITORIA[[#This Row],[DATA VERIFICAÇÃO]]="","",TEXT(AUDITORIA[[#This Row],[DATA VERIFICAÇÃO]],"mmm")))</f>
        <v>MAI</v>
      </c>
      <c r="Y1141" t="s">
        <v>598</v>
      </c>
      <c r="Z1141" t="s">
        <v>830</v>
      </c>
      <c r="AA1141" t="s">
        <v>600</v>
      </c>
    </row>
    <row r="1142" spans="1:27" ht="14.4" hidden="1" customHeight="1" x14ac:dyDescent="0.3">
      <c r="A1142" s="4" t="s">
        <v>279</v>
      </c>
      <c r="B1142" s="4" t="s">
        <v>17</v>
      </c>
      <c r="C1142" s="16" t="s">
        <v>18</v>
      </c>
      <c r="D1142" s="4">
        <v>11</v>
      </c>
      <c r="E1142" s="4" t="s">
        <v>745</v>
      </c>
      <c r="F1142" t="s">
        <v>358</v>
      </c>
      <c r="G1142" t="s">
        <v>290</v>
      </c>
      <c r="J1142" s="4" t="s">
        <v>19</v>
      </c>
      <c r="K1142" s="4" t="s">
        <v>21</v>
      </c>
      <c r="L1142" s="4" t="s">
        <v>742</v>
      </c>
      <c r="M1142" s="17">
        <v>27</v>
      </c>
      <c r="N1142" s="17">
        <v>998</v>
      </c>
      <c r="O1142" s="18" t="s">
        <v>19</v>
      </c>
      <c r="P1142" s="18">
        <v>998</v>
      </c>
      <c r="Q1142" s="18">
        <v>27</v>
      </c>
      <c r="R1142" s="18"/>
      <c r="S1142" s="18"/>
      <c r="T1142" s="18"/>
      <c r="U11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42" s="19">
        <f>IF(AUDITORIA[[#This Row],[CAT]]="",0,1)</f>
        <v>1</v>
      </c>
      <c r="W1142" s="20">
        <v>46170</v>
      </c>
      <c r="X1142" s="21" t="str">
        <f>UPPER(IF(AUDITORIA[[#This Row],[DATA VERIFICAÇÃO]]="","",TEXT(AUDITORIA[[#This Row],[DATA VERIFICAÇÃO]],"mmm")))</f>
        <v>MAI</v>
      </c>
      <c r="Y1142" t="s">
        <v>598</v>
      </c>
      <c r="Z1142" t="s">
        <v>830</v>
      </c>
      <c r="AA1142" t="s">
        <v>600</v>
      </c>
    </row>
    <row r="1143" spans="1:27" ht="14.4" hidden="1" customHeight="1" x14ac:dyDescent="0.3">
      <c r="A1143" s="4" t="s">
        <v>279</v>
      </c>
      <c r="B1143" s="4" t="s">
        <v>17</v>
      </c>
      <c r="C1143" s="16" t="s">
        <v>18</v>
      </c>
      <c r="D1143" s="4">
        <v>11</v>
      </c>
      <c r="E1143" s="4" t="s">
        <v>745</v>
      </c>
      <c r="F1143" t="s">
        <v>346</v>
      </c>
      <c r="G1143" t="s">
        <v>290</v>
      </c>
      <c r="J1143" s="4" t="s">
        <v>19</v>
      </c>
      <c r="K1143" s="4" t="s">
        <v>21</v>
      </c>
      <c r="L1143" s="4" t="s">
        <v>742</v>
      </c>
      <c r="M1143" s="17">
        <v>27</v>
      </c>
      <c r="N1143" s="17">
        <v>931</v>
      </c>
      <c r="O1143" s="18" t="s">
        <v>19</v>
      </c>
      <c r="P1143" s="18">
        <v>931</v>
      </c>
      <c r="Q1143" s="18">
        <v>27</v>
      </c>
      <c r="R1143" s="18"/>
      <c r="S1143" s="18"/>
      <c r="T1143" s="18"/>
      <c r="U11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43" s="19">
        <f>IF(AUDITORIA[[#This Row],[CAT]]="",0,1)</f>
        <v>1</v>
      </c>
      <c r="W1143" s="20">
        <v>46170</v>
      </c>
      <c r="X1143" s="21" t="str">
        <f>UPPER(IF(AUDITORIA[[#This Row],[DATA VERIFICAÇÃO]]="","",TEXT(AUDITORIA[[#This Row],[DATA VERIFICAÇÃO]],"mmm")))</f>
        <v>MAI</v>
      </c>
      <c r="Y1143" t="s">
        <v>598</v>
      </c>
      <c r="Z1143" t="s">
        <v>830</v>
      </c>
      <c r="AA1143" t="s">
        <v>600</v>
      </c>
    </row>
    <row r="1144" spans="1:27" ht="14.4" hidden="1" customHeight="1" x14ac:dyDescent="0.3">
      <c r="A1144" s="4" t="s">
        <v>279</v>
      </c>
      <c r="B1144" s="4" t="s">
        <v>17</v>
      </c>
      <c r="C1144" s="16" t="s">
        <v>18</v>
      </c>
      <c r="D1144" s="4">
        <v>11</v>
      </c>
      <c r="E1144" s="4" t="s">
        <v>745</v>
      </c>
      <c r="F1144" t="s">
        <v>337</v>
      </c>
      <c r="G1144" t="s">
        <v>290</v>
      </c>
      <c r="J1144" s="4" t="s">
        <v>31</v>
      </c>
      <c r="K1144" s="4" t="s">
        <v>21</v>
      </c>
      <c r="L1144" s="4" t="s">
        <v>742</v>
      </c>
      <c r="M1144" s="17">
        <v>27</v>
      </c>
      <c r="N1144" s="17">
        <v>928</v>
      </c>
      <c r="O1144" s="18" t="s">
        <v>31</v>
      </c>
      <c r="P1144" s="18">
        <v>928</v>
      </c>
      <c r="Q1144" s="18">
        <v>27</v>
      </c>
      <c r="R1144" s="18"/>
      <c r="S1144" s="18"/>
      <c r="T1144" s="18"/>
      <c r="U11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44" s="19">
        <f>IF(AUDITORIA[[#This Row],[CAT]]="",0,1)</f>
        <v>1</v>
      </c>
      <c r="W1144" s="20">
        <v>46170</v>
      </c>
      <c r="X1144" s="21" t="str">
        <f>UPPER(IF(AUDITORIA[[#This Row],[DATA VERIFICAÇÃO]]="","",TEXT(AUDITORIA[[#This Row],[DATA VERIFICAÇÃO]],"mmm")))</f>
        <v>MAI</v>
      </c>
      <c r="Y1144" t="s">
        <v>598</v>
      </c>
      <c r="Z1144" t="s">
        <v>830</v>
      </c>
      <c r="AA1144" t="s">
        <v>600</v>
      </c>
    </row>
    <row r="1145" spans="1:27" ht="14.4" hidden="1" customHeight="1" x14ac:dyDescent="0.3">
      <c r="A1145" s="4" t="s">
        <v>279</v>
      </c>
      <c r="B1145" s="4" t="s">
        <v>17</v>
      </c>
      <c r="C1145" s="16" t="s">
        <v>18</v>
      </c>
      <c r="D1145" s="4">
        <v>11</v>
      </c>
      <c r="E1145" s="4" t="s">
        <v>745</v>
      </c>
      <c r="F1145" t="s">
        <v>332</v>
      </c>
      <c r="G1145" t="s">
        <v>290</v>
      </c>
      <c r="J1145" s="4" t="s">
        <v>31</v>
      </c>
      <c r="K1145" s="4" t="s">
        <v>21</v>
      </c>
      <c r="L1145" s="4" t="s">
        <v>742</v>
      </c>
      <c r="M1145" s="17">
        <v>27</v>
      </c>
      <c r="N1145" s="17">
        <v>937</v>
      </c>
      <c r="O1145" s="18" t="s">
        <v>31</v>
      </c>
      <c r="P1145" s="18">
        <v>937</v>
      </c>
      <c r="Q1145" s="18">
        <v>27</v>
      </c>
      <c r="R1145" s="18"/>
      <c r="S1145" s="18"/>
      <c r="T1145" s="18"/>
      <c r="U11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45" s="19">
        <f>IF(AUDITORIA[[#This Row],[CAT]]="",0,1)</f>
        <v>1</v>
      </c>
      <c r="W1145" s="20">
        <v>46170</v>
      </c>
      <c r="X1145" s="21" t="str">
        <f>UPPER(IF(AUDITORIA[[#This Row],[DATA VERIFICAÇÃO]]="","",TEXT(AUDITORIA[[#This Row],[DATA VERIFICAÇÃO]],"mmm")))</f>
        <v>MAI</v>
      </c>
      <c r="Y1145" t="s">
        <v>598</v>
      </c>
      <c r="Z1145" t="s">
        <v>830</v>
      </c>
      <c r="AA1145" t="s">
        <v>600</v>
      </c>
    </row>
    <row r="1146" spans="1:27" ht="14.4" hidden="1" customHeight="1" x14ac:dyDescent="0.3">
      <c r="A1146" s="4" t="s">
        <v>279</v>
      </c>
      <c r="B1146" s="4" t="s">
        <v>17</v>
      </c>
      <c r="C1146" s="16" t="s">
        <v>18</v>
      </c>
      <c r="D1146" s="4">
        <v>11</v>
      </c>
      <c r="E1146" s="4" t="s">
        <v>745</v>
      </c>
      <c r="F1146" t="s">
        <v>324</v>
      </c>
      <c r="G1146" t="s">
        <v>290</v>
      </c>
      <c r="J1146" s="4" t="s">
        <v>31</v>
      </c>
      <c r="K1146" s="4" t="s">
        <v>21</v>
      </c>
      <c r="L1146" s="4" t="s">
        <v>742</v>
      </c>
      <c r="M1146" s="17">
        <v>27</v>
      </c>
      <c r="N1146" s="17">
        <v>934</v>
      </c>
      <c r="O1146" s="18" t="s">
        <v>31</v>
      </c>
      <c r="P1146" s="18">
        <v>934</v>
      </c>
      <c r="Q1146" s="18">
        <v>27</v>
      </c>
      <c r="R1146" s="18"/>
      <c r="S1146" s="18"/>
      <c r="T1146" s="18"/>
      <c r="U11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46" s="19">
        <f>IF(AUDITORIA[[#This Row],[CAT]]="",0,1)</f>
        <v>1</v>
      </c>
      <c r="W1146" s="20">
        <v>46170</v>
      </c>
      <c r="X1146" s="21" t="str">
        <f>UPPER(IF(AUDITORIA[[#This Row],[DATA VERIFICAÇÃO]]="","",TEXT(AUDITORIA[[#This Row],[DATA VERIFICAÇÃO]],"mmm")))</f>
        <v>MAI</v>
      </c>
      <c r="Y1146" t="s">
        <v>598</v>
      </c>
      <c r="Z1146" t="s">
        <v>830</v>
      </c>
      <c r="AA1146" t="s">
        <v>600</v>
      </c>
    </row>
    <row r="1147" spans="1:27" ht="14.4" hidden="1" customHeight="1" x14ac:dyDescent="0.3">
      <c r="A1147" s="4" t="s">
        <v>279</v>
      </c>
      <c r="B1147" s="4" t="s">
        <v>17</v>
      </c>
      <c r="C1147" s="16" t="s">
        <v>18</v>
      </c>
      <c r="D1147" s="4">
        <v>11</v>
      </c>
      <c r="E1147" s="4" t="s">
        <v>745</v>
      </c>
      <c r="F1147" t="s">
        <v>314</v>
      </c>
      <c r="G1147" t="s">
        <v>290</v>
      </c>
      <c r="J1147" s="4" t="s">
        <v>19</v>
      </c>
      <c r="K1147" s="4" t="s">
        <v>21</v>
      </c>
      <c r="L1147" s="4" t="s">
        <v>742</v>
      </c>
      <c r="M1147" s="17">
        <v>27</v>
      </c>
      <c r="N1147" s="17">
        <v>917</v>
      </c>
      <c r="O1147" s="18" t="s">
        <v>19</v>
      </c>
      <c r="P1147" s="18">
        <v>917</v>
      </c>
      <c r="Q1147" s="18">
        <v>27</v>
      </c>
      <c r="R1147" s="18"/>
      <c r="S1147" s="18"/>
      <c r="T1147" s="18"/>
      <c r="U11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47" s="19">
        <f>IF(AUDITORIA[[#This Row],[CAT]]="",0,1)</f>
        <v>1</v>
      </c>
      <c r="W1147" s="20">
        <v>46170</v>
      </c>
      <c r="X1147" s="21" t="str">
        <f>UPPER(IF(AUDITORIA[[#This Row],[DATA VERIFICAÇÃO]]="","",TEXT(AUDITORIA[[#This Row],[DATA VERIFICAÇÃO]],"mmm")))</f>
        <v>MAI</v>
      </c>
      <c r="Y1147" t="s">
        <v>598</v>
      </c>
      <c r="Z1147" t="s">
        <v>830</v>
      </c>
      <c r="AA1147" t="s">
        <v>600</v>
      </c>
    </row>
    <row r="1148" spans="1:27" ht="14.4" hidden="1" customHeight="1" x14ac:dyDescent="0.3">
      <c r="A1148" s="4" t="s">
        <v>279</v>
      </c>
      <c r="B1148" s="4" t="s">
        <v>17</v>
      </c>
      <c r="C1148" s="16" t="s">
        <v>18</v>
      </c>
      <c r="D1148" s="4">
        <v>11</v>
      </c>
      <c r="E1148" s="4" t="s">
        <v>745</v>
      </c>
      <c r="F1148" t="s">
        <v>302</v>
      </c>
      <c r="G1148" t="s">
        <v>290</v>
      </c>
      <c r="J1148" s="4" t="s">
        <v>19</v>
      </c>
      <c r="K1148" s="4" t="s">
        <v>21</v>
      </c>
      <c r="L1148" s="4" t="s">
        <v>742</v>
      </c>
      <c r="M1148" s="17">
        <v>27</v>
      </c>
      <c r="N1148" s="17">
        <v>933</v>
      </c>
      <c r="O1148" s="18" t="s">
        <v>19</v>
      </c>
      <c r="P1148" s="18">
        <v>933</v>
      </c>
      <c r="Q1148" s="18">
        <v>27</v>
      </c>
      <c r="R1148" s="18"/>
      <c r="S1148" s="18"/>
      <c r="T1148" s="18"/>
      <c r="U11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48" s="19">
        <f>IF(AUDITORIA[[#This Row],[CAT]]="",0,1)</f>
        <v>1</v>
      </c>
      <c r="W1148" s="20">
        <v>46170</v>
      </c>
      <c r="X1148" s="21" t="str">
        <f>UPPER(IF(AUDITORIA[[#This Row],[DATA VERIFICAÇÃO]]="","",TEXT(AUDITORIA[[#This Row],[DATA VERIFICAÇÃO]],"mmm")))</f>
        <v>MAI</v>
      </c>
      <c r="Y1148" t="s">
        <v>598</v>
      </c>
      <c r="Z1148" t="s">
        <v>830</v>
      </c>
      <c r="AA1148" t="s">
        <v>600</v>
      </c>
    </row>
    <row r="1149" spans="1:27" ht="14.4" hidden="1" customHeight="1" x14ac:dyDescent="0.3">
      <c r="A1149" s="4" t="s">
        <v>279</v>
      </c>
      <c r="B1149" s="4" t="s">
        <v>17</v>
      </c>
      <c r="C1149" s="16" t="s">
        <v>18</v>
      </c>
      <c r="D1149" s="4">
        <v>11</v>
      </c>
      <c r="E1149" s="4" t="s">
        <v>745</v>
      </c>
      <c r="F1149" t="s">
        <v>299</v>
      </c>
      <c r="G1149" t="s">
        <v>290</v>
      </c>
      <c r="J1149" s="4" t="s">
        <v>19</v>
      </c>
      <c r="K1149" s="4" t="s">
        <v>21</v>
      </c>
      <c r="L1149" s="4" t="s">
        <v>742</v>
      </c>
      <c r="M1149" s="17">
        <v>30</v>
      </c>
      <c r="N1149" s="17">
        <v>911</v>
      </c>
      <c r="O1149" s="18" t="s">
        <v>19</v>
      </c>
      <c r="P1149" s="18">
        <v>911</v>
      </c>
      <c r="Q1149" s="18">
        <v>30</v>
      </c>
      <c r="R1149" s="18"/>
      <c r="S1149" s="18"/>
      <c r="T1149" s="18"/>
      <c r="U11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49" s="19">
        <f>IF(AUDITORIA[[#This Row],[CAT]]="",0,1)</f>
        <v>1</v>
      </c>
      <c r="W1149" s="20">
        <v>46170</v>
      </c>
      <c r="X1149" s="21" t="str">
        <f>UPPER(IF(AUDITORIA[[#This Row],[DATA VERIFICAÇÃO]]="","",TEXT(AUDITORIA[[#This Row],[DATA VERIFICAÇÃO]],"mmm")))</f>
        <v>MAI</v>
      </c>
      <c r="Y1149" t="s">
        <v>598</v>
      </c>
      <c r="Z1149" t="s">
        <v>830</v>
      </c>
      <c r="AA1149" t="s">
        <v>600</v>
      </c>
    </row>
    <row r="1150" spans="1:27" ht="14.4" hidden="1" customHeight="1" x14ac:dyDescent="0.3">
      <c r="A1150" s="4" t="s">
        <v>279</v>
      </c>
      <c r="B1150" s="4" t="s">
        <v>17</v>
      </c>
      <c r="C1150" s="16" t="s">
        <v>18</v>
      </c>
      <c r="D1150" s="4">
        <v>11</v>
      </c>
      <c r="E1150" s="4" t="s">
        <v>745</v>
      </c>
      <c r="F1150" t="s">
        <v>293</v>
      </c>
      <c r="G1150" t="s">
        <v>290</v>
      </c>
      <c r="J1150" s="4" t="s">
        <v>19</v>
      </c>
      <c r="K1150" s="4" t="s">
        <v>21</v>
      </c>
      <c r="L1150" s="4" t="s">
        <v>742</v>
      </c>
      <c r="M1150" s="17">
        <v>11</v>
      </c>
      <c r="N1150" s="17">
        <v>928</v>
      </c>
      <c r="O1150" s="18" t="s">
        <v>19</v>
      </c>
      <c r="P1150" s="18">
        <v>928</v>
      </c>
      <c r="Q1150" s="18">
        <v>11</v>
      </c>
      <c r="R1150" s="18"/>
      <c r="S1150" s="18"/>
      <c r="T1150" s="18"/>
      <c r="U11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50" s="19">
        <f>IF(AUDITORIA[[#This Row],[CAT]]="",0,1)</f>
        <v>1</v>
      </c>
      <c r="W1150" s="20">
        <v>46170</v>
      </c>
      <c r="X1150" s="21" t="str">
        <f>UPPER(IF(AUDITORIA[[#This Row],[DATA VERIFICAÇÃO]]="","",TEXT(AUDITORIA[[#This Row],[DATA VERIFICAÇÃO]],"mmm")))</f>
        <v>MAI</v>
      </c>
      <c r="Y1150" t="s">
        <v>598</v>
      </c>
      <c r="Z1150" t="s">
        <v>830</v>
      </c>
      <c r="AA1150" t="s">
        <v>600</v>
      </c>
    </row>
    <row r="1151" spans="1:27" ht="14.4" hidden="1" customHeight="1" x14ac:dyDescent="0.3">
      <c r="A1151" s="4" t="s">
        <v>279</v>
      </c>
      <c r="B1151" s="4" t="s">
        <v>17</v>
      </c>
      <c r="C1151" s="16" t="s">
        <v>18</v>
      </c>
      <c r="D1151" s="4">
        <v>11</v>
      </c>
      <c r="E1151" s="4" t="s">
        <v>745</v>
      </c>
      <c r="F1151" t="s">
        <v>524</v>
      </c>
      <c r="G1151" t="s">
        <v>85</v>
      </c>
      <c r="J1151" s="4" t="s">
        <v>88</v>
      </c>
      <c r="K1151" s="4" t="s">
        <v>20</v>
      </c>
      <c r="L1151" s="4" t="s">
        <v>742</v>
      </c>
      <c r="M1151" s="17">
        <v>30</v>
      </c>
      <c r="N1151" s="17">
        <v>771</v>
      </c>
      <c r="O1151" s="18" t="s">
        <v>88</v>
      </c>
      <c r="P1151" s="18">
        <v>771</v>
      </c>
      <c r="Q1151" s="18">
        <v>30</v>
      </c>
      <c r="R1151" s="18"/>
      <c r="S1151" s="18"/>
      <c r="T1151" s="18"/>
      <c r="U11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51" s="19">
        <f>IF(AUDITORIA[[#This Row],[CAT]]="",0,1)</f>
        <v>1</v>
      </c>
      <c r="W1151" s="20">
        <v>46170</v>
      </c>
      <c r="X1151" s="21" t="str">
        <f>UPPER(IF(AUDITORIA[[#This Row],[DATA VERIFICAÇÃO]]="","",TEXT(AUDITORIA[[#This Row],[DATA VERIFICAÇÃO]],"mmm")))</f>
        <v>MAI</v>
      </c>
      <c r="Y1151" t="s">
        <v>598</v>
      </c>
      <c r="Z1151" t="s">
        <v>830</v>
      </c>
      <c r="AA1151" t="s">
        <v>600</v>
      </c>
    </row>
    <row r="1152" spans="1:27" ht="14.4" hidden="1" customHeight="1" x14ac:dyDescent="0.3">
      <c r="A1152" s="4" t="s">
        <v>279</v>
      </c>
      <c r="B1152" s="4" t="s">
        <v>17</v>
      </c>
      <c r="C1152" s="16" t="s">
        <v>18</v>
      </c>
      <c r="D1152" s="4">
        <v>11</v>
      </c>
      <c r="E1152" s="4" t="s">
        <v>745</v>
      </c>
      <c r="F1152" t="s">
        <v>530</v>
      </c>
      <c r="G1152" t="s">
        <v>85</v>
      </c>
      <c r="J1152" s="4" t="s">
        <v>88</v>
      </c>
      <c r="K1152" s="4" t="s">
        <v>20</v>
      </c>
      <c r="L1152" s="4" t="s">
        <v>742</v>
      </c>
      <c r="M1152" s="17">
        <v>30</v>
      </c>
      <c r="N1152" s="17">
        <v>683</v>
      </c>
      <c r="O1152" s="18" t="s">
        <v>88</v>
      </c>
      <c r="P1152" s="18">
        <v>683</v>
      </c>
      <c r="Q1152" s="18">
        <v>30</v>
      </c>
      <c r="R1152" s="18"/>
      <c r="S1152" s="18"/>
      <c r="T1152" s="18"/>
      <c r="U11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52" s="19">
        <f>IF(AUDITORIA[[#This Row],[CAT]]="",0,1)</f>
        <v>1</v>
      </c>
      <c r="W1152" s="20">
        <v>46170</v>
      </c>
      <c r="X1152" s="21" t="str">
        <f>UPPER(IF(AUDITORIA[[#This Row],[DATA VERIFICAÇÃO]]="","",TEXT(AUDITORIA[[#This Row],[DATA VERIFICAÇÃO]],"mmm")))</f>
        <v>MAI</v>
      </c>
      <c r="Y1152" t="s">
        <v>598</v>
      </c>
      <c r="Z1152" t="s">
        <v>830</v>
      </c>
      <c r="AA1152" t="s">
        <v>600</v>
      </c>
    </row>
    <row r="1153" spans="1:27" ht="14.4" hidden="1" customHeight="1" x14ac:dyDescent="0.3">
      <c r="A1153" s="4" t="s">
        <v>279</v>
      </c>
      <c r="B1153" s="4" t="s">
        <v>17</v>
      </c>
      <c r="C1153" s="16" t="s">
        <v>18</v>
      </c>
      <c r="D1153" s="4">
        <v>11</v>
      </c>
      <c r="E1153" s="4" t="s">
        <v>745</v>
      </c>
      <c r="F1153" t="s">
        <v>542</v>
      </c>
      <c r="G1153" t="s">
        <v>85</v>
      </c>
      <c r="J1153" s="4" t="s">
        <v>88</v>
      </c>
      <c r="K1153" s="4" t="s">
        <v>20</v>
      </c>
      <c r="L1153" s="4" t="s">
        <v>742</v>
      </c>
      <c r="M1153" s="17">
        <v>30</v>
      </c>
      <c r="N1153" s="17">
        <v>688</v>
      </c>
      <c r="O1153" s="18" t="s">
        <v>88</v>
      </c>
      <c r="P1153" s="18">
        <v>688</v>
      </c>
      <c r="Q1153" s="18">
        <v>30</v>
      </c>
      <c r="R1153" s="18"/>
      <c r="S1153" s="18"/>
      <c r="T1153" s="18"/>
      <c r="U11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53" s="19">
        <f>IF(AUDITORIA[[#This Row],[CAT]]="",0,1)</f>
        <v>1</v>
      </c>
      <c r="W1153" s="20">
        <v>46170</v>
      </c>
      <c r="X1153" s="21" t="str">
        <f>UPPER(IF(AUDITORIA[[#This Row],[DATA VERIFICAÇÃO]]="","",TEXT(AUDITORIA[[#This Row],[DATA VERIFICAÇÃO]],"mmm")))</f>
        <v>MAI</v>
      </c>
      <c r="Y1153" t="s">
        <v>598</v>
      </c>
      <c r="Z1153" t="s">
        <v>830</v>
      </c>
      <c r="AA1153" t="s">
        <v>600</v>
      </c>
    </row>
    <row r="1154" spans="1:27" ht="14.4" hidden="1" customHeight="1" x14ac:dyDescent="0.3">
      <c r="A1154" s="4" t="s">
        <v>279</v>
      </c>
      <c r="B1154" s="4" t="s">
        <v>17</v>
      </c>
      <c r="C1154" s="16" t="s">
        <v>18</v>
      </c>
      <c r="D1154" s="4">
        <v>11</v>
      </c>
      <c r="E1154" s="4" t="s">
        <v>745</v>
      </c>
      <c r="F1154" t="s">
        <v>549</v>
      </c>
      <c r="G1154" t="s">
        <v>85</v>
      </c>
      <c r="J1154" s="4" t="s">
        <v>88</v>
      </c>
      <c r="K1154" s="4" t="s">
        <v>20</v>
      </c>
      <c r="L1154" s="4" t="s">
        <v>742</v>
      </c>
      <c r="M1154" s="17">
        <v>30</v>
      </c>
      <c r="N1154" s="17">
        <v>689</v>
      </c>
      <c r="O1154" s="18" t="s">
        <v>88</v>
      </c>
      <c r="P1154" s="18">
        <v>689</v>
      </c>
      <c r="Q1154" s="18">
        <v>30</v>
      </c>
      <c r="R1154" s="18"/>
      <c r="S1154" s="18"/>
      <c r="T1154" s="18"/>
      <c r="U11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54" s="19">
        <f>IF(AUDITORIA[[#This Row],[CAT]]="",0,1)</f>
        <v>1</v>
      </c>
      <c r="W1154" s="20">
        <v>46170</v>
      </c>
      <c r="X1154" s="21" t="str">
        <f>UPPER(IF(AUDITORIA[[#This Row],[DATA VERIFICAÇÃO]]="","",TEXT(AUDITORIA[[#This Row],[DATA VERIFICAÇÃO]],"mmm")))</f>
        <v>MAI</v>
      </c>
      <c r="Y1154" t="s">
        <v>598</v>
      </c>
      <c r="Z1154" t="s">
        <v>830</v>
      </c>
      <c r="AA1154" t="s">
        <v>600</v>
      </c>
    </row>
    <row r="1155" spans="1:27" ht="14.4" hidden="1" customHeight="1" x14ac:dyDescent="0.3">
      <c r="A1155" s="4" t="s">
        <v>279</v>
      </c>
      <c r="B1155" s="4" t="s">
        <v>17</v>
      </c>
      <c r="C1155" s="16" t="s">
        <v>18</v>
      </c>
      <c r="D1155" s="4">
        <v>11</v>
      </c>
      <c r="E1155" s="4" t="s">
        <v>745</v>
      </c>
      <c r="F1155" t="s">
        <v>544</v>
      </c>
      <c r="G1155" t="s">
        <v>85</v>
      </c>
      <c r="J1155" s="4" t="s">
        <v>88</v>
      </c>
      <c r="K1155" s="4" t="s">
        <v>20</v>
      </c>
      <c r="L1155" s="4" t="s">
        <v>742</v>
      </c>
      <c r="M1155" s="17">
        <v>30</v>
      </c>
      <c r="N1155" s="17">
        <v>685</v>
      </c>
      <c r="O1155" s="18" t="s">
        <v>88</v>
      </c>
      <c r="P1155" s="18">
        <v>685</v>
      </c>
      <c r="Q1155" s="18">
        <v>30</v>
      </c>
      <c r="R1155" s="18"/>
      <c r="S1155" s="18"/>
      <c r="T1155" s="18"/>
      <c r="U11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55" s="19">
        <f>IF(AUDITORIA[[#This Row],[CAT]]="",0,1)</f>
        <v>1</v>
      </c>
      <c r="W1155" s="20">
        <v>46170</v>
      </c>
      <c r="X1155" s="21" t="str">
        <f>UPPER(IF(AUDITORIA[[#This Row],[DATA VERIFICAÇÃO]]="","",TEXT(AUDITORIA[[#This Row],[DATA VERIFICAÇÃO]],"mmm")))</f>
        <v>MAI</v>
      </c>
      <c r="Y1155" t="s">
        <v>598</v>
      </c>
      <c r="Z1155" t="s">
        <v>830</v>
      </c>
      <c r="AA1155" t="s">
        <v>600</v>
      </c>
    </row>
    <row r="1156" spans="1:27" ht="14.4" hidden="1" customHeight="1" x14ac:dyDescent="0.3">
      <c r="A1156" s="4" t="s">
        <v>279</v>
      </c>
      <c r="B1156" s="4" t="s">
        <v>17</v>
      </c>
      <c r="C1156" s="16" t="s">
        <v>18</v>
      </c>
      <c r="D1156" s="4">
        <v>11</v>
      </c>
      <c r="E1156" s="4" t="s">
        <v>745</v>
      </c>
      <c r="F1156" t="s">
        <v>545</v>
      </c>
      <c r="G1156" t="s">
        <v>85</v>
      </c>
      <c r="J1156" s="4" t="s">
        <v>88</v>
      </c>
      <c r="K1156" s="4" t="s">
        <v>20</v>
      </c>
      <c r="L1156" s="4" t="s">
        <v>742</v>
      </c>
      <c r="M1156" s="17">
        <v>30</v>
      </c>
      <c r="N1156" s="17">
        <v>680</v>
      </c>
      <c r="O1156" s="18" t="s">
        <v>88</v>
      </c>
      <c r="P1156" s="18">
        <v>680</v>
      </c>
      <c r="Q1156" s="18">
        <v>30</v>
      </c>
      <c r="R1156" s="18"/>
      <c r="S1156" s="18"/>
      <c r="T1156" s="18"/>
      <c r="U11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56" s="19">
        <f>IF(AUDITORIA[[#This Row],[CAT]]="",0,1)</f>
        <v>1</v>
      </c>
      <c r="W1156" s="20">
        <v>46170</v>
      </c>
      <c r="X1156" s="21" t="str">
        <f>UPPER(IF(AUDITORIA[[#This Row],[DATA VERIFICAÇÃO]]="","",TEXT(AUDITORIA[[#This Row],[DATA VERIFICAÇÃO]],"mmm")))</f>
        <v>MAI</v>
      </c>
      <c r="Y1156" t="s">
        <v>598</v>
      </c>
      <c r="Z1156" t="s">
        <v>830</v>
      </c>
      <c r="AA1156" t="s">
        <v>600</v>
      </c>
    </row>
    <row r="1157" spans="1:27" ht="14.4" hidden="1" customHeight="1" x14ac:dyDescent="0.3">
      <c r="A1157" s="4" t="s">
        <v>279</v>
      </c>
      <c r="B1157" s="4" t="s">
        <v>17</v>
      </c>
      <c r="C1157" s="16" t="s">
        <v>18</v>
      </c>
      <c r="D1157" s="4">
        <v>11</v>
      </c>
      <c r="E1157" s="4" t="s">
        <v>745</v>
      </c>
      <c r="F1157" t="s">
        <v>560</v>
      </c>
      <c r="G1157" t="s">
        <v>85</v>
      </c>
      <c r="J1157" s="4" t="s">
        <v>88</v>
      </c>
      <c r="K1157" s="4" t="s">
        <v>20</v>
      </c>
      <c r="L1157" s="4" t="s">
        <v>742</v>
      </c>
      <c r="M1157" s="17">
        <v>30</v>
      </c>
      <c r="N1157" s="17">
        <v>688</v>
      </c>
      <c r="O1157" s="18" t="s">
        <v>88</v>
      </c>
      <c r="P1157" s="18">
        <v>688</v>
      </c>
      <c r="Q1157" s="18">
        <v>30</v>
      </c>
      <c r="R1157" s="18"/>
      <c r="S1157" s="18"/>
      <c r="T1157" s="18"/>
      <c r="U11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57" s="19">
        <f>IF(AUDITORIA[[#This Row],[CAT]]="",0,1)</f>
        <v>1</v>
      </c>
      <c r="W1157" s="20">
        <v>46170</v>
      </c>
      <c r="X1157" s="21" t="str">
        <f>UPPER(IF(AUDITORIA[[#This Row],[DATA VERIFICAÇÃO]]="","",TEXT(AUDITORIA[[#This Row],[DATA VERIFICAÇÃO]],"mmm")))</f>
        <v>MAI</v>
      </c>
      <c r="Y1157" t="s">
        <v>598</v>
      </c>
      <c r="Z1157" t="s">
        <v>830</v>
      </c>
      <c r="AA1157" t="s">
        <v>600</v>
      </c>
    </row>
    <row r="1158" spans="1:27" ht="14.4" hidden="1" customHeight="1" x14ac:dyDescent="0.3">
      <c r="A1158" s="4" t="s">
        <v>279</v>
      </c>
      <c r="B1158" s="4" t="s">
        <v>17</v>
      </c>
      <c r="C1158" s="16" t="s">
        <v>18</v>
      </c>
      <c r="D1158" s="4">
        <v>11</v>
      </c>
      <c r="E1158" s="4" t="s">
        <v>745</v>
      </c>
      <c r="F1158" t="s">
        <v>564</v>
      </c>
      <c r="G1158" t="s">
        <v>85</v>
      </c>
      <c r="J1158" s="4" t="s">
        <v>88</v>
      </c>
      <c r="K1158" s="4" t="s">
        <v>20</v>
      </c>
      <c r="L1158" s="4" t="s">
        <v>742</v>
      </c>
      <c r="M1158" s="17">
        <v>30</v>
      </c>
      <c r="N1158" s="17">
        <v>688</v>
      </c>
      <c r="O1158" s="18" t="s">
        <v>88</v>
      </c>
      <c r="P1158" s="18">
        <v>688</v>
      </c>
      <c r="Q1158" s="18">
        <v>30</v>
      </c>
      <c r="R1158" s="18"/>
      <c r="S1158" s="18"/>
      <c r="T1158" s="18"/>
      <c r="U11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58" s="19">
        <f>IF(AUDITORIA[[#This Row],[CAT]]="",0,1)</f>
        <v>1</v>
      </c>
      <c r="W1158" s="20">
        <v>46170</v>
      </c>
      <c r="X1158" s="21" t="str">
        <f>UPPER(IF(AUDITORIA[[#This Row],[DATA VERIFICAÇÃO]]="","",TEXT(AUDITORIA[[#This Row],[DATA VERIFICAÇÃO]],"mmm")))</f>
        <v>MAI</v>
      </c>
      <c r="Y1158" t="s">
        <v>598</v>
      </c>
      <c r="Z1158" t="s">
        <v>830</v>
      </c>
      <c r="AA1158" t="s">
        <v>600</v>
      </c>
    </row>
    <row r="1159" spans="1:27" ht="14.4" hidden="1" customHeight="1" x14ac:dyDescent="0.3">
      <c r="A1159" s="4" t="s">
        <v>279</v>
      </c>
      <c r="B1159" s="4" t="s">
        <v>17</v>
      </c>
      <c r="C1159" s="16" t="s">
        <v>18</v>
      </c>
      <c r="D1159" s="4">
        <v>11</v>
      </c>
      <c r="E1159" s="4" t="s">
        <v>745</v>
      </c>
      <c r="F1159" t="s">
        <v>571</v>
      </c>
      <c r="G1159" t="s">
        <v>85</v>
      </c>
      <c r="J1159" s="4" t="s">
        <v>88</v>
      </c>
      <c r="K1159" s="4" t="s">
        <v>20</v>
      </c>
      <c r="L1159" s="4" t="s">
        <v>742</v>
      </c>
      <c r="M1159" s="17">
        <v>30</v>
      </c>
      <c r="N1159" s="17">
        <v>679</v>
      </c>
      <c r="O1159" s="18" t="s">
        <v>88</v>
      </c>
      <c r="P1159" s="18">
        <v>679</v>
      </c>
      <c r="Q1159" s="18">
        <v>30</v>
      </c>
      <c r="R1159" s="18"/>
      <c r="S1159" s="18"/>
      <c r="T1159" s="18"/>
      <c r="U11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59" s="19">
        <f>IF(AUDITORIA[[#This Row],[CAT]]="",0,1)</f>
        <v>1</v>
      </c>
      <c r="W1159" s="20">
        <v>46170</v>
      </c>
      <c r="X1159" s="21" t="str">
        <f>UPPER(IF(AUDITORIA[[#This Row],[DATA VERIFICAÇÃO]]="","",TEXT(AUDITORIA[[#This Row],[DATA VERIFICAÇÃO]],"mmm")))</f>
        <v>MAI</v>
      </c>
      <c r="Y1159" t="s">
        <v>598</v>
      </c>
      <c r="Z1159" t="s">
        <v>830</v>
      </c>
      <c r="AA1159" t="s">
        <v>600</v>
      </c>
    </row>
    <row r="1160" spans="1:27" ht="14.4" hidden="1" customHeight="1" x14ac:dyDescent="0.3">
      <c r="A1160" s="4" t="s">
        <v>279</v>
      </c>
      <c r="B1160" s="4" t="s">
        <v>17</v>
      </c>
      <c r="C1160" s="16" t="s">
        <v>18</v>
      </c>
      <c r="D1160" s="4">
        <v>11</v>
      </c>
      <c r="E1160" s="4" t="s">
        <v>745</v>
      </c>
      <c r="F1160" t="s">
        <v>567</v>
      </c>
      <c r="G1160" t="s">
        <v>85</v>
      </c>
      <c r="J1160" s="4" t="s">
        <v>88</v>
      </c>
      <c r="K1160" s="4" t="s">
        <v>20</v>
      </c>
      <c r="L1160" s="4" t="s">
        <v>742</v>
      </c>
      <c r="M1160" s="17">
        <v>30</v>
      </c>
      <c r="N1160" s="17">
        <v>678</v>
      </c>
      <c r="O1160" s="18" t="s">
        <v>88</v>
      </c>
      <c r="P1160" s="18">
        <v>678</v>
      </c>
      <c r="Q1160" s="18">
        <v>30</v>
      </c>
      <c r="R1160" s="18"/>
      <c r="S1160" s="18"/>
      <c r="T1160" s="18"/>
      <c r="U11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60" s="19">
        <f>IF(AUDITORIA[[#This Row],[CAT]]="",0,1)</f>
        <v>1</v>
      </c>
      <c r="W1160" s="20">
        <v>46170</v>
      </c>
      <c r="X1160" s="21" t="str">
        <f>UPPER(IF(AUDITORIA[[#This Row],[DATA VERIFICAÇÃO]]="","",TEXT(AUDITORIA[[#This Row],[DATA VERIFICAÇÃO]],"mmm")))</f>
        <v>MAI</v>
      </c>
      <c r="Y1160" t="s">
        <v>598</v>
      </c>
      <c r="Z1160" t="s">
        <v>830</v>
      </c>
      <c r="AA1160" t="s">
        <v>600</v>
      </c>
    </row>
    <row r="1161" spans="1:27" ht="14.4" hidden="1" customHeight="1" x14ac:dyDescent="0.3">
      <c r="A1161" s="4" t="s">
        <v>279</v>
      </c>
      <c r="B1161" s="4" t="s">
        <v>17</v>
      </c>
      <c r="C1161" s="16" t="s">
        <v>18</v>
      </c>
      <c r="D1161" s="4">
        <v>11</v>
      </c>
      <c r="E1161" s="4" t="s">
        <v>745</v>
      </c>
      <c r="F1161" t="s">
        <v>577</v>
      </c>
      <c r="G1161" t="s">
        <v>85</v>
      </c>
      <c r="J1161" s="4" t="s">
        <v>88</v>
      </c>
      <c r="K1161" s="4" t="s">
        <v>20</v>
      </c>
      <c r="L1161" s="4" t="s">
        <v>742</v>
      </c>
      <c r="M1161" s="17">
        <v>30</v>
      </c>
      <c r="N1161" s="17">
        <v>682</v>
      </c>
      <c r="O1161" s="18" t="s">
        <v>88</v>
      </c>
      <c r="P1161" s="18">
        <v>682</v>
      </c>
      <c r="Q1161" s="18">
        <v>30</v>
      </c>
      <c r="R1161" s="18"/>
      <c r="S1161" s="18"/>
      <c r="T1161" s="18"/>
      <c r="U11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61" s="19">
        <f>IF(AUDITORIA[[#This Row],[CAT]]="",0,1)</f>
        <v>1</v>
      </c>
      <c r="W1161" s="20">
        <v>46170</v>
      </c>
      <c r="X1161" s="21" t="str">
        <f>UPPER(IF(AUDITORIA[[#This Row],[DATA VERIFICAÇÃO]]="","",TEXT(AUDITORIA[[#This Row],[DATA VERIFICAÇÃO]],"mmm")))</f>
        <v>MAI</v>
      </c>
      <c r="Y1161" t="s">
        <v>598</v>
      </c>
      <c r="Z1161" t="s">
        <v>830</v>
      </c>
      <c r="AA1161" t="s">
        <v>600</v>
      </c>
    </row>
    <row r="1162" spans="1:27" ht="14.4" hidden="1" customHeight="1" x14ac:dyDescent="0.3">
      <c r="A1162" s="4" t="s">
        <v>279</v>
      </c>
      <c r="B1162" s="4" t="s">
        <v>17</v>
      </c>
      <c r="C1162" s="16" t="s">
        <v>18</v>
      </c>
      <c r="D1162" s="4">
        <v>11</v>
      </c>
      <c r="E1162" s="4" t="s">
        <v>745</v>
      </c>
      <c r="F1162" t="s">
        <v>576</v>
      </c>
      <c r="G1162" t="s">
        <v>85</v>
      </c>
      <c r="J1162" s="4" t="s">
        <v>88</v>
      </c>
      <c r="K1162" s="4" t="s">
        <v>20</v>
      </c>
      <c r="L1162" s="4" t="s">
        <v>742</v>
      </c>
      <c r="M1162" s="17">
        <v>30</v>
      </c>
      <c r="N1162" s="17">
        <v>673</v>
      </c>
      <c r="O1162" s="18" t="s">
        <v>88</v>
      </c>
      <c r="P1162" s="18">
        <v>673</v>
      </c>
      <c r="Q1162" s="18">
        <v>30</v>
      </c>
      <c r="R1162" s="18"/>
      <c r="S1162" s="18"/>
      <c r="T1162" s="18"/>
      <c r="U11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62" s="19">
        <f>IF(AUDITORIA[[#This Row],[CAT]]="",0,1)</f>
        <v>1</v>
      </c>
      <c r="W1162" s="20">
        <v>46170</v>
      </c>
      <c r="X1162" s="21" t="str">
        <f>UPPER(IF(AUDITORIA[[#This Row],[DATA VERIFICAÇÃO]]="","",TEXT(AUDITORIA[[#This Row],[DATA VERIFICAÇÃO]],"mmm")))</f>
        <v>MAI</v>
      </c>
      <c r="Y1162" t="s">
        <v>598</v>
      </c>
      <c r="Z1162" t="s">
        <v>830</v>
      </c>
      <c r="AA1162" t="s">
        <v>600</v>
      </c>
    </row>
    <row r="1163" spans="1:27" ht="14.4" hidden="1" customHeight="1" x14ac:dyDescent="0.3">
      <c r="A1163" s="4" t="s">
        <v>279</v>
      </c>
      <c r="B1163" s="4" t="s">
        <v>17</v>
      </c>
      <c r="C1163" s="16" t="s">
        <v>18</v>
      </c>
      <c r="D1163" s="4">
        <v>11</v>
      </c>
      <c r="E1163" s="4" t="s">
        <v>745</v>
      </c>
      <c r="F1163" t="s">
        <v>495</v>
      </c>
      <c r="G1163" t="s">
        <v>85</v>
      </c>
      <c r="J1163" s="4" t="s">
        <v>88</v>
      </c>
      <c r="K1163" s="4" t="s">
        <v>20</v>
      </c>
      <c r="L1163" s="4" t="s">
        <v>742</v>
      </c>
      <c r="M1163" s="17">
        <v>5</v>
      </c>
      <c r="N1163" s="17">
        <v>676</v>
      </c>
      <c r="O1163" s="18" t="s">
        <v>88</v>
      </c>
      <c r="P1163" s="18">
        <v>676</v>
      </c>
      <c r="Q1163" s="18">
        <v>5</v>
      </c>
      <c r="R1163" s="18"/>
      <c r="S1163" s="18"/>
      <c r="T1163" s="18"/>
      <c r="U11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63" s="19">
        <f>IF(AUDITORIA[[#This Row],[CAT]]="",0,1)</f>
        <v>1</v>
      </c>
      <c r="W1163" s="20">
        <v>46170</v>
      </c>
      <c r="X1163" s="21" t="str">
        <f>UPPER(IF(AUDITORIA[[#This Row],[DATA VERIFICAÇÃO]]="","",TEXT(AUDITORIA[[#This Row],[DATA VERIFICAÇÃO]],"mmm")))</f>
        <v>MAI</v>
      </c>
      <c r="Y1163" t="s">
        <v>598</v>
      </c>
      <c r="Z1163" t="s">
        <v>830</v>
      </c>
      <c r="AA1163" t="s">
        <v>600</v>
      </c>
    </row>
    <row r="1164" spans="1:27" ht="14.4" hidden="1" customHeight="1" x14ac:dyDescent="0.3">
      <c r="A1164" s="4" t="s">
        <v>279</v>
      </c>
      <c r="B1164" s="4" t="s">
        <v>17</v>
      </c>
      <c r="C1164" s="16" t="s">
        <v>18</v>
      </c>
      <c r="D1164" s="4">
        <v>11</v>
      </c>
      <c r="E1164" s="4" t="s">
        <v>745</v>
      </c>
      <c r="F1164" t="s">
        <v>533</v>
      </c>
      <c r="G1164" t="s">
        <v>85</v>
      </c>
      <c r="J1164" s="4" t="s">
        <v>88</v>
      </c>
      <c r="K1164" s="4" t="s">
        <v>21</v>
      </c>
      <c r="L1164" s="4" t="s">
        <v>742</v>
      </c>
      <c r="M1164" s="17">
        <v>27</v>
      </c>
      <c r="N1164" s="17">
        <v>941</v>
      </c>
      <c r="O1164" s="18" t="s">
        <v>88</v>
      </c>
      <c r="P1164" s="18">
        <v>941</v>
      </c>
      <c r="Q1164" s="18">
        <v>27</v>
      </c>
      <c r="R1164" s="18"/>
      <c r="S1164" s="18"/>
      <c r="T1164" s="18"/>
      <c r="U11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64" s="19">
        <f>IF(AUDITORIA[[#This Row],[CAT]]="",0,1)</f>
        <v>1</v>
      </c>
      <c r="W1164" s="20">
        <v>46170</v>
      </c>
      <c r="X1164" s="21" t="str">
        <f>UPPER(IF(AUDITORIA[[#This Row],[DATA VERIFICAÇÃO]]="","",TEXT(AUDITORIA[[#This Row],[DATA VERIFICAÇÃO]],"mmm")))</f>
        <v>MAI</v>
      </c>
      <c r="Y1164" t="s">
        <v>598</v>
      </c>
      <c r="Z1164" t="s">
        <v>830</v>
      </c>
      <c r="AA1164" t="s">
        <v>600</v>
      </c>
    </row>
    <row r="1165" spans="1:27" ht="14.4" hidden="1" customHeight="1" x14ac:dyDescent="0.3">
      <c r="A1165" s="4" t="s">
        <v>279</v>
      </c>
      <c r="B1165" s="4" t="s">
        <v>17</v>
      </c>
      <c r="C1165" s="16" t="s">
        <v>18</v>
      </c>
      <c r="D1165" s="4">
        <v>11</v>
      </c>
      <c r="E1165" s="4" t="s">
        <v>745</v>
      </c>
      <c r="F1165" t="s">
        <v>529</v>
      </c>
      <c r="G1165" t="s">
        <v>85</v>
      </c>
      <c r="J1165" s="4" t="s">
        <v>88</v>
      </c>
      <c r="K1165" s="4" t="s">
        <v>21</v>
      </c>
      <c r="L1165" s="4" t="s">
        <v>742</v>
      </c>
      <c r="M1165" s="17">
        <v>30</v>
      </c>
      <c r="N1165" s="17">
        <v>870</v>
      </c>
      <c r="O1165" s="18" t="s">
        <v>88</v>
      </c>
      <c r="P1165" s="18">
        <v>870</v>
      </c>
      <c r="Q1165" s="18">
        <v>30</v>
      </c>
      <c r="R1165" s="18"/>
      <c r="S1165" s="18"/>
      <c r="T1165" s="18"/>
      <c r="U11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65" s="19">
        <f>IF(AUDITORIA[[#This Row],[CAT]]="",0,1)</f>
        <v>1</v>
      </c>
      <c r="W1165" s="20">
        <v>46170</v>
      </c>
      <c r="X1165" s="21" t="str">
        <f>UPPER(IF(AUDITORIA[[#This Row],[DATA VERIFICAÇÃO]]="","",TEXT(AUDITORIA[[#This Row],[DATA VERIFICAÇÃO]],"mmm")))</f>
        <v>MAI</v>
      </c>
      <c r="Y1165" t="s">
        <v>598</v>
      </c>
      <c r="Z1165" t="s">
        <v>830</v>
      </c>
      <c r="AA1165" t="s">
        <v>600</v>
      </c>
    </row>
    <row r="1166" spans="1:27" ht="14.4" hidden="1" customHeight="1" x14ac:dyDescent="0.3">
      <c r="A1166" s="4" t="s">
        <v>279</v>
      </c>
      <c r="B1166" s="4" t="s">
        <v>17</v>
      </c>
      <c r="C1166" s="16" t="s">
        <v>18</v>
      </c>
      <c r="D1166" s="4">
        <v>11</v>
      </c>
      <c r="E1166" s="4" t="s">
        <v>745</v>
      </c>
      <c r="F1166" t="s">
        <v>538</v>
      </c>
      <c r="G1166" t="s">
        <v>85</v>
      </c>
      <c r="J1166" s="4" t="s">
        <v>88</v>
      </c>
      <c r="K1166" s="4" t="s">
        <v>21</v>
      </c>
      <c r="L1166" s="4" t="s">
        <v>742</v>
      </c>
      <c r="M1166" s="17">
        <v>30</v>
      </c>
      <c r="N1166" s="17">
        <v>874</v>
      </c>
      <c r="O1166" s="18" t="s">
        <v>88</v>
      </c>
      <c r="P1166" s="18">
        <v>874</v>
      </c>
      <c r="Q1166" s="18">
        <v>30</v>
      </c>
      <c r="R1166" s="18"/>
      <c r="S1166" s="18"/>
      <c r="T1166" s="18"/>
      <c r="U11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66" s="19">
        <f>IF(AUDITORIA[[#This Row],[CAT]]="",0,1)</f>
        <v>1</v>
      </c>
      <c r="W1166" s="20">
        <v>46170</v>
      </c>
      <c r="X1166" s="21" t="str">
        <f>UPPER(IF(AUDITORIA[[#This Row],[DATA VERIFICAÇÃO]]="","",TEXT(AUDITORIA[[#This Row],[DATA VERIFICAÇÃO]],"mmm")))</f>
        <v>MAI</v>
      </c>
      <c r="Y1166" t="s">
        <v>598</v>
      </c>
      <c r="Z1166" t="s">
        <v>830</v>
      </c>
      <c r="AA1166" t="s">
        <v>600</v>
      </c>
    </row>
    <row r="1167" spans="1:27" ht="14.4" hidden="1" customHeight="1" x14ac:dyDescent="0.3">
      <c r="A1167" s="4" t="s">
        <v>279</v>
      </c>
      <c r="B1167" s="4" t="s">
        <v>17</v>
      </c>
      <c r="C1167" s="16" t="s">
        <v>18</v>
      </c>
      <c r="D1167" s="4">
        <v>11</v>
      </c>
      <c r="E1167" s="4" t="s">
        <v>745</v>
      </c>
      <c r="F1167" t="s">
        <v>548</v>
      </c>
      <c r="G1167" t="s">
        <v>85</v>
      </c>
      <c r="J1167" s="4" t="s">
        <v>88</v>
      </c>
      <c r="K1167" s="4" t="s">
        <v>21</v>
      </c>
      <c r="L1167" s="4" t="s">
        <v>742</v>
      </c>
      <c r="M1167" s="17">
        <v>30</v>
      </c>
      <c r="N1167" s="17">
        <v>874</v>
      </c>
      <c r="O1167" s="18" t="s">
        <v>88</v>
      </c>
      <c r="P1167" s="18">
        <v>874</v>
      </c>
      <c r="Q1167" s="18">
        <v>30</v>
      </c>
      <c r="R1167" s="18"/>
      <c r="S1167" s="18"/>
      <c r="T1167" s="18"/>
      <c r="U11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67" s="19">
        <f>IF(AUDITORIA[[#This Row],[CAT]]="",0,1)</f>
        <v>1</v>
      </c>
      <c r="W1167" s="20">
        <v>46170</v>
      </c>
      <c r="X1167" s="21" t="str">
        <f>UPPER(IF(AUDITORIA[[#This Row],[DATA VERIFICAÇÃO]]="","",TEXT(AUDITORIA[[#This Row],[DATA VERIFICAÇÃO]],"mmm")))</f>
        <v>MAI</v>
      </c>
      <c r="Y1167" t="s">
        <v>598</v>
      </c>
      <c r="Z1167" t="s">
        <v>830</v>
      </c>
      <c r="AA1167" t="s">
        <v>600</v>
      </c>
    </row>
    <row r="1168" spans="1:27" ht="14.4" hidden="1" customHeight="1" x14ac:dyDescent="0.3">
      <c r="A1168" s="4" t="s">
        <v>279</v>
      </c>
      <c r="B1168" s="4" t="s">
        <v>17</v>
      </c>
      <c r="C1168" s="16" t="s">
        <v>18</v>
      </c>
      <c r="D1168" s="4">
        <v>11</v>
      </c>
      <c r="E1168" s="4" t="s">
        <v>745</v>
      </c>
      <c r="F1168" t="s">
        <v>546</v>
      </c>
      <c r="G1168" t="s">
        <v>85</v>
      </c>
      <c r="J1168" s="4" t="s">
        <v>88</v>
      </c>
      <c r="K1168" s="4" t="s">
        <v>21</v>
      </c>
      <c r="L1168" s="4" t="s">
        <v>742</v>
      </c>
      <c r="M1168" s="17">
        <v>30</v>
      </c>
      <c r="N1168" s="17">
        <v>865</v>
      </c>
      <c r="O1168" s="18" t="s">
        <v>88</v>
      </c>
      <c r="P1168" s="18">
        <v>865</v>
      </c>
      <c r="Q1168" s="18">
        <v>30</v>
      </c>
      <c r="R1168" s="18"/>
      <c r="S1168" s="18"/>
      <c r="T1168" s="18"/>
      <c r="U11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68" s="19">
        <f>IF(AUDITORIA[[#This Row],[CAT]]="",0,1)</f>
        <v>1</v>
      </c>
      <c r="W1168" s="20">
        <v>46170</v>
      </c>
      <c r="X1168" s="21" t="str">
        <f>UPPER(IF(AUDITORIA[[#This Row],[DATA VERIFICAÇÃO]]="","",TEXT(AUDITORIA[[#This Row],[DATA VERIFICAÇÃO]],"mmm")))</f>
        <v>MAI</v>
      </c>
      <c r="Y1168" t="s">
        <v>598</v>
      </c>
      <c r="Z1168" t="s">
        <v>830</v>
      </c>
      <c r="AA1168" t="s">
        <v>600</v>
      </c>
    </row>
    <row r="1169" spans="1:27" ht="14.4" hidden="1" customHeight="1" x14ac:dyDescent="0.3">
      <c r="A1169" s="4" t="s">
        <v>279</v>
      </c>
      <c r="B1169" s="4" t="s">
        <v>17</v>
      </c>
      <c r="C1169" s="16" t="s">
        <v>18</v>
      </c>
      <c r="D1169" s="4">
        <v>11</v>
      </c>
      <c r="E1169" s="4" t="s">
        <v>745</v>
      </c>
      <c r="F1169" t="s">
        <v>553</v>
      </c>
      <c r="G1169" t="s">
        <v>85</v>
      </c>
      <c r="J1169" s="4" t="s">
        <v>88</v>
      </c>
      <c r="K1169" s="4" t="s">
        <v>21</v>
      </c>
      <c r="L1169" s="4" t="s">
        <v>742</v>
      </c>
      <c r="M1169" s="17">
        <v>30</v>
      </c>
      <c r="N1169" s="17">
        <v>872</v>
      </c>
      <c r="O1169" s="18" t="s">
        <v>88</v>
      </c>
      <c r="P1169" s="18">
        <v>872</v>
      </c>
      <c r="Q1169" s="18">
        <v>30</v>
      </c>
      <c r="R1169" s="18"/>
      <c r="S1169" s="18"/>
      <c r="T1169" s="18"/>
      <c r="U11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69" s="19">
        <f>IF(AUDITORIA[[#This Row],[CAT]]="",0,1)</f>
        <v>1</v>
      </c>
      <c r="W1169" s="20">
        <v>46170</v>
      </c>
      <c r="X1169" s="21" t="str">
        <f>UPPER(IF(AUDITORIA[[#This Row],[DATA VERIFICAÇÃO]]="","",TEXT(AUDITORIA[[#This Row],[DATA VERIFICAÇÃO]],"mmm")))</f>
        <v>MAI</v>
      </c>
      <c r="Y1169" t="s">
        <v>598</v>
      </c>
      <c r="Z1169" t="s">
        <v>830</v>
      </c>
      <c r="AA1169" t="s">
        <v>600</v>
      </c>
    </row>
    <row r="1170" spans="1:27" ht="14.4" hidden="1" customHeight="1" x14ac:dyDescent="0.3">
      <c r="A1170" s="4" t="s">
        <v>279</v>
      </c>
      <c r="B1170" s="4" t="s">
        <v>17</v>
      </c>
      <c r="C1170" s="16" t="s">
        <v>18</v>
      </c>
      <c r="D1170" s="4">
        <v>11</v>
      </c>
      <c r="E1170" s="4" t="s">
        <v>745</v>
      </c>
      <c r="F1170" t="s">
        <v>559</v>
      </c>
      <c r="G1170" t="s">
        <v>85</v>
      </c>
      <c r="J1170" s="4" t="s">
        <v>88</v>
      </c>
      <c r="K1170" s="4" t="s">
        <v>21</v>
      </c>
      <c r="L1170" s="4" t="s">
        <v>742</v>
      </c>
      <c r="M1170" s="17">
        <v>30</v>
      </c>
      <c r="N1170" s="17">
        <v>878</v>
      </c>
      <c r="O1170" s="18" t="s">
        <v>88</v>
      </c>
      <c r="P1170" s="18">
        <v>878</v>
      </c>
      <c r="Q1170" s="18">
        <v>30</v>
      </c>
      <c r="R1170" s="18"/>
      <c r="S1170" s="18"/>
      <c r="T1170" s="18"/>
      <c r="U11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70" s="19">
        <f>IF(AUDITORIA[[#This Row],[CAT]]="",0,1)</f>
        <v>1</v>
      </c>
      <c r="W1170" s="20">
        <v>46170</v>
      </c>
      <c r="X1170" s="21" t="str">
        <f>UPPER(IF(AUDITORIA[[#This Row],[DATA VERIFICAÇÃO]]="","",TEXT(AUDITORIA[[#This Row],[DATA VERIFICAÇÃO]],"mmm")))</f>
        <v>MAI</v>
      </c>
      <c r="Y1170" t="s">
        <v>598</v>
      </c>
      <c r="Z1170" t="s">
        <v>830</v>
      </c>
      <c r="AA1170" t="s">
        <v>600</v>
      </c>
    </row>
    <row r="1171" spans="1:27" ht="14.4" hidden="1" customHeight="1" x14ac:dyDescent="0.3">
      <c r="A1171" s="4" t="s">
        <v>279</v>
      </c>
      <c r="B1171" s="4" t="s">
        <v>17</v>
      </c>
      <c r="C1171" s="16" t="s">
        <v>18</v>
      </c>
      <c r="D1171" s="4">
        <v>11</v>
      </c>
      <c r="E1171" s="4" t="s">
        <v>745</v>
      </c>
      <c r="F1171" t="s">
        <v>558</v>
      </c>
      <c r="G1171" t="s">
        <v>85</v>
      </c>
      <c r="J1171" s="4" t="s">
        <v>88</v>
      </c>
      <c r="K1171" s="4" t="s">
        <v>21</v>
      </c>
      <c r="L1171" s="4" t="s">
        <v>742</v>
      </c>
      <c r="M1171" s="17">
        <v>30</v>
      </c>
      <c r="N1171" s="17">
        <v>885</v>
      </c>
      <c r="O1171" s="18" t="s">
        <v>88</v>
      </c>
      <c r="P1171" s="18">
        <v>885</v>
      </c>
      <c r="Q1171" s="18">
        <v>30</v>
      </c>
      <c r="R1171" s="18"/>
      <c r="S1171" s="18"/>
      <c r="T1171" s="18"/>
      <c r="U11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71" s="19">
        <f>IF(AUDITORIA[[#This Row],[CAT]]="",0,1)</f>
        <v>1</v>
      </c>
      <c r="W1171" s="20">
        <v>46170</v>
      </c>
      <c r="X1171" s="21" t="str">
        <f>UPPER(IF(AUDITORIA[[#This Row],[DATA VERIFICAÇÃO]]="","",TEXT(AUDITORIA[[#This Row],[DATA VERIFICAÇÃO]],"mmm")))</f>
        <v>MAI</v>
      </c>
      <c r="Y1171" t="s">
        <v>598</v>
      </c>
      <c r="Z1171" t="s">
        <v>830</v>
      </c>
      <c r="AA1171" t="s">
        <v>600</v>
      </c>
    </row>
    <row r="1172" spans="1:27" ht="14.4" hidden="1" customHeight="1" x14ac:dyDescent="0.3">
      <c r="A1172" s="4" t="s">
        <v>279</v>
      </c>
      <c r="B1172" s="4" t="s">
        <v>17</v>
      </c>
      <c r="C1172" s="16" t="s">
        <v>18</v>
      </c>
      <c r="D1172" s="4">
        <v>11</v>
      </c>
      <c r="E1172" s="4" t="s">
        <v>745</v>
      </c>
      <c r="F1172" t="s">
        <v>562</v>
      </c>
      <c r="G1172" t="s">
        <v>85</v>
      </c>
      <c r="J1172" s="4" t="s">
        <v>88</v>
      </c>
      <c r="K1172" s="4" t="s">
        <v>21</v>
      </c>
      <c r="L1172" s="4" t="s">
        <v>742</v>
      </c>
      <c r="M1172" s="17">
        <v>30</v>
      </c>
      <c r="N1172" s="17">
        <v>871</v>
      </c>
      <c r="O1172" s="18" t="s">
        <v>88</v>
      </c>
      <c r="P1172" s="18">
        <v>871</v>
      </c>
      <c r="Q1172" s="18">
        <v>30</v>
      </c>
      <c r="R1172" s="18"/>
      <c r="S1172" s="18"/>
      <c r="T1172" s="18"/>
      <c r="U11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72" s="19">
        <f>IF(AUDITORIA[[#This Row],[CAT]]="",0,1)</f>
        <v>1</v>
      </c>
      <c r="W1172" s="20">
        <v>46170</v>
      </c>
      <c r="X1172" s="21" t="str">
        <f>UPPER(IF(AUDITORIA[[#This Row],[DATA VERIFICAÇÃO]]="","",TEXT(AUDITORIA[[#This Row],[DATA VERIFICAÇÃO]],"mmm")))</f>
        <v>MAI</v>
      </c>
      <c r="Y1172" t="s">
        <v>598</v>
      </c>
      <c r="Z1172" t="s">
        <v>830</v>
      </c>
      <c r="AA1172" t="s">
        <v>600</v>
      </c>
    </row>
    <row r="1173" spans="1:27" ht="14.4" hidden="1" customHeight="1" x14ac:dyDescent="0.3">
      <c r="A1173" s="4" t="s">
        <v>279</v>
      </c>
      <c r="B1173" s="4" t="s">
        <v>17</v>
      </c>
      <c r="C1173" s="16" t="s">
        <v>18</v>
      </c>
      <c r="D1173" s="4">
        <v>11</v>
      </c>
      <c r="E1173" s="4" t="s">
        <v>745</v>
      </c>
      <c r="F1173" t="s">
        <v>572</v>
      </c>
      <c r="G1173" t="s">
        <v>85</v>
      </c>
      <c r="J1173" s="4" t="s">
        <v>88</v>
      </c>
      <c r="K1173" s="4" t="s">
        <v>21</v>
      </c>
      <c r="L1173" s="4" t="s">
        <v>742</v>
      </c>
      <c r="M1173" s="17">
        <v>30</v>
      </c>
      <c r="N1173" s="17">
        <v>879</v>
      </c>
      <c r="O1173" s="18" t="s">
        <v>88</v>
      </c>
      <c r="P1173" s="18">
        <v>879</v>
      </c>
      <c r="Q1173" s="18">
        <v>30</v>
      </c>
      <c r="R1173" s="18"/>
      <c r="S1173" s="18"/>
      <c r="T1173" s="18"/>
      <c r="U11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73" s="19">
        <f>IF(AUDITORIA[[#This Row],[CAT]]="",0,1)</f>
        <v>1</v>
      </c>
      <c r="W1173" s="20">
        <v>46170</v>
      </c>
      <c r="X1173" s="21" t="str">
        <f>UPPER(IF(AUDITORIA[[#This Row],[DATA VERIFICAÇÃO]]="","",TEXT(AUDITORIA[[#This Row],[DATA VERIFICAÇÃO]],"mmm")))</f>
        <v>MAI</v>
      </c>
      <c r="Y1173" t="s">
        <v>598</v>
      </c>
      <c r="Z1173" t="s">
        <v>830</v>
      </c>
      <c r="AA1173" t="s">
        <v>600</v>
      </c>
    </row>
    <row r="1174" spans="1:27" ht="14.4" hidden="1" customHeight="1" x14ac:dyDescent="0.3">
      <c r="A1174" s="4" t="s">
        <v>279</v>
      </c>
      <c r="B1174" s="4" t="s">
        <v>17</v>
      </c>
      <c r="C1174" s="16" t="s">
        <v>18</v>
      </c>
      <c r="D1174" s="4">
        <v>11</v>
      </c>
      <c r="E1174" s="4" t="s">
        <v>745</v>
      </c>
      <c r="F1174" t="s">
        <v>568</v>
      </c>
      <c r="G1174" t="s">
        <v>85</v>
      </c>
      <c r="J1174" s="4" t="s">
        <v>88</v>
      </c>
      <c r="K1174" s="4" t="s">
        <v>21</v>
      </c>
      <c r="L1174" s="4" t="s">
        <v>742</v>
      </c>
      <c r="M1174" s="17">
        <v>30</v>
      </c>
      <c r="N1174" s="17">
        <v>878</v>
      </c>
      <c r="O1174" s="18" t="s">
        <v>88</v>
      </c>
      <c r="P1174" s="18">
        <v>878</v>
      </c>
      <c r="Q1174" s="18">
        <v>30</v>
      </c>
      <c r="R1174" s="18"/>
      <c r="S1174" s="18"/>
      <c r="T1174" s="18"/>
      <c r="U11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74" s="19">
        <f>IF(AUDITORIA[[#This Row],[CAT]]="",0,1)</f>
        <v>1</v>
      </c>
      <c r="W1174" s="20">
        <v>46170</v>
      </c>
      <c r="X1174" s="21" t="str">
        <f>UPPER(IF(AUDITORIA[[#This Row],[DATA VERIFICAÇÃO]]="","",TEXT(AUDITORIA[[#This Row],[DATA VERIFICAÇÃO]],"mmm")))</f>
        <v>MAI</v>
      </c>
      <c r="Y1174" t="s">
        <v>598</v>
      </c>
      <c r="Z1174" t="s">
        <v>830</v>
      </c>
      <c r="AA1174" t="s">
        <v>600</v>
      </c>
    </row>
    <row r="1175" spans="1:27" ht="14.4" hidden="1" customHeight="1" x14ac:dyDescent="0.3">
      <c r="A1175" s="4" t="s">
        <v>279</v>
      </c>
      <c r="B1175" s="4" t="s">
        <v>17</v>
      </c>
      <c r="C1175" s="16" t="s">
        <v>18</v>
      </c>
      <c r="D1175" s="4">
        <v>11</v>
      </c>
      <c r="E1175" s="4" t="s">
        <v>745</v>
      </c>
      <c r="F1175" t="s">
        <v>575</v>
      </c>
      <c r="G1175" t="s">
        <v>85</v>
      </c>
      <c r="J1175" s="4" t="s">
        <v>88</v>
      </c>
      <c r="K1175" s="4" t="s">
        <v>21</v>
      </c>
      <c r="L1175" s="4" t="s">
        <v>742</v>
      </c>
      <c r="M1175" s="17">
        <v>30</v>
      </c>
      <c r="N1175" s="17">
        <v>870</v>
      </c>
      <c r="O1175" s="18" t="s">
        <v>88</v>
      </c>
      <c r="P1175" s="18">
        <v>870</v>
      </c>
      <c r="Q1175" s="18">
        <v>30</v>
      </c>
      <c r="R1175" s="18"/>
      <c r="S1175" s="18"/>
      <c r="T1175" s="18"/>
      <c r="U11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75" s="19">
        <f>IF(AUDITORIA[[#This Row],[CAT]]="",0,1)</f>
        <v>1</v>
      </c>
      <c r="W1175" s="20">
        <v>46170</v>
      </c>
      <c r="X1175" s="21" t="str">
        <f>UPPER(IF(AUDITORIA[[#This Row],[DATA VERIFICAÇÃO]]="","",TEXT(AUDITORIA[[#This Row],[DATA VERIFICAÇÃO]],"mmm")))</f>
        <v>MAI</v>
      </c>
      <c r="Y1175" t="s">
        <v>598</v>
      </c>
      <c r="Z1175" t="s">
        <v>830</v>
      </c>
      <c r="AA1175" t="s">
        <v>600</v>
      </c>
    </row>
    <row r="1176" spans="1:27" ht="14.4" hidden="1" customHeight="1" x14ac:dyDescent="0.3">
      <c r="A1176" s="4" t="s">
        <v>279</v>
      </c>
      <c r="B1176" s="4" t="s">
        <v>17</v>
      </c>
      <c r="C1176" s="16" t="s">
        <v>18</v>
      </c>
      <c r="D1176" s="4">
        <v>11</v>
      </c>
      <c r="E1176" s="4" t="s">
        <v>745</v>
      </c>
      <c r="F1176" t="s">
        <v>578</v>
      </c>
      <c r="G1176" t="s">
        <v>85</v>
      </c>
      <c r="J1176" s="4" t="s">
        <v>88</v>
      </c>
      <c r="K1176" s="4" t="s">
        <v>21</v>
      </c>
      <c r="L1176" s="4" t="s">
        <v>742</v>
      </c>
      <c r="M1176" s="17">
        <v>30</v>
      </c>
      <c r="N1176" s="17">
        <v>874</v>
      </c>
      <c r="O1176" s="18" t="s">
        <v>88</v>
      </c>
      <c r="P1176" s="18">
        <v>874</v>
      </c>
      <c r="Q1176" s="18">
        <v>30</v>
      </c>
      <c r="R1176" s="18"/>
      <c r="S1176" s="18"/>
      <c r="T1176" s="18"/>
      <c r="U11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76" s="19">
        <f>IF(AUDITORIA[[#This Row],[CAT]]="",0,1)</f>
        <v>1</v>
      </c>
      <c r="W1176" s="20">
        <v>46170</v>
      </c>
      <c r="X1176" s="21" t="str">
        <f>UPPER(IF(AUDITORIA[[#This Row],[DATA VERIFICAÇÃO]]="","",TEXT(AUDITORIA[[#This Row],[DATA VERIFICAÇÃO]],"mmm")))</f>
        <v>MAI</v>
      </c>
      <c r="Y1176" t="s">
        <v>598</v>
      </c>
      <c r="Z1176" t="s">
        <v>830</v>
      </c>
      <c r="AA1176" t="s">
        <v>600</v>
      </c>
    </row>
    <row r="1177" spans="1:27" ht="14.4" hidden="1" customHeight="1" x14ac:dyDescent="0.3">
      <c r="A1177" s="4" t="s">
        <v>279</v>
      </c>
      <c r="B1177" s="4" t="s">
        <v>17</v>
      </c>
      <c r="C1177" s="16" t="s">
        <v>18</v>
      </c>
      <c r="D1177" s="4">
        <v>11</v>
      </c>
      <c r="E1177" s="4" t="s">
        <v>745</v>
      </c>
      <c r="F1177" t="s">
        <v>579</v>
      </c>
      <c r="G1177" t="s">
        <v>85</v>
      </c>
      <c r="J1177" s="4" t="s">
        <v>88</v>
      </c>
      <c r="K1177" s="4" t="s">
        <v>21</v>
      </c>
      <c r="L1177" s="4" t="s">
        <v>742</v>
      </c>
      <c r="M1177" s="17">
        <v>30</v>
      </c>
      <c r="N1177" s="17">
        <v>866</v>
      </c>
      <c r="O1177" s="18" t="s">
        <v>88</v>
      </c>
      <c r="P1177" s="18">
        <v>866</v>
      </c>
      <c r="Q1177" s="18">
        <v>30</v>
      </c>
      <c r="R1177" s="18"/>
      <c r="S1177" s="18"/>
      <c r="T1177" s="18"/>
      <c r="U11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77" s="19">
        <f>IF(AUDITORIA[[#This Row],[CAT]]="",0,1)</f>
        <v>1</v>
      </c>
      <c r="W1177" s="20">
        <v>46170</v>
      </c>
      <c r="X1177" s="21" t="str">
        <f>UPPER(IF(AUDITORIA[[#This Row],[DATA VERIFICAÇÃO]]="","",TEXT(AUDITORIA[[#This Row],[DATA VERIFICAÇÃO]],"mmm")))</f>
        <v>MAI</v>
      </c>
      <c r="Y1177" t="s">
        <v>598</v>
      </c>
      <c r="Z1177" t="s">
        <v>830</v>
      </c>
      <c r="AA1177" t="s">
        <v>600</v>
      </c>
    </row>
    <row r="1178" spans="1:27" ht="14.4" hidden="1" customHeight="1" x14ac:dyDescent="0.3">
      <c r="A1178" s="4" t="s">
        <v>279</v>
      </c>
      <c r="B1178" s="4" t="s">
        <v>17</v>
      </c>
      <c r="C1178" s="16" t="s">
        <v>18</v>
      </c>
      <c r="D1178" s="4">
        <v>11</v>
      </c>
      <c r="E1178" s="4" t="s">
        <v>745</v>
      </c>
      <c r="F1178" t="s">
        <v>580</v>
      </c>
      <c r="G1178" t="s">
        <v>85</v>
      </c>
      <c r="J1178" s="4" t="s">
        <v>88</v>
      </c>
      <c r="K1178" s="4" t="s">
        <v>21</v>
      </c>
      <c r="L1178" s="4" t="s">
        <v>742</v>
      </c>
      <c r="M1178" s="17">
        <v>27</v>
      </c>
      <c r="N1178" s="17">
        <v>881</v>
      </c>
      <c r="O1178" s="18" t="s">
        <v>88</v>
      </c>
      <c r="P1178" s="18">
        <v>881</v>
      </c>
      <c r="Q1178" s="18">
        <v>27</v>
      </c>
      <c r="R1178" s="18"/>
      <c r="S1178" s="18"/>
      <c r="T1178" s="18"/>
      <c r="U11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78" s="19">
        <f>IF(AUDITORIA[[#This Row],[CAT]]="",0,1)</f>
        <v>1</v>
      </c>
      <c r="W1178" s="20">
        <v>46170</v>
      </c>
      <c r="X1178" s="21" t="str">
        <f>UPPER(IF(AUDITORIA[[#This Row],[DATA VERIFICAÇÃO]]="","",TEXT(AUDITORIA[[#This Row],[DATA VERIFICAÇÃO]],"mmm")))</f>
        <v>MAI</v>
      </c>
      <c r="Y1178" t="s">
        <v>598</v>
      </c>
      <c r="Z1178" t="s">
        <v>830</v>
      </c>
      <c r="AA1178" t="s">
        <v>600</v>
      </c>
    </row>
    <row r="1179" spans="1:27" ht="14.4" hidden="1" customHeight="1" x14ac:dyDescent="0.3">
      <c r="A1179" s="4" t="s">
        <v>279</v>
      </c>
      <c r="B1179" s="4" t="s">
        <v>17</v>
      </c>
      <c r="C1179" s="16" t="s">
        <v>18</v>
      </c>
      <c r="D1179" s="4">
        <v>11</v>
      </c>
      <c r="E1179" s="4" t="s">
        <v>745</v>
      </c>
      <c r="F1179" t="s">
        <v>280</v>
      </c>
      <c r="G1179" t="s">
        <v>281</v>
      </c>
      <c r="J1179" s="4" t="s">
        <v>31</v>
      </c>
      <c r="K1179" s="4" t="s">
        <v>20</v>
      </c>
      <c r="L1179" s="4" t="s">
        <v>742</v>
      </c>
      <c r="M1179" s="17">
        <v>30</v>
      </c>
      <c r="N1179" s="17">
        <v>846</v>
      </c>
      <c r="O1179" s="18" t="s">
        <v>31</v>
      </c>
      <c r="P1179" s="18">
        <v>846</v>
      </c>
      <c r="Q1179" s="18">
        <v>30</v>
      </c>
      <c r="R1179" s="18"/>
      <c r="S1179" s="18"/>
      <c r="T1179" s="18"/>
      <c r="U11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79" s="19">
        <f>IF(AUDITORIA[[#This Row],[CAT]]="",0,1)</f>
        <v>1</v>
      </c>
      <c r="W1179" s="20">
        <v>46170</v>
      </c>
      <c r="X1179" s="21" t="str">
        <f>UPPER(IF(AUDITORIA[[#This Row],[DATA VERIFICAÇÃO]]="","",TEXT(AUDITORIA[[#This Row],[DATA VERIFICAÇÃO]],"mmm")))</f>
        <v>MAI</v>
      </c>
      <c r="Y1179" t="s">
        <v>598</v>
      </c>
      <c r="Z1179" t="s">
        <v>830</v>
      </c>
      <c r="AA1179" t="s">
        <v>600</v>
      </c>
    </row>
    <row r="1180" spans="1:27" ht="14.4" hidden="1" customHeight="1" x14ac:dyDescent="0.3">
      <c r="A1180" s="4" t="s">
        <v>279</v>
      </c>
      <c r="B1180" s="4" t="s">
        <v>17</v>
      </c>
      <c r="C1180" s="16" t="s">
        <v>18</v>
      </c>
      <c r="D1180" s="4">
        <v>11</v>
      </c>
      <c r="E1180" s="4" t="s">
        <v>745</v>
      </c>
      <c r="F1180" t="s">
        <v>508</v>
      </c>
      <c r="G1180" t="s">
        <v>281</v>
      </c>
      <c r="J1180" s="4" t="s">
        <v>31</v>
      </c>
      <c r="K1180" s="4" t="s">
        <v>20</v>
      </c>
      <c r="L1180" s="4" t="s">
        <v>742</v>
      </c>
      <c r="M1180" s="17">
        <v>30</v>
      </c>
      <c r="N1180" s="17">
        <v>848</v>
      </c>
      <c r="O1180" s="18" t="s">
        <v>31</v>
      </c>
      <c r="P1180" s="18">
        <v>848</v>
      </c>
      <c r="Q1180" s="18">
        <v>30</v>
      </c>
      <c r="R1180" s="18"/>
      <c r="S1180" s="18"/>
      <c r="T1180" s="18"/>
      <c r="U11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80" s="19">
        <f>IF(AUDITORIA[[#This Row],[CAT]]="",0,1)</f>
        <v>1</v>
      </c>
      <c r="W1180" s="20">
        <v>46170</v>
      </c>
      <c r="X1180" s="21" t="str">
        <f>UPPER(IF(AUDITORIA[[#This Row],[DATA VERIFICAÇÃO]]="","",TEXT(AUDITORIA[[#This Row],[DATA VERIFICAÇÃO]],"mmm")))</f>
        <v>MAI</v>
      </c>
      <c r="Y1180" t="s">
        <v>598</v>
      </c>
      <c r="Z1180" t="s">
        <v>830</v>
      </c>
      <c r="AA1180" t="s">
        <v>600</v>
      </c>
    </row>
    <row r="1181" spans="1:27" ht="14.4" hidden="1" customHeight="1" x14ac:dyDescent="0.3">
      <c r="A1181" s="4" t="s">
        <v>279</v>
      </c>
      <c r="B1181" s="4" t="s">
        <v>17</v>
      </c>
      <c r="C1181" s="16" t="s">
        <v>18</v>
      </c>
      <c r="D1181" s="4">
        <v>11</v>
      </c>
      <c r="E1181" s="4" t="s">
        <v>745</v>
      </c>
      <c r="F1181" t="s">
        <v>504</v>
      </c>
      <c r="G1181" t="s">
        <v>281</v>
      </c>
      <c r="J1181" s="4" t="s">
        <v>31</v>
      </c>
      <c r="K1181" s="4" t="s">
        <v>20</v>
      </c>
      <c r="L1181" s="4" t="s">
        <v>742</v>
      </c>
      <c r="M1181" s="17">
        <v>30</v>
      </c>
      <c r="N1181" s="17">
        <v>855</v>
      </c>
      <c r="O1181" s="18" t="s">
        <v>31</v>
      </c>
      <c r="P1181" s="18">
        <v>855</v>
      </c>
      <c r="Q1181" s="18">
        <v>30</v>
      </c>
      <c r="R1181" s="18"/>
      <c r="S1181" s="18"/>
      <c r="T1181" s="18"/>
      <c r="U11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81" s="19">
        <f>IF(AUDITORIA[[#This Row],[CAT]]="",0,1)</f>
        <v>1</v>
      </c>
      <c r="W1181" s="20">
        <v>46170</v>
      </c>
      <c r="X1181" s="21" t="str">
        <f>UPPER(IF(AUDITORIA[[#This Row],[DATA VERIFICAÇÃO]]="","",TEXT(AUDITORIA[[#This Row],[DATA VERIFICAÇÃO]],"mmm")))</f>
        <v>MAI</v>
      </c>
      <c r="Y1181" t="s">
        <v>598</v>
      </c>
      <c r="Z1181" t="s">
        <v>830</v>
      </c>
      <c r="AA1181" t="s">
        <v>600</v>
      </c>
    </row>
    <row r="1182" spans="1:27" ht="14.4" hidden="1" customHeight="1" x14ac:dyDescent="0.3">
      <c r="A1182" s="4" t="s">
        <v>279</v>
      </c>
      <c r="B1182" s="4" t="s">
        <v>17</v>
      </c>
      <c r="C1182" s="16" t="s">
        <v>18</v>
      </c>
      <c r="D1182" s="4">
        <v>11</v>
      </c>
      <c r="E1182" s="4" t="s">
        <v>745</v>
      </c>
      <c r="F1182" t="s">
        <v>510</v>
      </c>
      <c r="G1182" t="s">
        <v>281</v>
      </c>
      <c r="J1182" s="4" t="s">
        <v>31</v>
      </c>
      <c r="K1182" s="4" t="s">
        <v>20</v>
      </c>
      <c r="L1182" s="4" t="s">
        <v>742</v>
      </c>
      <c r="M1182" s="17">
        <v>30</v>
      </c>
      <c r="N1182" s="17">
        <v>846</v>
      </c>
      <c r="O1182" s="18" t="s">
        <v>31</v>
      </c>
      <c r="P1182" s="18">
        <v>846</v>
      </c>
      <c r="Q1182" s="18">
        <v>30</v>
      </c>
      <c r="R1182" s="18"/>
      <c r="S1182" s="18"/>
      <c r="T1182" s="18"/>
      <c r="U11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82" s="19">
        <f>IF(AUDITORIA[[#This Row],[CAT]]="",0,1)</f>
        <v>1</v>
      </c>
      <c r="W1182" s="20">
        <v>46170</v>
      </c>
      <c r="X1182" s="21" t="str">
        <f>UPPER(IF(AUDITORIA[[#This Row],[DATA VERIFICAÇÃO]]="","",TEXT(AUDITORIA[[#This Row],[DATA VERIFICAÇÃO]],"mmm")))</f>
        <v>MAI</v>
      </c>
      <c r="Y1182" t="s">
        <v>598</v>
      </c>
      <c r="Z1182" t="s">
        <v>830</v>
      </c>
      <c r="AA1182" t="s">
        <v>600</v>
      </c>
    </row>
    <row r="1183" spans="1:27" ht="14.4" hidden="1" customHeight="1" x14ac:dyDescent="0.3">
      <c r="A1183" s="4" t="s">
        <v>279</v>
      </c>
      <c r="B1183" s="4" t="s">
        <v>17</v>
      </c>
      <c r="C1183" s="16" t="s">
        <v>18</v>
      </c>
      <c r="D1183" s="4">
        <v>11</v>
      </c>
      <c r="E1183" s="4" t="s">
        <v>745</v>
      </c>
      <c r="F1183" t="s">
        <v>523</v>
      </c>
      <c r="G1183" t="s">
        <v>281</v>
      </c>
      <c r="J1183" s="4" t="s">
        <v>31</v>
      </c>
      <c r="K1183" s="4" t="s">
        <v>20</v>
      </c>
      <c r="L1183" s="4" t="s">
        <v>742</v>
      </c>
      <c r="M1183" s="17">
        <v>30</v>
      </c>
      <c r="N1183" s="17">
        <v>850</v>
      </c>
      <c r="O1183" s="18" t="s">
        <v>31</v>
      </c>
      <c r="P1183" s="18">
        <v>850</v>
      </c>
      <c r="Q1183" s="18">
        <v>30</v>
      </c>
      <c r="R1183" s="18"/>
      <c r="S1183" s="18"/>
      <c r="T1183" s="18"/>
      <c r="U11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83" s="19">
        <f>IF(AUDITORIA[[#This Row],[CAT]]="",0,1)</f>
        <v>1</v>
      </c>
      <c r="W1183" s="20">
        <v>46170</v>
      </c>
      <c r="X1183" s="21" t="str">
        <f>UPPER(IF(AUDITORIA[[#This Row],[DATA VERIFICAÇÃO]]="","",TEXT(AUDITORIA[[#This Row],[DATA VERIFICAÇÃO]],"mmm")))</f>
        <v>MAI</v>
      </c>
      <c r="Y1183" t="s">
        <v>598</v>
      </c>
      <c r="Z1183" t="s">
        <v>830</v>
      </c>
      <c r="AA1183" t="s">
        <v>600</v>
      </c>
    </row>
    <row r="1184" spans="1:27" ht="14.4" hidden="1" customHeight="1" x14ac:dyDescent="0.3">
      <c r="A1184" s="4" t="s">
        <v>279</v>
      </c>
      <c r="B1184" s="4" t="s">
        <v>17</v>
      </c>
      <c r="C1184" s="16" t="s">
        <v>18</v>
      </c>
      <c r="D1184" s="4">
        <v>11</v>
      </c>
      <c r="E1184" s="4" t="s">
        <v>745</v>
      </c>
      <c r="F1184" t="s">
        <v>521</v>
      </c>
      <c r="G1184" t="s">
        <v>281</v>
      </c>
      <c r="J1184" s="4" t="s">
        <v>31</v>
      </c>
      <c r="K1184" s="4" t="s">
        <v>20</v>
      </c>
      <c r="L1184" s="4" t="s">
        <v>742</v>
      </c>
      <c r="M1184" s="17">
        <v>2</v>
      </c>
      <c r="N1184" s="17">
        <v>851</v>
      </c>
      <c r="O1184" s="18" t="s">
        <v>31</v>
      </c>
      <c r="P1184" s="18">
        <v>851</v>
      </c>
      <c r="Q1184" s="18">
        <v>2</v>
      </c>
      <c r="R1184" s="18"/>
      <c r="S1184" s="18"/>
      <c r="T1184" s="18"/>
      <c r="U11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84" s="19">
        <f>IF(AUDITORIA[[#This Row],[CAT]]="",0,1)</f>
        <v>1</v>
      </c>
      <c r="W1184" s="20">
        <v>46170</v>
      </c>
      <c r="X1184" s="21" t="str">
        <f>UPPER(IF(AUDITORIA[[#This Row],[DATA VERIFICAÇÃO]]="","",TEXT(AUDITORIA[[#This Row],[DATA VERIFICAÇÃO]],"mmm")))</f>
        <v>MAI</v>
      </c>
      <c r="Y1184" t="s">
        <v>598</v>
      </c>
      <c r="Z1184" t="s">
        <v>830</v>
      </c>
      <c r="AA1184" t="s">
        <v>600</v>
      </c>
    </row>
    <row r="1185" spans="1:27" ht="14.4" hidden="1" customHeight="1" x14ac:dyDescent="0.3">
      <c r="A1185" s="4" t="s">
        <v>279</v>
      </c>
      <c r="B1185" s="4" t="s">
        <v>17</v>
      </c>
      <c r="C1185" s="16" t="s">
        <v>18</v>
      </c>
      <c r="D1185" s="4">
        <v>11</v>
      </c>
      <c r="E1185" s="4" t="s">
        <v>745</v>
      </c>
      <c r="F1185" t="s">
        <v>501</v>
      </c>
      <c r="G1185" t="s">
        <v>281</v>
      </c>
      <c r="J1185" s="4" t="s">
        <v>31</v>
      </c>
      <c r="K1185" s="4" t="s">
        <v>21</v>
      </c>
      <c r="L1185" s="4" t="s">
        <v>742</v>
      </c>
      <c r="M1185" s="17">
        <v>24</v>
      </c>
      <c r="N1185" s="17">
        <v>1039</v>
      </c>
      <c r="O1185" s="18" t="s">
        <v>31</v>
      </c>
      <c r="P1185" s="18">
        <v>1039</v>
      </c>
      <c r="Q1185" s="18">
        <v>24</v>
      </c>
      <c r="R1185" s="18"/>
      <c r="S1185" s="18"/>
      <c r="T1185" s="18"/>
      <c r="U11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85" s="19">
        <f>IF(AUDITORIA[[#This Row],[CAT]]="",0,1)</f>
        <v>1</v>
      </c>
      <c r="W1185" s="20">
        <v>46170</v>
      </c>
      <c r="X1185" s="21" t="str">
        <f>UPPER(IF(AUDITORIA[[#This Row],[DATA VERIFICAÇÃO]]="","",TEXT(AUDITORIA[[#This Row],[DATA VERIFICAÇÃO]],"mmm")))</f>
        <v>MAI</v>
      </c>
      <c r="Y1185" t="s">
        <v>598</v>
      </c>
      <c r="Z1185" t="s">
        <v>830</v>
      </c>
      <c r="AA1185" t="s">
        <v>600</v>
      </c>
    </row>
    <row r="1186" spans="1:27" ht="14.4" hidden="1" customHeight="1" x14ac:dyDescent="0.3">
      <c r="A1186" s="4" t="s">
        <v>279</v>
      </c>
      <c r="B1186" s="4" t="s">
        <v>17</v>
      </c>
      <c r="C1186" s="16" t="s">
        <v>18</v>
      </c>
      <c r="D1186" s="4">
        <v>11</v>
      </c>
      <c r="E1186" s="4" t="s">
        <v>745</v>
      </c>
      <c r="F1186" t="s">
        <v>498</v>
      </c>
      <c r="G1186" t="s">
        <v>281</v>
      </c>
      <c r="J1186" s="4" t="s">
        <v>31</v>
      </c>
      <c r="K1186" s="4" t="s">
        <v>21</v>
      </c>
      <c r="L1186" s="4" t="s">
        <v>742</v>
      </c>
      <c r="M1186" s="17">
        <v>24</v>
      </c>
      <c r="N1186" s="17">
        <v>1032</v>
      </c>
      <c r="O1186" s="18" t="s">
        <v>31</v>
      </c>
      <c r="P1186" s="18">
        <v>1032</v>
      </c>
      <c r="Q1186" s="18">
        <v>24</v>
      </c>
      <c r="R1186" s="18"/>
      <c r="S1186" s="18"/>
      <c r="T1186" s="18"/>
      <c r="U11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86" s="19">
        <f>IF(AUDITORIA[[#This Row],[CAT]]="",0,1)</f>
        <v>1</v>
      </c>
      <c r="W1186" s="20">
        <v>46170</v>
      </c>
      <c r="X1186" s="21" t="str">
        <f>UPPER(IF(AUDITORIA[[#This Row],[DATA VERIFICAÇÃO]]="","",TEXT(AUDITORIA[[#This Row],[DATA VERIFICAÇÃO]],"mmm")))</f>
        <v>MAI</v>
      </c>
      <c r="Y1186" t="s">
        <v>598</v>
      </c>
      <c r="Z1186" t="s">
        <v>830</v>
      </c>
      <c r="AA1186" t="s">
        <v>600</v>
      </c>
    </row>
    <row r="1187" spans="1:27" ht="14.4" hidden="1" customHeight="1" x14ac:dyDescent="0.3">
      <c r="A1187" s="4" t="s">
        <v>279</v>
      </c>
      <c r="B1187" s="4" t="s">
        <v>17</v>
      </c>
      <c r="C1187" s="16" t="s">
        <v>18</v>
      </c>
      <c r="D1187" s="4">
        <v>11</v>
      </c>
      <c r="E1187" s="4" t="s">
        <v>745</v>
      </c>
      <c r="F1187" t="s">
        <v>517</v>
      </c>
      <c r="G1187" t="s">
        <v>281</v>
      </c>
      <c r="J1187" s="4" t="s">
        <v>31</v>
      </c>
      <c r="K1187" s="4" t="s">
        <v>21</v>
      </c>
      <c r="L1187" s="4" t="s">
        <v>742</v>
      </c>
      <c r="M1187" s="17">
        <v>24</v>
      </c>
      <c r="N1187" s="17">
        <v>1032</v>
      </c>
      <c r="O1187" s="18" t="s">
        <v>31</v>
      </c>
      <c r="P1187" s="18">
        <v>1032</v>
      </c>
      <c r="Q1187" s="18">
        <v>24</v>
      </c>
      <c r="R1187" s="18"/>
      <c r="S1187" s="18"/>
      <c r="T1187" s="18"/>
      <c r="U11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87" s="19">
        <f>IF(AUDITORIA[[#This Row],[CAT]]="",0,1)</f>
        <v>1</v>
      </c>
      <c r="W1187" s="20">
        <v>46170</v>
      </c>
      <c r="X1187" s="21" t="str">
        <f>UPPER(IF(AUDITORIA[[#This Row],[DATA VERIFICAÇÃO]]="","",TEXT(AUDITORIA[[#This Row],[DATA VERIFICAÇÃO]],"mmm")))</f>
        <v>MAI</v>
      </c>
      <c r="Y1187" t="s">
        <v>598</v>
      </c>
      <c r="Z1187" t="s">
        <v>830</v>
      </c>
      <c r="AA1187" t="s">
        <v>600</v>
      </c>
    </row>
    <row r="1188" spans="1:27" ht="14.4" hidden="1" customHeight="1" x14ac:dyDescent="0.3">
      <c r="A1188" s="4" t="s">
        <v>279</v>
      </c>
      <c r="B1188" s="4" t="s">
        <v>17</v>
      </c>
      <c r="C1188" s="16" t="s">
        <v>18</v>
      </c>
      <c r="D1188" s="4">
        <v>11</v>
      </c>
      <c r="E1188" s="4" t="s">
        <v>745</v>
      </c>
      <c r="F1188" t="s">
        <v>519</v>
      </c>
      <c r="G1188" t="s">
        <v>281</v>
      </c>
      <c r="J1188" s="4" t="s">
        <v>31</v>
      </c>
      <c r="K1188" s="4" t="s">
        <v>21</v>
      </c>
      <c r="L1188" s="4" t="s">
        <v>742</v>
      </c>
      <c r="M1188" s="17">
        <v>17</v>
      </c>
      <c r="N1188" s="17">
        <v>1029</v>
      </c>
      <c r="O1188" s="18" t="s">
        <v>31</v>
      </c>
      <c r="P1188" s="18">
        <v>1029</v>
      </c>
      <c r="Q1188" s="18">
        <v>17</v>
      </c>
      <c r="R1188" s="18"/>
      <c r="S1188" s="18"/>
      <c r="T1188" s="18"/>
      <c r="U11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88" s="19">
        <f>IF(AUDITORIA[[#This Row],[CAT]]="",0,1)</f>
        <v>1</v>
      </c>
      <c r="W1188" s="20">
        <v>46170</v>
      </c>
      <c r="X1188" s="21" t="str">
        <f>UPPER(IF(AUDITORIA[[#This Row],[DATA VERIFICAÇÃO]]="","",TEXT(AUDITORIA[[#This Row],[DATA VERIFICAÇÃO]],"mmm")))</f>
        <v>MAI</v>
      </c>
      <c r="Y1188" t="s">
        <v>598</v>
      </c>
      <c r="Z1188" t="s">
        <v>830</v>
      </c>
      <c r="AA1188" t="s">
        <v>600</v>
      </c>
    </row>
    <row r="1189" spans="1:27" ht="14.4" hidden="1" customHeight="1" x14ac:dyDescent="0.3">
      <c r="A1189" s="4" t="s">
        <v>279</v>
      </c>
      <c r="B1189" s="4" t="s">
        <v>17</v>
      </c>
      <c r="C1189" s="16" t="s">
        <v>18</v>
      </c>
      <c r="D1189" s="4">
        <v>11</v>
      </c>
      <c r="E1189" s="4" t="s">
        <v>745</v>
      </c>
      <c r="F1189" t="s">
        <v>462</v>
      </c>
      <c r="G1189" t="s">
        <v>368</v>
      </c>
      <c r="J1189" s="4" t="s">
        <v>88</v>
      </c>
      <c r="K1189" s="4" t="s">
        <v>20</v>
      </c>
      <c r="L1189" s="4" t="s">
        <v>742</v>
      </c>
      <c r="M1189" s="17">
        <v>30</v>
      </c>
      <c r="N1189" s="17">
        <v>815</v>
      </c>
      <c r="O1189" s="18" t="s">
        <v>88</v>
      </c>
      <c r="P1189" s="18">
        <v>815</v>
      </c>
      <c r="Q1189" s="18">
        <v>30</v>
      </c>
      <c r="R1189" s="18"/>
      <c r="S1189" s="18"/>
      <c r="T1189" s="18"/>
      <c r="U11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89" s="19">
        <f>IF(AUDITORIA[[#This Row],[CAT]]="",0,1)</f>
        <v>1</v>
      </c>
      <c r="W1189" s="20">
        <v>46170</v>
      </c>
      <c r="X1189" s="21" t="str">
        <f>UPPER(IF(AUDITORIA[[#This Row],[DATA VERIFICAÇÃO]]="","",TEXT(AUDITORIA[[#This Row],[DATA VERIFICAÇÃO]],"mmm")))</f>
        <v>MAI</v>
      </c>
      <c r="Y1189" t="s">
        <v>598</v>
      </c>
      <c r="Z1189" t="s">
        <v>830</v>
      </c>
      <c r="AA1189" t="s">
        <v>600</v>
      </c>
    </row>
    <row r="1190" spans="1:27" ht="14.4" hidden="1" customHeight="1" x14ac:dyDescent="0.3">
      <c r="A1190" s="4" t="s">
        <v>279</v>
      </c>
      <c r="B1190" s="4" t="s">
        <v>17</v>
      </c>
      <c r="C1190" s="16" t="s">
        <v>18</v>
      </c>
      <c r="D1190" s="4">
        <v>11</v>
      </c>
      <c r="E1190" s="4" t="s">
        <v>745</v>
      </c>
      <c r="F1190" t="s">
        <v>463</v>
      </c>
      <c r="G1190" t="s">
        <v>368</v>
      </c>
      <c r="J1190" s="4" t="s">
        <v>88</v>
      </c>
      <c r="K1190" s="4" t="s">
        <v>20</v>
      </c>
      <c r="L1190" s="4" t="s">
        <v>742</v>
      </c>
      <c r="M1190" s="17">
        <v>30</v>
      </c>
      <c r="N1190" s="17">
        <v>823</v>
      </c>
      <c r="O1190" s="18" t="s">
        <v>88</v>
      </c>
      <c r="P1190" s="18">
        <v>823</v>
      </c>
      <c r="Q1190" s="18">
        <v>30</v>
      </c>
      <c r="R1190" s="18"/>
      <c r="S1190" s="18"/>
      <c r="T1190" s="18"/>
      <c r="U11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90" s="19">
        <f>IF(AUDITORIA[[#This Row],[CAT]]="",0,1)</f>
        <v>1</v>
      </c>
      <c r="W1190" s="20">
        <v>46170</v>
      </c>
      <c r="X1190" s="21" t="str">
        <f>UPPER(IF(AUDITORIA[[#This Row],[DATA VERIFICAÇÃO]]="","",TEXT(AUDITORIA[[#This Row],[DATA VERIFICAÇÃO]],"mmm")))</f>
        <v>MAI</v>
      </c>
      <c r="Y1190" t="s">
        <v>598</v>
      </c>
      <c r="Z1190" t="s">
        <v>830</v>
      </c>
      <c r="AA1190" t="s">
        <v>600</v>
      </c>
    </row>
    <row r="1191" spans="1:27" ht="14.4" hidden="1" customHeight="1" x14ac:dyDescent="0.3">
      <c r="A1191" s="4" t="s">
        <v>279</v>
      </c>
      <c r="B1191" s="4" t="s">
        <v>17</v>
      </c>
      <c r="C1191" s="16" t="s">
        <v>18</v>
      </c>
      <c r="D1191" s="4">
        <v>11</v>
      </c>
      <c r="E1191" s="4" t="s">
        <v>745</v>
      </c>
      <c r="F1191" t="s">
        <v>367</v>
      </c>
      <c r="G1191" t="s">
        <v>368</v>
      </c>
      <c r="J1191" s="4" t="s">
        <v>88</v>
      </c>
      <c r="K1191" s="4" t="s">
        <v>20</v>
      </c>
      <c r="L1191" s="4" t="s">
        <v>742</v>
      </c>
      <c r="M1191" s="17">
        <v>19</v>
      </c>
      <c r="N1191" s="17">
        <v>832</v>
      </c>
      <c r="O1191" s="18" t="s">
        <v>88</v>
      </c>
      <c r="P1191" s="18">
        <v>832</v>
      </c>
      <c r="Q1191" s="18">
        <v>19</v>
      </c>
      <c r="R1191" s="18"/>
      <c r="S1191" s="18"/>
      <c r="T1191" s="18"/>
      <c r="U11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91" s="19">
        <f>IF(AUDITORIA[[#This Row],[CAT]]="",0,1)</f>
        <v>1</v>
      </c>
      <c r="W1191" s="20">
        <v>46170</v>
      </c>
      <c r="X1191" s="21" t="str">
        <f>UPPER(IF(AUDITORIA[[#This Row],[DATA VERIFICAÇÃO]]="","",TEXT(AUDITORIA[[#This Row],[DATA VERIFICAÇÃO]],"mmm")))</f>
        <v>MAI</v>
      </c>
      <c r="Y1191" t="s">
        <v>598</v>
      </c>
      <c r="Z1191" t="s">
        <v>830</v>
      </c>
      <c r="AA1191" t="s">
        <v>600</v>
      </c>
    </row>
    <row r="1192" spans="1:27" ht="14.4" hidden="1" customHeight="1" x14ac:dyDescent="0.3">
      <c r="A1192" s="4" t="s">
        <v>279</v>
      </c>
      <c r="B1192" s="4" t="s">
        <v>17</v>
      </c>
      <c r="C1192" s="16" t="s">
        <v>18</v>
      </c>
      <c r="D1192" s="4">
        <v>11</v>
      </c>
      <c r="E1192" s="4" t="s">
        <v>745</v>
      </c>
      <c r="F1192" t="s">
        <v>583</v>
      </c>
      <c r="G1192" t="s">
        <v>368</v>
      </c>
      <c r="J1192" s="4" t="s">
        <v>88</v>
      </c>
      <c r="K1192" s="4" t="s">
        <v>20</v>
      </c>
      <c r="L1192" s="4" t="s">
        <v>742</v>
      </c>
      <c r="M1192" s="17">
        <v>30</v>
      </c>
      <c r="N1192" s="17">
        <v>689</v>
      </c>
      <c r="O1192" s="18" t="s">
        <v>88</v>
      </c>
      <c r="P1192" s="18">
        <v>689</v>
      </c>
      <c r="Q1192" s="18">
        <v>30</v>
      </c>
      <c r="R1192" s="18"/>
      <c r="S1192" s="18"/>
      <c r="T1192" s="18"/>
      <c r="U11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92" s="19">
        <f>IF(AUDITORIA[[#This Row],[CAT]]="",0,1)</f>
        <v>1</v>
      </c>
      <c r="W1192" s="20">
        <v>46170</v>
      </c>
      <c r="X1192" s="21" t="str">
        <f>UPPER(IF(AUDITORIA[[#This Row],[DATA VERIFICAÇÃO]]="","",TEXT(AUDITORIA[[#This Row],[DATA VERIFICAÇÃO]],"mmm")))</f>
        <v>MAI</v>
      </c>
      <c r="Y1192" t="s">
        <v>598</v>
      </c>
      <c r="Z1192" t="s">
        <v>830</v>
      </c>
      <c r="AA1192" t="s">
        <v>600</v>
      </c>
    </row>
    <row r="1193" spans="1:27" ht="14.4" hidden="1" customHeight="1" x14ac:dyDescent="0.3">
      <c r="A1193" s="4" t="s">
        <v>279</v>
      </c>
      <c r="B1193" s="4" t="s">
        <v>17</v>
      </c>
      <c r="C1193" s="16" t="s">
        <v>18</v>
      </c>
      <c r="D1193" s="4">
        <v>11</v>
      </c>
      <c r="E1193" s="4" t="s">
        <v>745</v>
      </c>
      <c r="F1193" t="s">
        <v>581</v>
      </c>
      <c r="G1193" t="s">
        <v>368</v>
      </c>
      <c r="J1193" s="4" t="s">
        <v>88</v>
      </c>
      <c r="K1193" s="4" t="s">
        <v>20</v>
      </c>
      <c r="L1193" s="4" t="s">
        <v>742</v>
      </c>
      <c r="M1193" s="17">
        <v>30</v>
      </c>
      <c r="N1193" s="17">
        <v>668</v>
      </c>
      <c r="O1193" s="18" t="s">
        <v>88</v>
      </c>
      <c r="P1193" s="18">
        <v>668</v>
      </c>
      <c r="Q1193" s="18">
        <v>30</v>
      </c>
      <c r="R1193" s="18"/>
      <c r="S1193" s="18"/>
      <c r="T1193" s="18"/>
      <c r="U11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93" s="19">
        <f>IF(AUDITORIA[[#This Row],[CAT]]="",0,1)</f>
        <v>1</v>
      </c>
      <c r="W1193" s="20">
        <v>46170</v>
      </c>
      <c r="X1193" s="21" t="str">
        <f>UPPER(IF(AUDITORIA[[#This Row],[DATA VERIFICAÇÃO]]="","",TEXT(AUDITORIA[[#This Row],[DATA VERIFICAÇÃO]],"mmm")))</f>
        <v>MAI</v>
      </c>
      <c r="Y1193" t="s">
        <v>598</v>
      </c>
      <c r="Z1193" t="s">
        <v>830</v>
      </c>
      <c r="AA1193" t="s">
        <v>600</v>
      </c>
    </row>
    <row r="1194" spans="1:27" ht="14.4" hidden="1" customHeight="1" x14ac:dyDescent="0.3">
      <c r="A1194" s="4" t="s">
        <v>279</v>
      </c>
      <c r="B1194" s="4" t="s">
        <v>17</v>
      </c>
      <c r="C1194" s="16" t="s">
        <v>18</v>
      </c>
      <c r="D1194" s="4">
        <v>11</v>
      </c>
      <c r="E1194" s="4" t="s">
        <v>745</v>
      </c>
      <c r="F1194" t="s">
        <v>584</v>
      </c>
      <c r="G1194" t="s">
        <v>368</v>
      </c>
      <c r="J1194" s="4" t="s">
        <v>88</v>
      </c>
      <c r="K1194" s="4" t="s">
        <v>20</v>
      </c>
      <c r="L1194" s="4" t="s">
        <v>742</v>
      </c>
      <c r="M1194" s="17">
        <v>30</v>
      </c>
      <c r="N1194" s="17">
        <v>668</v>
      </c>
      <c r="O1194" s="18" t="s">
        <v>88</v>
      </c>
      <c r="P1194" s="18">
        <v>668</v>
      </c>
      <c r="Q1194" s="18">
        <v>30</v>
      </c>
      <c r="R1194" s="18"/>
      <c r="S1194" s="18"/>
      <c r="T1194" s="18"/>
      <c r="U11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94" s="19">
        <f>IF(AUDITORIA[[#This Row],[CAT]]="",0,1)</f>
        <v>1</v>
      </c>
      <c r="W1194" s="20">
        <v>46170</v>
      </c>
      <c r="X1194" s="21" t="str">
        <f>UPPER(IF(AUDITORIA[[#This Row],[DATA VERIFICAÇÃO]]="","",TEXT(AUDITORIA[[#This Row],[DATA VERIFICAÇÃO]],"mmm")))</f>
        <v>MAI</v>
      </c>
      <c r="Y1194" t="s">
        <v>598</v>
      </c>
      <c r="Z1194" t="s">
        <v>830</v>
      </c>
      <c r="AA1194" t="s">
        <v>600</v>
      </c>
    </row>
    <row r="1195" spans="1:27" ht="14.4" hidden="1" customHeight="1" x14ac:dyDescent="0.3">
      <c r="A1195" s="4" t="s">
        <v>279</v>
      </c>
      <c r="B1195" s="4" t="s">
        <v>17</v>
      </c>
      <c r="C1195" s="16" t="s">
        <v>18</v>
      </c>
      <c r="D1195" s="4">
        <v>11</v>
      </c>
      <c r="E1195" s="4" t="s">
        <v>745</v>
      </c>
      <c r="F1195" t="s">
        <v>589</v>
      </c>
      <c r="G1195" t="s">
        <v>368</v>
      </c>
      <c r="J1195" s="4" t="s">
        <v>88</v>
      </c>
      <c r="K1195" s="4" t="s">
        <v>20</v>
      </c>
      <c r="L1195" s="4" t="s">
        <v>742</v>
      </c>
      <c r="M1195" s="17">
        <v>30</v>
      </c>
      <c r="N1195" s="17">
        <v>673</v>
      </c>
      <c r="O1195" s="18" t="s">
        <v>88</v>
      </c>
      <c r="P1195" s="18">
        <v>673</v>
      </c>
      <c r="Q1195" s="18">
        <v>30</v>
      </c>
      <c r="R1195" s="18"/>
      <c r="S1195" s="18"/>
      <c r="T1195" s="18"/>
      <c r="U11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95" s="19">
        <f>IF(AUDITORIA[[#This Row],[CAT]]="",0,1)</f>
        <v>1</v>
      </c>
      <c r="W1195" s="20">
        <v>46170</v>
      </c>
      <c r="X1195" s="21" t="str">
        <f>UPPER(IF(AUDITORIA[[#This Row],[DATA VERIFICAÇÃO]]="","",TEXT(AUDITORIA[[#This Row],[DATA VERIFICAÇÃO]],"mmm")))</f>
        <v>MAI</v>
      </c>
      <c r="Y1195" t="s">
        <v>598</v>
      </c>
      <c r="Z1195" t="s">
        <v>830</v>
      </c>
      <c r="AA1195" t="s">
        <v>600</v>
      </c>
    </row>
    <row r="1196" spans="1:27" ht="14.4" hidden="1" customHeight="1" x14ac:dyDescent="0.3">
      <c r="A1196" s="4" t="s">
        <v>279</v>
      </c>
      <c r="B1196" s="4" t="s">
        <v>17</v>
      </c>
      <c r="C1196" s="16" t="s">
        <v>18</v>
      </c>
      <c r="D1196" s="4">
        <v>11</v>
      </c>
      <c r="E1196" s="4" t="s">
        <v>745</v>
      </c>
      <c r="F1196" t="s">
        <v>587</v>
      </c>
      <c r="G1196" t="s">
        <v>368</v>
      </c>
      <c r="J1196" s="4" t="s">
        <v>88</v>
      </c>
      <c r="K1196" s="4" t="s">
        <v>20</v>
      </c>
      <c r="L1196" s="4" t="s">
        <v>742</v>
      </c>
      <c r="M1196" s="17">
        <v>30</v>
      </c>
      <c r="N1196" s="17">
        <v>669</v>
      </c>
      <c r="O1196" s="18" t="s">
        <v>88</v>
      </c>
      <c r="P1196" s="18">
        <v>669</v>
      </c>
      <c r="Q1196" s="18">
        <v>30</v>
      </c>
      <c r="R1196" s="18"/>
      <c r="S1196" s="18"/>
      <c r="T1196" s="18"/>
      <c r="U11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96" s="19">
        <f>IF(AUDITORIA[[#This Row],[CAT]]="",0,1)</f>
        <v>1</v>
      </c>
      <c r="W1196" s="20">
        <v>46170</v>
      </c>
      <c r="X1196" s="21" t="str">
        <f>UPPER(IF(AUDITORIA[[#This Row],[DATA VERIFICAÇÃO]]="","",TEXT(AUDITORIA[[#This Row],[DATA VERIFICAÇÃO]],"mmm")))</f>
        <v>MAI</v>
      </c>
      <c r="Y1196" t="s">
        <v>598</v>
      </c>
      <c r="Z1196" t="s">
        <v>830</v>
      </c>
      <c r="AA1196" t="s">
        <v>600</v>
      </c>
    </row>
    <row r="1197" spans="1:27" ht="14.4" hidden="1" customHeight="1" x14ac:dyDescent="0.3">
      <c r="A1197" s="4" t="s">
        <v>279</v>
      </c>
      <c r="B1197" s="4" t="s">
        <v>17</v>
      </c>
      <c r="C1197" s="16" t="s">
        <v>18</v>
      </c>
      <c r="D1197" s="4">
        <v>11</v>
      </c>
      <c r="E1197" s="4" t="s">
        <v>745</v>
      </c>
      <c r="F1197" t="s">
        <v>591</v>
      </c>
      <c r="G1197" t="s">
        <v>368</v>
      </c>
      <c r="J1197" s="4" t="s">
        <v>88</v>
      </c>
      <c r="K1197" s="4" t="s">
        <v>20</v>
      </c>
      <c r="L1197" s="4" t="s">
        <v>742</v>
      </c>
      <c r="M1197" s="17">
        <v>30</v>
      </c>
      <c r="N1197" s="17">
        <v>676</v>
      </c>
      <c r="O1197" s="18" t="s">
        <v>88</v>
      </c>
      <c r="P1197" s="18">
        <v>676</v>
      </c>
      <c r="Q1197" s="18">
        <v>30</v>
      </c>
      <c r="R1197" s="18"/>
      <c r="S1197" s="18"/>
      <c r="T1197" s="18"/>
      <c r="U11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97" s="19">
        <f>IF(AUDITORIA[[#This Row],[CAT]]="",0,1)</f>
        <v>1</v>
      </c>
      <c r="W1197" s="20">
        <v>46170</v>
      </c>
      <c r="X1197" s="21" t="str">
        <f>UPPER(IF(AUDITORIA[[#This Row],[DATA VERIFICAÇÃO]]="","",TEXT(AUDITORIA[[#This Row],[DATA VERIFICAÇÃO]],"mmm")))</f>
        <v>MAI</v>
      </c>
      <c r="Y1197" t="s">
        <v>598</v>
      </c>
      <c r="Z1197" t="s">
        <v>830</v>
      </c>
      <c r="AA1197" t="s">
        <v>600</v>
      </c>
    </row>
    <row r="1198" spans="1:27" ht="14.4" hidden="1" customHeight="1" x14ac:dyDescent="0.3">
      <c r="A1198" s="4" t="s">
        <v>279</v>
      </c>
      <c r="B1198" s="4" t="s">
        <v>17</v>
      </c>
      <c r="C1198" s="16" t="s">
        <v>18</v>
      </c>
      <c r="D1198" s="4">
        <v>11</v>
      </c>
      <c r="E1198" s="4" t="s">
        <v>745</v>
      </c>
      <c r="F1198" t="s">
        <v>592</v>
      </c>
      <c r="G1198" t="s">
        <v>368</v>
      </c>
      <c r="J1198" s="4" t="s">
        <v>88</v>
      </c>
      <c r="K1198" s="4" t="s">
        <v>20</v>
      </c>
      <c r="L1198" s="4" t="s">
        <v>742</v>
      </c>
      <c r="M1198" s="17">
        <v>30</v>
      </c>
      <c r="N1198" s="17">
        <v>667</v>
      </c>
      <c r="O1198" s="18" t="s">
        <v>88</v>
      </c>
      <c r="P1198" s="18">
        <v>667</v>
      </c>
      <c r="Q1198" s="18">
        <v>30</v>
      </c>
      <c r="R1198" s="18"/>
      <c r="S1198" s="18"/>
      <c r="T1198" s="18"/>
      <c r="U11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98" s="19">
        <f>IF(AUDITORIA[[#This Row],[CAT]]="",0,1)</f>
        <v>1</v>
      </c>
      <c r="W1198" s="20">
        <v>46170</v>
      </c>
      <c r="X1198" s="21" t="str">
        <f>UPPER(IF(AUDITORIA[[#This Row],[DATA VERIFICAÇÃO]]="","",TEXT(AUDITORIA[[#This Row],[DATA VERIFICAÇÃO]],"mmm")))</f>
        <v>MAI</v>
      </c>
      <c r="Y1198" t="s">
        <v>598</v>
      </c>
      <c r="Z1198" t="s">
        <v>830</v>
      </c>
      <c r="AA1198" t="s">
        <v>600</v>
      </c>
    </row>
    <row r="1199" spans="1:27" ht="14.4" hidden="1" customHeight="1" x14ac:dyDescent="0.3">
      <c r="A1199" s="4" t="s">
        <v>279</v>
      </c>
      <c r="B1199" s="4" t="s">
        <v>17</v>
      </c>
      <c r="C1199" s="16" t="s">
        <v>18</v>
      </c>
      <c r="D1199" s="4">
        <v>11</v>
      </c>
      <c r="E1199" s="4" t="s">
        <v>745</v>
      </c>
      <c r="F1199" t="s">
        <v>497</v>
      </c>
      <c r="G1199" t="s">
        <v>368</v>
      </c>
      <c r="J1199" s="4" t="s">
        <v>88</v>
      </c>
      <c r="K1199" s="4" t="s">
        <v>20</v>
      </c>
      <c r="L1199" s="4" t="s">
        <v>742</v>
      </c>
      <c r="M1199" s="17">
        <v>30</v>
      </c>
      <c r="N1199" s="17">
        <v>680</v>
      </c>
      <c r="O1199" s="18" t="s">
        <v>88</v>
      </c>
      <c r="P1199" s="18">
        <v>680</v>
      </c>
      <c r="Q1199" s="18">
        <v>30</v>
      </c>
      <c r="R1199" s="18"/>
      <c r="S1199" s="18"/>
      <c r="T1199" s="18"/>
      <c r="U11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199" s="19">
        <f>IF(AUDITORIA[[#This Row],[CAT]]="",0,1)</f>
        <v>1</v>
      </c>
      <c r="W1199" s="20">
        <v>46170</v>
      </c>
      <c r="X1199" s="21" t="str">
        <f>UPPER(IF(AUDITORIA[[#This Row],[DATA VERIFICAÇÃO]]="","",TEXT(AUDITORIA[[#This Row],[DATA VERIFICAÇÃO]],"mmm")))</f>
        <v>MAI</v>
      </c>
      <c r="Y1199" t="s">
        <v>598</v>
      </c>
      <c r="Z1199" t="s">
        <v>830</v>
      </c>
      <c r="AA1199" t="s">
        <v>600</v>
      </c>
    </row>
    <row r="1200" spans="1:27" ht="14.4" hidden="1" customHeight="1" x14ac:dyDescent="0.3">
      <c r="A1200" s="4" t="s">
        <v>279</v>
      </c>
      <c r="B1200" s="4" t="s">
        <v>17</v>
      </c>
      <c r="C1200" s="16" t="s">
        <v>18</v>
      </c>
      <c r="D1200" s="4">
        <v>11</v>
      </c>
      <c r="E1200" s="4" t="s">
        <v>745</v>
      </c>
      <c r="F1200" t="s">
        <v>593</v>
      </c>
      <c r="G1200" t="s">
        <v>368</v>
      </c>
      <c r="J1200" s="4" t="s">
        <v>88</v>
      </c>
      <c r="K1200" s="4" t="s">
        <v>20</v>
      </c>
      <c r="L1200" s="4" t="s">
        <v>742</v>
      </c>
      <c r="M1200" s="17">
        <v>30</v>
      </c>
      <c r="N1200" s="17">
        <v>703</v>
      </c>
      <c r="O1200" s="18" t="s">
        <v>88</v>
      </c>
      <c r="P1200" s="18">
        <v>703</v>
      </c>
      <c r="Q1200" s="18">
        <v>30</v>
      </c>
      <c r="R1200" s="18"/>
      <c r="S1200" s="18"/>
      <c r="T1200" s="18"/>
      <c r="U12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00" s="19">
        <f>IF(AUDITORIA[[#This Row],[CAT]]="",0,1)</f>
        <v>1</v>
      </c>
      <c r="W1200" s="20">
        <v>46170</v>
      </c>
      <c r="X1200" s="21" t="str">
        <f>UPPER(IF(AUDITORIA[[#This Row],[DATA VERIFICAÇÃO]]="","",TEXT(AUDITORIA[[#This Row],[DATA VERIFICAÇÃO]],"mmm")))</f>
        <v>MAI</v>
      </c>
      <c r="Y1200" t="s">
        <v>598</v>
      </c>
      <c r="Z1200" t="s">
        <v>830</v>
      </c>
      <c r="AA1200" t="s">
        <v>600</v>
      </c>
    </row>
    <row r="1201" spans="1:27" ht="14.4" hidden="1" customHeight="1" x14ac:dyDescent="0.3">
      <c r="A1201" s="4" t="s">
        <v>279</v>
      </c>
      <c r="B1201" s="4" t="s">
        <v>17</v>
      </c>
      <c r="C1201" s="16" t="s">
        <v>18</v>
      </c>
      <c r="D1201" s="4">
        <v>11</v>
      </c>
      <c r="E1201" s="4" t="s">
        <v>745</v>
      </c>
      <c r="F1201" t="s">
        <v>594</v>
      </c>
      <c r="G1201" t="s">
        <v>368</v>
      </c>
      <c r="J1201" s="4" t="s">
        <v>88</v>
      </c>
      <c r="K1201" s="4" t="s">
        <v>20</v>
      </c>
      <c r="L1201" s="4" t="s">
        <v>742</v>
      </c>
      <c r="M1201" s="17">
        <v>11</v>
      </c>
      <c r="N1201" s="17">
        <v>702</v>
      </c>
      <c r="O1201" s="18" t="s">
        <v>88</v>
      </c>
      <c r="P1201" s="18">
        <v>702</v>
      </c>
      <c r="Q1201" s="18">
        <v>11</v>
      </c>
      <c r="R1201" s="18"/>
      <c r="S1201" s="18"/>
      <c r="T1201" s="18"/>
      <c r="U12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01" s="19">
        <f>IF(AUDITORIA[[#This Row],[CAT]]="",0,1)</f>
        <v>1</v>
      </c>
      <c r="W1201" s="20">
        <v>46170</v>
      </c>
      <c r="X1201" s="21" t="str">
        <f>UPPER(IF(AUDITORIA[[#This Row],[DATA VERIFICAÇÃO]]="","",TEXT(AUDITORIA[[#This Row],[DATA VERIFICAÇÃO]],"mmm")))</f>
        <v>MAI</v>
      </c>
      <c r="Y1201" t="s">
        <v>598</v>
      </c>
      <c r="Z1201" t="s">
        <v>830</v>
      </c>
      <c r="AA1201" t="s">
        <v>600</v>
      </c>
    </row>
    <row r="1202" spans="1:27" ht="14.4" hidden="1" customHeight="1" x14ac:dyDescent="0.3">
      <c r="A1202" s="4" t="s">
        <v>279</v>
      </c>
      <c r="B1202" s="4" t="s">
        <v>17</v>
      </c>
      <c r="C1202" s="16" t="s">
        <v>18</v>
      </c>
      <c r="D1202" s="4">
        <v>11</v>
      </c>
      <c r="E1202" s="4" t="s">
        <v>745</v>
      </c>
      <c r="F1202" t="s">
        <v>468</v>
      </c>
      <c r="G1202" t="s">
        <v>368</v>
      </c>
      <c r="J1202" s="4" t="s">
        <v>88</v>
      </c>
      <c r="K1202" s="4" t="s">
        <v>21</v>
      </c>
      <c r="L1202" s="4" t="s">
        <v>742</v>
      </c>
      <c r="M1202" s="17">
        <v>24</v>
      </c>
      <c r="N1202" s="17">
        <v>1003</v>
      </c>
      <c r="O1202" s="18" t="s">
        <v>88</v>
      </c>
      <c r="P1202" s="18">
        <v>1003</v>
      </c>
      <c r="Q1202" s="18">
        <v>24</v>
      </c>
      <c r="R1202" s="18"/>
      <c r="S1202" s="18"/>
      <c r="T1202" s="18"/>
      <c r="U12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02" s="19">
        <f>IF(AUDITORIA[[#This Row],[CAT]]="",0,1)</f>
        <v>1</v>
      </c>
      <c r="W1202" s="20">
        <v>46170</v>
      </c>
      <c r="X1202" s="21" t="str">
        <f>UPPER(IF(AUDITORIA[[#This Row],[DATA VERIFICAÇÃO]]="","",TEXT(AUDITORIA[[#This Row],[DATA VERIFICAÇÃO]],"mmm")))</f>
        <v>MAI</v>
      </c>
      <c r="Y1202" t="s">
        <v>598</v>
      </c>
      <c r="Z1202" t="s">
        <v>830</v>
      </c>
      <c r="AA1202" t="s">
        <v>600</v>
      </c>
    </row>
    <row r="1203" spans="1:27" ht="14.4" hidden="1" customHeight="1" x14ac:dyDescent="0.3">
      <c r="A1203" s="4" t="s">
        <v>279</v>
      </c>
      <c r="B1203" s="4" t="s">
        <v>17</v>
      </c>
      <c r="C1203" s="16" t="s">
        <v>18</v>
      </c>
      <c r="D1203" s="4">
        <v>11</v>
      </c>
      <c r="E1203" s="4" t="s">
        <v>745</v>
      </c>
      <c r="F1203" t="s">
        <v>466</v>
      </c>
      <c r="G1203" t="s">
        <v>368</v>
      </c>
      <c r="J1203" s="4" t="s">
        <v>88</v>
      </c>
      <c r="K1203" s="4" t="s">
        <v>21</v>
      </c>
      <c r="L1203" s="4" t="s">
        <v>742</v>
      </c>
      <c r="M1203" s="17">
        <v>27</v>
      </c>
      <c r="N1203" s="17">
        <v>1000</v>
      </c>
      <c r="O1203" s="18" t="s">
        <v>88</v>
      </c>
      <c r="P1203" s="18">
        <v>1000</v>
      </c>
      <c r="Q1203" s="18">
        <v>27</v>
      </c>
      <c r="R1203" s="18"/>
      <c r="S1203" s="18"/>
      <c r="T1203" s="18"/>
      <c r="U12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03" s="19">
        <f>IF(AUDITORIA[[#This Row],[CAT]]="",0,1)</f>
        <v>1</v>
      </c>
      <c r="W1203" s="20">
        <v>46170</v>
      </c>
      <c r="X1203" s="21" t="str">
        <f>UPPER(IF(AUDITORIA[[#This Row],[DATA VERIFICAÇÃO]]="","",TEXT(AUDITORIA[[#This Row],[DATA VERIFICAÇÃO]],"mmm")))</f>
        <v>MAI</v>
      </c>
      <c r="Y1203" t="s">
        <v>598</v>
      </c>
      <c r="Z1203" t="s">
        <v>830</v>
      </c>
      <c r="AA1203" t="s">
        <v>600</v>
      </c>
    </row>
    <row r="1204" spans="1:27" ht="14.4" hidden="1" customHeight="1" x14ac:dyDescent="0.3">
      <c r="A1204" s="4" t="s">
        <v>279</v>
      </c>
      <c r="B1204" s="4" t="s">
        <v>17</v>
      </c>
      <c r="C1204" s="16" t="s">
        <v>18</v>
      </c>
      <c r="D1204" s="4">
        <v>11</v>
      </c>
      <c r="E1204" s="4" t="s">
        <v>745</v>
      </c>
      <c r="F1204" t="s">
        <v>404</v>
      </c>
      <c r="G1204" t="s">
        <v>368</v>
      </c>
      <c r="J1204" s="4" t="s">
        <v>88</v>
      </c>
      <c r="K1204" s="4" t="s">
        <v>21</v>
      </c>
      <c r="L1204" s="4" t="s">
        <v>742</v>
      </c>
      <c r="M1204" s="17">
        <v>24</v>
      </c>
      <c r="N1204" s="17">
        <v>1019</v>
      </c>
      <c r="O1204" s="18" t="s">
        <v>88</v>
      </c>
      <c r="P1204" s="18">
        <v>1019</v>
      </c>
      <c r="Q1204" s="18">
        <v>24</v>
      </c>
      <c r="R1204" s="18"/>
      <c r="S1204" s="18"/>
      <c r="T1204" s="18"/>
      <c r="U12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04" s="19">
        <f>IF(AUDITORIA[[#This Row],[CAT]]="",0,1)</f>
        <v>1</v>
      </c>
      <c r="W1204" s="20">
        <v>46170</v>
      </c>
      <c r="X1204" s="21" t="str">
        <f>UPPER(IF(AUDITORIA[[#This Row],[DATA VERIFICAÇÃO]]="","",TEXT(AUDITORIA[[#This Row],[DATA VERIFICAÇÃO]],"mmm")))</f>
        <v>MAI</v>
      </c>
      <c r="Y1204" t="s">
        <v>598</v>
      </c>
      <c r="Z1204" t="s">
        <v>830</v>
      </c>
      <c r="AA1204" t="s">
        <v>600</v>
      </c>
    </row>
    <row r="1205" spans="1:27" ht="14.4" hidden="1" customHeight="1" x14ac:dyDescent="0.3">
      <c r="A1205" s="4" t="s">
        <v>279</v>
      </c>
      <c r="B1205" s="4" t="s">
        <v>17</v>
      </c>
      <c r="C1205" s="16" t="s">
        <v>18</v>
      </c>
      <c r="D1205" s="4">
        <v>11</v>
      </c>
      <c r="E1205" s="4" t="s">
        <v>745</v>
      </c>
      <c r="F1205" t="s">
        <v>371</v>
      </c>
      <c r="G1205" t="s">
        <v>368</v>
      </c>
      <c r="J1205" s="4" t="s">
        <v>88</v>
      </c>
      <c r="K1205" s="4" t="s">
        <v>21</v>
      </c>
      <c r="L1205" s="4" t="s">
        <v>742</v>
      </c>
      <c r="M1205" s="17">
        <v>14</v>
      </c>
      <c r="N1205" s="17">
        <v>955</v>
      </c>
      <c r="O1205" s="18" t="s">
        <v>88</v>
      </c>
      <c r="P1205" s="18">
        <v>955</v>
      </c>
      <c r="Q1205" s="18">
        <v>14</v>
      </c>
      <c r="R1205" s="18"/>
      <c r="S1205" s="18"/>
      <c r="T1205" s="18"/>
      <c r="U12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05" s="19">
        <f>IF(AUDITORIA[[#This Row],[CAT]]="",0,1)</f>
        <v>1</v>
      </c>
      <c r="W1205" s="20">
        <v>46170</v>
      </c>
      <c r="X1205" s="21" t="str">
        <f>UPPER(IF(AUDITORIA[[#This Row],[DATA VERIFICAÇÃO]]="","",TEXT(AUDITORIA[[#This Row],[DATA VERIFICAÇÃO]],"mmm")))</f>
        <v>MAI</v>
      </c>
      <c r="Y1205" t="s">
        <v>598</v>
      </c>
      <c r="Z1205" t="s">
        <v>830</v>
      </c>
      <c r="AA1205" t="s">
        <v>600</v>
      </c>
    </row>
    <row r="1206" spans="1:27" ht="14.4" hidden="1" customHeight="1" x14ac:dyDescent="0.3">
      <c r="A1206" s="4" t="s">
        <v>279</v>
      </c>
      <c r="B1206" s="4" t="s">
        <v>17</v>
      </c>
      <c r="C1206" s="16" t="s">
        <v>18</v>
      </c>
      <c r="D1206" s="4">
        <v>11</v>
      </c>
      <c r="E1206" s="4" t="s">
        <v>745</v>
      </c>
      <c r="F1206" t="s">
        <v>582</v>
      </c>
      <c r="G1206" t="s">
        <v>368</v>
      </c>
      <c r="J1206" s="4" t="s">
        <v>88</v>
      </c>
      <c r="K1206" s="4" t="s">
        <v>21</v>
      </c>
      <c r="L1206" s="4" t="s">
        <v>742</v>
      </c>
      <c r="M1206" s="17">
        <v>30</v>
      </c>
      <c r="N1206" s="17">
        <v>884</v>
      </c>
      <c r="O1206" s="18" t="s">
        <v>88</v>
      </c>
      <c r="P1206" s="18">
        <v>884</v>
      </c>
      <c r="Q1206" s="18">
        <v>30</v>
      </c>
      <c r="R1206" s="18"/>
      <c r="S1206" s="18"/>
      <c r="T1206" s="18"/>
      <c r="U12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06" s="19">
        <f>IF(AUDITORIA[[#This Row],[CAT]]="",0,1)</f>
        <v>1</v>
      </c>
      <c r="W1206" s="20">
        <v>46170</v>
      </c>
      <c r="X1206" s="21" t="str">
        <f>UPPER(IF(AUDITORIA[[#This Row],[DATA VERIFICAÇÃO]]="","",TEXT(AUDITORIA[[#This Row],[DATA VERIFICAÇÃO]],"mmm")))</f>
        <v>MAI</v>
      </c>
      <c r="Y1206" t="s">
        <v>598</v>
      </c>
      <c r="Z1206" t="s">
        <v>830</v>
      </c>
      <c r="AA1206" t="s">
        <v>600</v>
      </c>
    </row>
    <row r="1207" spans="1:27" ht="14.4" hidden="1" customHeight="1" x14ac:dyDescent="0.3">
      <c r="A1207" s="4" t="s">
        <v>279</v>
      </c>
      <c r="B1207" s="4" t="s">
        <v>17</v>
      </c>
      <c r="C1207" s="16" t="s">
        <v>18</v>
      </c>
      <c r="D1207" s="4">
        <v>11</v>
      </c>
      <c r="E1207" s="4" t="s">
        <v>745</v>
      </c>
      <c r="F1207" t="s">
        <v>585</v>
      </c>
      <c r="G1207" t="s">
        <v>368</v>
      </c>
      <c r="J1207" s="4" t="s">
        <v>88</v>
      </c>
      <c r="K1207" s="4" t="s">
        <v>21</v>
      </c>
      <c r="L1207" s="4" t="s">
        <v>742</v>
      </c>
      <c r="M1207" s="17">
        <v>30</v>
      </c>
      <c r="N1207" s="17">
        <v>859</v>
      </c>
      <c r="O1207" s="18" t="s">
        <v>88</v>
      </c>
      <c r="P1207" s="18">
        <v>859</v>
      </c>
      <c r="Q1207" s="18">
        <v>30</v>
      </c>
      <c r="R1207" s="18"/>
      <c r="S1207" s="18"/>
      <c r="T1207" s="18"/>
      <c r="U12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07" s="19">
        <f>IF(AUDITORIA[[#This Row],[CAT]]="",0,1)</f>
        <v>1</v>
      </c>
      <c r="W1207" s="20">
        <v>46170</v>
      </c>
      <c r="X1207" s="21" t="str">
        <f>UPPER(IF(AUDITORIA[[#This Row],[DATA VERIFICAÇÃO]]="","",TEXT(AUDITORIA[[#This Row],[DATA VERIFICAÇÃO]],"mmm")))</f>
        <v>MAI</v>
      </c>
      <c r="Y1207" t="s">
        <v>598</v>
      </c>
      <c r="Z1207" t="s">
        <v>830</v>
      </c>
      <c r="AA1207" t="s">
        <v>600</v>
      </c>
    </row>
    <row r="1208" spans="1:27" ht="14.4" hidden="1" customHeight="1" x14ac:dyDescent="0.3">
      <c r="A1208" s="4" t="s">
        <v>279</v>
      </c>
      <c r="B1208" s="4" t="s">
        <v>17</v>
      </c>
      <c r="C1208" s="16" t="s">
        <v>18</v>
      </c>
      <c r="D1208" s="4">
        <v>11</v>
      </c>
      <c r="E1208" s="4" t="s">
        <v>745</v>
      </c>
      <c r="F1208" t="s">
        <v>588</v>
      </c>
      <c r="G1208" t="s">
        <v>368</v>
      </c>
      <c r="J1208" s="4" t="s">
        <v>88</v>
      </c>
      <c r="K1208" s="4" t="s">
        <v>21</v>
      </c>
      <c r="L1208" s="4" t="s">
        <v>742</v>
      </c>
      <c r="M1208" s="17">
        <v>30</v>
      </c>
      <c r="N1208" s="17">
        <v>868</v>
      </c>
      <c r="O1208" s="18" t="s">
        <v>88</v>
      </c>
      <c r="P1208" s="18">
        <v>868</v>
      </c>
      <c r="Q1208" s="18">
        <v>30</v>
      </c>
      <c r="R1208" s="18"/>
      <c r="S1208" s="18"/>
      <c r="T1208" s="18"/>
      <c r="U12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08" s="19">
        <f>IF(AUDITORIA[[#This Row],[CAT]]="",0,1)</f>
        <v>1</v>
      </c>
      <c r="W1208" s="20">
        <v>46170</v>
      </c>
      <c r="X1208" s="21" t="str">
        <f>UPPER(IF(AUDITORIA[[#This Row],[DATA VERIFICAÇÃO]]="","",TEXT(AUDITORIA[[#This Row],[DATA VERIFICAÇÃO]],"mmm")))</f>
        <v>MAI</v>
      </c>
      <c r="Y1208" t="s">
        <v>598</v>
      </c>
      <c r="Z1208" t="s">
        <v>830</v>
      </c>
      <c r="AA1208" t="s">
        <v>600</v>
      </c>
    </row>
    <row r="1209" spans="1:27" ht="14.4" hidden="1" customHeight="1" x14ac:dyDescent="0.3">
      <c r="A1209" s="4" t="s">
        <v>279</v>
      </c>
      <c r="B1209" s="4" t="s">
        <v>17</v>
      </c>
      <c r="C1209" s="16" t="s">
        <v>18</v>
      </c>
      <c r="D1209" s="4">
        <v>11</v>
      </c>
      <c r="E1209" s="4" t="s">
        <v>745</v>
      </c>
      <c r="F1209" t="s">
        <v>586</v>
      </c>
      <c r="G1209" t="s">
        <v>368</v>
      </c>
      <c r="J1209" s="4" t="s">
        <v>88</v>
      </c>
      <c r="K1209" s="4" t="s">
        <v>21</v>
      </c>
      <c r="L1209" s="4" t="s">
        <v>742</v>
      </c>
      <c r="M1209" s="17">
        <v>30</v>
      </c>
      <c r="N1209" s="17">
        <v>861</v>
      </c>
      <c r="O1209" s="18" t="s">
        <v>88</v>
      </c>
      <c r="P1209" s="18">
        <v>861</v>
      </c>
      <c r="Q1209" s="18">
        <v>30</v>
      </c>
      <c r="R1209" s="18"/>
      <c r="S1209" s="18"/>
      <c r="T1209" s="18"/>
      <c r="U12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09" s="19">
        <f>IF(AUDITORIA[[#This Row],[CAT]]="",0,1)</f>
        <v>1</v>
      </c>
      <c r="W1209" s="20">
        <v>46170</v>
      </c>
      <c r="X1209" s="21" t="str">
        <f>UPPER(IF(AUDITORIA[[#This Row],[DATA VERIFICAÇÃO]]="","",TEXT(AUDITORIA[[#This Row],[DATA VERIFICAÇÃO]],"mmm")))</f>
        <v>MAI</v>
      </c>
      <c r="Y1209" t="s">
        <v>598</v>
      </c>
      <c r="Z1209" t="s">
        <v>830</v>
      </c>
      <c r="AA1209" t="s">
        <v>600</v>
      </c>
    </row>
    <row r="1210" spans="1:27" ht="14.4" hidden="1" customHeight="1" x14ac:dyDescent="0.3">
      <c r="A1210" s="4" t="s">
        <v>279</v>
      </c>
      <c r="B1210" s="4" t="s">
        <v>17</v>
      </c>
      <c r="C1210" s="16" t="s">
        <v>18</v>
      </c>
      <c r="D1210" s="4">
        <v>11</v>
      </c>
      <c r="E1210" s="4" t="s">
        <v>745</v>
      </c>
      <c r="F1210" t="s">
        <v>590</v>
      </c>
      <c r="G1210" t="s">
        <v>368</v>
      </c>
      <c r="J1210" s="4" t="s">
        <v>88</v>
      </c>
      <c r="K1210" s="4" t="s">
        <v>21</v>
      </c>
      <c r="L1210" s="4" t="s">
        <v>742</v>
      </c>
      <c r="M1210" s="17">
        <v>30</v>
      </c>
      <c r="N1210" s="17">
        <v>869</v>
      </c>
      <c r="O1210" s="18" t="s">
        <v>88</v>
      </c>
      <c r="P1210" s="18">
        <v>869</v>
      </c>
      <c r="Q1210" s="18">
        <v>30</v>
      </c>
      <c r="R1210" s="18"/>
      <c r="S1210" s="18"/>
      <c r="T1210" s="18"/>
      <c r="U12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10" s="19">
        <f>IF(AUDITORIA[[#This Row],[CAT]]="",0,1)</f>
        <v>1</v>
      </c>
      <c r="W1210" s="20">
        <v>46170</v>
      </c>
      <c r="X1210" s="21" t="str">
        <f>UPPER(IF(AUDITORIA[[#This Row],[DATA VERIFICAÇÃO]]="","",TEXT(AUDITORIA[[#This Row],[DATA VERIFICAÇÃO]],"mmm")))</f>
        <v>MAI</v>
      </c>
      <c r="Y1210" t="s">
        <v>598</v>
      </c>
      <c r="Z1210" t="s">
        <v>830</v>
      </c>
      <c r="AA1210" t="s">
        <v>600</v>
      </c>
    </row>
    <row r="1211" spans="1:27" ht="14.4" hidden="1" customHeight="1" x14ac:dyDescent="0.3">
      <c r="A1211" s="4" t="s">
        <v>279</v>
      </c>
      <c r="B1211" s="4" t="s">
        <v>17</v>
      </c>
      <c r="C1211" s="16" t="s">
        <v>18</v>
      </c>
      <c r="D1211" s="4">
        <v>11</v>
      </c>
      <c r="E1211" s="4" t="s">
        <v>745</v>
      </c>
      <c r="F1211" t="s">
        <v>496</v>
      </c>
      <c r="G1211" t="s">
        <v>368</v>
      </c>
      <c r="J1211" s="4" t="s">
        <v>88</v>
      </c>
      <c r="K1211" s="4" t="s">
        <v>21</v>
      </c>
      <c r="L1211" s="4" t="s">
        <v>742</v>
      </c>
      <c r="M1211" s="17">
        <v>30</v>
      </c>
      <c r="N1211" s="17">
        <v>880</v>
      </c>
      <c r="O1211" s="18" t="s">
        <v>88</v>
      </c>
      <c r="P1211" s="18">
        <v>880</v>
      </c>
      <c r="Q1211" s="18">
        <v>30</v>
      </c>
      <c r="R1211" s="18"/>
      <c r="S1211" s="18"/>
      <c r="T1211" s="18"/>
      <c r="U12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11" s="19">
        <f>IF(AUDITORIA[[#This Row],[CAT]]="",0,1)</f>
        <v>1</v>
      </c>
      <c r="W1211" s="20">
        <v>46170</v>
      </c>
      <c r="X1211" s="21" t="str">
        <f>UPPER(IF(AUDITORIA[[#This Row],[DATA VERIFICAÇÃO]]="","",TEXT(AUDITORIA[[#This Row],[DATA VERIFICAÇÃO]],"mmm")))</f>
        <v>MAI</v>
      </c>
      <c r="Y1211" t="s">
        <v>598</v>
      </c>
      <c r="Z1211" t="s">
        <v>830</v>
      </c>
      <c r="AA1211" t="s">
        <v>600</v>
      </c>
    </row>
    <row r="1212" spans="1:27" ht="14.4" hidden="1" customHeight="1" x14ac:dyDescent="0.3">
      <c r="A1212" s="4" t="s">
        <v>279</v>
      </c>
      <c r="B1212" s="4" t="s">
        <v>17</v>
      </c>
      <c r="C1212" s="16" t="s">
        <v>18</v>
      </c>
      <c r="D1212" s="4">
        <v>11</v>
      </c>
      <c r="E1212" s="4" t="s">
        <v>745</v>
      </c>
      <c r="F1212" t="s">
        <v>596</v>
      </c>
      <c r="G1212" t="s">
        <v>368</v>
      </c>
      <c r="J1212" s="4" t="s">
        <v>88</v>
      </c>
      <c r="K1212" s="4" t="s">
        <v>21</v>
      </c>
      <c r="L1212" s="4" t="s">
        <v>742</v>
      </c>
      <c r="M1212" s="17">
        <v>30</v>
      </c>
      <c r="N1212" s="17">
        <v>884</v>
      </c>
      <c r="O1212" s="18" t="s">
        <v>88</v>
      </c>
      <c r="P1212" s="18">
        <v>884</v>
      </c>
      <c r="Q1212" s="18">
        <v>30</v>
      </c>
      <c r="R1212" s="18"/>
      <c r="S1212" s="18"/>
      <c r="T1212" s="18"/>
      <c r="U12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12" s="19">
        <f>IF(AUDITORIA[[#This Row],[CAT]]="",0,1)</f>
        <v>1</v>
      </c>
      <c r="W1212" s="20">
        <v>46170</v>
      </c>
      <c r="X1212" s="21" t="str">
        <f>UPPER(IF(AUDITORIA[[#This Row],[DATA VERIFICAÇÃO]]="","",TEXT(AUDITORIA[[#This Row],[DATA VERIFICAÇÃO]],"mmm")))</f>
        <v>MAI</v>
      </c>
      <c r="Y1212" t="s">
        <v>598</v>
      </c>
      <c r="Z1212" t="s">
        <v>830</v>
      </c>
      <c r="AA1212" t="s">
        <v>600</v>
      </c>
    </row>
    <row r="1213" spans="1:27" ht="14.4" hidden="1" customHeight="1" x14ac:dyDescent="0.3">
      <c r="A1213" s="4" t="s">
        <v>279</v>
      </c>
      <c r="B1213" s="4" t="s">
        <v>17</v>
      </c>
      <c r="C1213" s="16" t="s">
        <v>18</v>
      </c>
      <c r="D1213" s="4">
        <v>11</v>
      </c>
      <c r="E1213" s="4" t="s">
        <v>745</v>
      </c>
      <c r="F1213" t="s">
        <v>595</v>
      </c>
      <c r="G1213" t="s">
        <v>368</v>
      </c>
      <c r="J1213" s="4" t="s">
        <v>88</v>
      </c>
      <c r="K1213" s="4" t="s">
        <v>21</v>
      </c>
      <c r="L1213" s="4" t="s">
        <v>742</v>
      </c>
      <c r="M1213" s="17">
        <v>21</v>
      </c>
      <c r="N1213" s="17">
        <v>884</v>
      </c>
      <c r="O1213" s="18" t="s">
        <v>88</v>
      </c>
      <c r="P1213" s="18">
        <v>884</v>
      </c>
      <c r="Q1213" s="18">
        <v>21</v>
      </c>
      <c r="R1213" s="18"/>
      <c r="S1213" s="18"/>
      <c r="T1213" s="18"/>
      <c r="U12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13" s="19">
        <f>IF(AUDITORIA[[#This Row],[CAT]]="",0,1)</f>
        <v>1</v>
      </c>
      <c r="W1213" s="20">
        <v>46170</v>
      </c>
      <c r="X1213" s="21" t="str">
        <f>UPPER(IF(AUDITORIA[[#This Row],[DATA VERIFICAÇÃO]]="","",TEXT(AUDITORIA[[#This Row],[DATA VERIFICAÇÃO]],"mmm")))</f>
        <v>MAI</v>
      </c>
      <c r="Y1213" t="s">
        <v>598</v>
      </c>
      <c r="Z1213" t="s">
        <v>830</v>
      </c>
      <c r="AA1213" t="s">
        <v>600</v>
      </c>
    </row>
    <row r="1214" spans="1:27" ht="14.4" hidden="1" customHeight="1" x14ac:dyDescent="0.3">
      <c r="A1214" s="4" t="s">
        <v>279</v>
      </c>
      <c r="B1214" s="4" t="s">
        <v>17</v>
      </c>
      <c r="C1214" s="16" t="s">
        <v>18</v>
      </c>
      <c r="D1214" s="4">
        <v>11</v>
      </c>
      <c r="E1214" s="4" t="s">
        <v>745</v>
      </c>
      <c r="F1214" t="s">
        <v>522</v>
      </c>
      <c r="G1214" t="s">
        <v>514</v>
      </c>
      <c r="J1214" s="4" t="s">
        <v>31</v>
      </c>
      <c r="K1214" s="4" t="s">
        <v>20</v>
      </c>
      <c r="L1214" s="4" t="s">
        <v>742</v>
      </c>
      <c r="M1214" s="17">
        <v>30</v>
      </c>
      <c r="N1214" s="17">
        <v>652</v>
      </c>
      <c r="O1214" s="18" t="s">
        <v>31</v>
      </c>
      <c r="P1214" s="18">
        <v>652</v>
      </c>
      <c r="Q1214" s="18">
        <v>30</v>
      </c>
      <c r="R1214" s="18"/>
      <c r="S1214" s="18"/>
      <c r="T1214" s="18"/>
      <c r="U12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14" s="19">
        <f>IF(AUDITORIA[[#This Row],[CAT]]="",0,1)</f>
        <v>1</v>
      </c>
      <c r="W1214" s="20">
        <v>46170</v>
      </c>
      <c r="X1214" s="21" t="str">
        <f>UPPER(IF(AUDITORIA[[#This Row],[DATA VERIFICAÇÃO]]="","",TEXT(AUDITORIA[[#This Row],[DATA VERIFICAÇÃO]],"mmm")))</f>
        <v>MAI</v>
      </c>
      <c r="Y1214" t="s">
        <v>598</v>
      </c>
      <c r="Z1214" t="s">
        <v>830</v>
      </c>
      <c r="AA1214" t="s">
        <v>600</v>
      </c>
    </row>
    <row r="1215" spans="1:27" ht="14.4" hidden="1" customHeight="1" x14ac:dyDescent="0.3">
      <c r="A1215" s="4" t="s">
        <v>279</v>
      </c>
      <c r="B1215" s="4" t="s">
        <v>17</v>
      </c>
      <c r="C1215" s="16" t="s">
        <v>18</v>
      </c>
      <c r="D1215" s="4">
        <v>11</v>
      </c>
      <c r="E1215" s="4" t="s">
        <v>745</v>
      </c>
      <c r="F1215" t="s">
        <v>520</v>
      </c>
      <c r="G1215" t="s">
        <v>514</v>
      </c>
      <c r="J1215" s="4" t="s">
        <v>31</v>
      </c>
      <c r="K1215" s="4" t="s">
        <v>20</v>
      </c>
      <c r="L1215" s="4" t="s">
        <v>742</v>
      </c>
      <c r="M1215" s="17">
        <v>30</v>
      </c>
      <c r="N1215" s="17">
        <v>656</v>
      </c>
      <c r="O1215" s="18" t="s">
        <v>31</v>
      </c>
      <c r="P1215" s="18">
        <v>656</v>
      </c>
      <c r="Q1215" s="18">
        <v>30</v>
      </c>
      <c r="R1215" s="18"/>
      <c r="S1215" s="18"/>
      <c r="T1215" s="18"/>
      <c r="U12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15" s="19">
        <f>IF(AUDITORIA[[#This Row],[CAT]]="",0,1)</f>
        <v>1</v>
      </c>
      <c r="W1215" s="20">
        <v>46170</v>
      </c>
      <c r="X1215" s="21" t="str">
        <f>UPPER(IF(AUDITORIA[[#This Row],[DATA VERIFICAÇÃO]]="","",TEXT(AUDITORIA[[#This Row],[DATA VERIFICAÇÃO]],"mmm")))</f>
        <v>MAI</v>
      </c>
      <c r="Y1215" t="s">
        <v>598</v>
      </c>
      <c r="Z1215" t="s">
        <v>830</v>
      </c>
      <c r="AA1215" t="s">
        <v>600</v>
      </c>
    </row>
    <row r="1216" spans="1:27" ht="14.4" hidden="1" customHeight="1" x14ac:dyDescent="0.3">
      <c r="A1216" s="4" t="s">
        <v>279</v>
      </c>
      <c r="B1216" s="4" t="s">
        <v>17</v>
      </c>
      <c r="C1216" s="16" t="s">
        <v>18</v>
      </c>
      <c r="D1216" s="4">
        <v>11</v>
      </c>
      <c r="E1216" s="4" t="s">
        <v>745</v>
      </c>
      <c r="F1216" t="s">
        <v>527</v>
      </c>
      <c r="G1216" t="s">
        <v>514</v>
      </c>
      <c r="J1216" s="4" t="s">
        <v>31</v>
      </c>
      <c r="K1216" s="4" t="s">
        <v>20</v>
      </c>
      <c r="L1216" s="4" t="s">
        <v>742</v>
      </c>
      <c r="M1216" s="17">
        <v>30</v>
      </c>
      <c r="N1216" s="17">
        <v>656</v>
      </c>
      <c r="O1216" s="18" t="s">
        <v>31</v>
      </c>
      <c r="P1216" s="18">
        <v>656</v>
      </c>
      <c r="Q1216" s="18">
        <v>30</v>
      </c>
      <c r="R1216" s="18"/>
      <c r="S1216" s="18"/>
      <c r="T1216" s="18"/>
      <c r="U12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16" s="19">
        <f>IF(AUDITORIA[[#This Row],[CAT]]="",0,1)</f>
        <v>1</v>
      </c>
      <c r="W1216" s="20">
        <v>46170</v>
      </c>
      <c r="X1216" s="21" t="str">
        <f>UPPER(IF(AUDITORIA[[#This Row],[DATA VERIFICAÇÃO]]="","",TEXT(AUDITORIA[[#This Row],[DATA VERIFICAÇÃO]],"mmm")))</f>
        <v>MAI</v>
      </c>
      <c r="Y1216" t="s">
        <v>598</v>
      </c>
      <c r="Z1216" t="s">
        <v>830</v>
      </c>
      <c r="AA1216" t="s">
        <v>600</v>
      </c>
    </row>
    <row r="1217" spans="1:27" ht="14.4" hidden="1" customHeight="1" x14ac:dyDescent="0.3">
      <c r="A1217" s="4" t="s">
        <v>279</v>
      </c>
      <c r="B1217" s="4" t="s">
        <v>17</v>
      </c>
      <c r="C1217" s="16" t="s">
        <v>18</v>
      </c>
      <c r="D1217" s="4">
        <v>11</v>
      </c>
      <c r="E1217" s="4" t="s">
        <v>745</v>
      </c>
      <c r="F1217" t="s">
        <v>526</v>
      </c>
      <c r="G1217" t="s">
        <v>514</v>
      </c>
      <c r="J1217" s="4" t="s">
        <v>31</v>
      </c>
      <c r="K1217" s="4" t="s">
        <v>20</v>
      </c>
      <c r="L1217" s="4" t="s">
        <v>742</v>
      </c>
      <c r="M1217" s="17">
        <v>30</v>
      </c>
      <c r="N1217" s="17">
        <v>658</v>
      </c>
      <c r="O1217" s="18" t="s">
        <v>31</v>
      </c>
      <c r="P1217" s="18">
        <v>658</v>
      </c>
      <c r="Q1217" s="18">
        <v>30</v>
      </c>
      <c r="R1217" s="18"/>
      <c r="S1217" s="18"/>
      <c r="T1217" s="18"/>
      <c r="U12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17" s="19">
        <f>IF(AUDITORIA[[#This Row],[CAT]]="",0,1)</f>
        <v>1</v>
      </c>
      <c r="W1217" s="20">
        <v>46170</v>
      </c>
      <c r="X1217" s="21" t="str">
        <f>UPPER(IF(AUDITORIA[[#This Row],[DATA VERIFICAÇÃO]]="","",TEXT(AUDITORIA[[#This Row],[DATA VERIFICAÇÃO]],"mmm")))</f>
        <v>MAI</v>
      </c>
      <c r="Y1217" t="s">
        <v>598</v>
      </c>
      <c r="Z1217" t="s">
        <v>830</v>
      </c>
      <c r="AA1217" t="s">
        <v>600</v>
      </c>
    </row>
    <row r="1218" spans="1:27" ht="14.4" hidden="1" customHeight="1" x14ac:dyDescent="0.3">
      <c r="A1218" s="4" t="s">
        <v>279</v>
      </c>
      <c r="B1218" s="4" t="s">
        <v>17</v>
      </c>
      <c r="C1218" s="16" t="s">
        <v>18</v>
      </c>
      <c r="D1218" s="4">
        <v>11</v>
      </c>
      <c r="E1218" s="4" t="s">
        <v>745</v>
      </c>
      <c r="F1218" t="s">
        <v>532</v>
      </c>
      <c r="G1218" t="s">
        <v>514</v>
      </c>
      <c r="J1218" s="4" t="s">
        <v>31</v>
      </c>
      <c r="K1218" s="4" t="s">
        <v>20</v>
      </c>
      <c r="L1218" s="4" t="s">
        <v>742</v>
      </c>
      <c r="M1218" s="17">
        <v>18</v>
      </c>
      <c r="N1218" s="17">
        <v>640</v>
      </c>
      <c r="O1218" s="18" t="s">
        <v>31</v>
      </c>
      <c r="P1218" s="18">
        <v>640</v>
      </c>
      <c r="Q1218" s="18">
        <v>18</v>
      </c>
      <c r="R1218" s="18"/>
      <c r="S1218" s="18"/>
      <c r="T1218" s="18"/>
      <c r="U12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18" s="19">
        <f>IF(AUDITORIA[[#This Row],[CAT]]="",0,1)</f>
        <v>1</v>
      </c>
      <c r="W1218" s="20">
        <v>46170</v>
      </c>
      <c r="X1218" s="21" t="str">
        <f>UPPER(IF(AUDITORIA[[#This Row],[DATA VERIFICAÇÃO]]="","",TEXT(AUDITORIA[[#This Row],[DATA VERIFICAÇÃO]],"mmm")))</f>
        <v>MAI</v>
      </c>
      <c r="Y1218" t="s">
        <v>598</v>
      </c>
      <c r="Z1218" t="s">
        <v>830</v>
      </c>
      <c r="AA1218" t="s">
        <v>600</v>
      </c>
    </row>
    <row r="1219" spans="1:27" ht="14.4" hidden="1" customHeight="1" x14ac:dyDescent="0.3">
      <c r="A1219" s="4" t="s">
        <v>279</v>
      </c>
      <c r="B1219" s="4" t="s">
        <v>17</v>
      </c>
      <c r="C1219" s="16" t="s">
        <v>18</v>
      </c>
      <c r="D1219" s="4">
        <v>11</v>
      </c>
      <c r="E1219" s="4" t="s">
        <v>745</v>
      </c>
      <c r="F1219" t="s">
        <v>513</v>
      </c>
      <c r="G1219" t="s">
        <v>514</v>
      </c>
      <c r="J1219" s="4" t="s">
        <v>31</v>
      </c>
      <c r="K1219" s="4" t="s">
        <v>21</v>
      </c>
      <c r="L1219" s="4" t="s">
        <v>742</v>
      </c>
      <c r="M1219" s="17">
        <v>30</v>
      </c>
      <c r="N1219" s="17">
        <v>809</v>
      </c>
      <c r="O1219" s="18" t="s">
        <v>31</v>
      </c>
      <c r="P1219" s="18">
        <v>809</v>
      </c>
      <c r="Q1219" s="18">
        <v>30</v>
      </c>
      <c r="R1219" s="18"/>
      <c r="S1219" s="18"/>
      <c r="T1219" s="18"/>
      <c r="U12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19" s="19">
        <f>IF(AUDITORIA[[#This Row],[CAT]]="",0,1)</f>
        <v>1</v>
      </c>
      <c r="W1219" s="20">
        <v>46170</v>
      </c>
      <c r="X1219" s="21" t="str">
        <f>UPPER(IF(AUDITORIA[[#This Row],[DATA VERIFICAÇÃO]]="","",TEXT(AUDITORIA[[#This Row],[DATA VERIFICAÇÃO]],"mmm")))</f>
        <v>MAI</v>
      </c>
      <c r="Y1219" t="s">
        <v>598</v>
      </c>
      <c r="Z1219" t="s">
        <v>830</v>
      </c>
      <c r="AA1219" t="s">
        <v>600</v>
      </c>
    </row>
    <row r="1220" spans="1:27" ht="14.4" hidden="1" customHeight="1" x14ac:dyDescent="0.3">
      <c r="A1220" s="4" t="s">
        <v>279</v>
      </c>
      <c r="B1220" s="4" t="s">
        <v>17</v>
      </c>
      <c r="C1220" s="16" t="s">
        <v>18</v>
      </c>
      <c r="D1220" s="4">
        <v>11</v>
      </c>
      <c r="E1220" s="4" t="s">
        <v>745</v>
      </c>
      <c r="F1220" t="s">
        <v>528</v>
      </c>
      <c r="G1220" t="s">
        <v>514</v>
      </c>
      <c r="J1220" s="4" t="s">
        <v>31</v>
      </c>
      <c r="K1220" s="4" t="s">
        <v>21</v>
      </c>
      <c r="L1220" s="4" t="s">
        <v>742</v>
      </c>
      <c r="M1220" s="17">
        <v>30</v>
      </c>
      <c r="N1220" s="17">
        <v>801</v>
      </c>
      <c r="O1220" s="18" t="s">
        <v>31</v>
      </c>
      <c r="P1220" s="18">
        <v>801</v>
      </c>
      <c r="Q1220" s="18">
        <v>30</v>
      </c>
      <c r="R1220" s="18"/>
      <c r="S1220" s="18"/>
      <c r="T1220" s="18"/>
      <c r="U12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20" s="19">
        <f>IF(AUDITORIA[[#This Row],[CAT]]="",0,1)</f>
        <v>1</v>
      </c>
      <c r="W1220" s="20">
        <v>46170</v>
      </c>
      <c r="X1220" s="21" t="str">
        <f>UPPER(IF(AUDITORIA[[#This Row],[DATA VERIFICAÇÃO]]="","",TEXT(AUDITORIA[[#This Row],[DATA VERIFICAÇÃO]],"mmm")))</f>
        <v>MAI</v>
      </c>
      <c r="Y1220" t="s">
        <v>598</v>
      </c>
      <c r="Z1220" t="s">
        <v>830</v>
      </c>
      <c r="AA1220" t="s">
        <v>600</v>
      </c>
    </row>
    <row r="1221" spans="1:27" ht="14.4" hidden="1" customHeight="1" x14ac:dyDescent="0.3">
      <c r="A1221" s="4" t="s">
        <v>279</v>
      </c>
      <c r="B1221" s="4" t="s">
        <v>17</v>
      </c>
      <c r="C1221" s="16" t="s">
        <v>18</v>
      </c>
      <c r="D1221" s="4">
        <v>11</v>
      </c>
      <c r="E1221" s="4" t="s">
        <v>745</v>
      </c>
      <c r="F1221" t="s">
        <v>525</v>
      </c>
      <c r="G1221" t="s">
        <v>514</v>
      </c>
      <c r="J1221" s="4" t="s">
        <v>31</v>
      </c>
      <c r="K1221" s="4" t="s">
        <v>21</v>
      </c>
      <c r="L1221" s="4" t="s">
        <v>742</v>
      </c>
      <c r="M1221" s="17">
        <v>30</v>
      </c>
      <c r="N1221" s="17">
        <v>826</v>
      </c>
      <c r="O1221" s="18" t="s">
        <v>31</v>
      </c>
      <c r="P1221" s="18">
        <v>826</v>
      </c>
      <c r="Q1221" s="18">
        <v>30</v>
      </c>
      <c r="R1221" s="18"/>
      <c r="S1221" s="18"/>
      <c r="T1221" s="18"/>
      <c r="U12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21" s="19">
        <f>IF(AUDITORIA[[#This Row],[CAT]]="",0,1)</f>
        <v>1</v>
      </c>
      <c r="W1221" s="20">
        <v>46170</v>
      </c>
      <c r="X1221" s="21" t="str">
        <f>UPPER(IF(AUDITORIA[[#This Row],[DATA VERIFICAÇÃO]]="","",TEXT(AUDITORIA[[#This Row],[DATA VERIFICAÇÃO]],"mmm")))</f>
        <v>MAI</v>
      </c>
      <c r="Y1221" t="s">
        <v>598</v>
      </c>
      <c r="Z1221" t="s">
        <v>830</v>
      </c>
      <c r="AA1221" t="s">
        <v>600</v>
      </c>
    </row>
    <row r="1222" spans="1:27" ht="14.4" hidden="1" customHeight="1" x14ac:dyDescent="0.3">
      <c r="A1222" s="4" t="s">
        <v>279</v>
      </c>
      <c r="B1222" s="4" t="s">
        <v>17</v>
      </c>
      <c r="C1222" s="16" t="s">
        <v>18</v>
      </c>
      <c r="D1222" s="4">
        <v>11</v>
      </c>
      <c r="E1222" s="4" t="s">
        <v>745</v>
      </c>
      <c r="F1222" t="s">
        <v>531</v>
      </c>
      <c r="G1222" t="s">
        <v>514</v>
      </c>
      <c r="J1222" s="4" t="s">
        <v>31</v>
      </c>
      <c r="K1222" s="4" t="s">
        <v>21</v>
      </c>
      <c r="L1222" s="4" t="s">
        <v>742</v>
      </c>
      <c r="M1222" s="17">
        <v>1</v>
      </c>
      <c r="N1222" s="17">
        <v>794</v>
      </c>
      <c r="O1222" s="18" t="s">
        <v>31</v>
      </c>
      <c r="P1222" s="18">
        <v>794</v>
      </c>
      <c r="Q1222" s="18">
        <v>1</v>
      </c>
      <c r="R1222" s="18"/>
      <c r="S1222" s="18"/>
      <c r="T1222" s="18"/>
      <c r="U12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22" s="19">
        <f>IF(AUDITORIA[[#This Row],[CAT]]="",0,1)</f>
        <v>1</v>
      </c>
      <c r="W1222" s="20">
        <v>46170</v>
      </c>
      <c r="X1222" s="21" t="str">
        <f>UPPER(IF(AUDITORIA[[#This Row],[DATA VERIFICAÇÃO]]="","",TEXT(AUDITORIA[[#This Row],[DATA VERIFICAÇÃO]],"mmm")))</f>
        <v>MAI</v>
      </c>
      <c r="Y1222" t="s">
        <v>598</v>
      </c>
      <c r="Z1222" t="s">
        <v>830</v>
      </c>
      <c r="AA1222" t="s">
        <v>600</v>
      </c>
    </row>
    <row r="1223" spans="1:27" ht="14.4" hidden="1" customHeight="1" x14ac:dyDescent="0.3">
      <c r="A1223" s="4" t="s">
        <v>279</v>
      </c>
      <c r="B1223" s="4" t="s">
        <v>17</v>
      </c>
      <c r="C1223" s="16" t="s">
        <v>18</v>
      </c>
      <c r="D1223" s="4">
        <v>11</v>
      </c>
      <c r="E1223" s="4" t="s">
        <v>745</v>
      </c>
      <c r="F1223" t="s">
        <v>483</v>
      </c>
      <c r="G1223" t="s">
        <v>66</v>
      </c>
      <c r="J1223" s="4" t="s">
        <v>55</v>
      </c>
      <c r="K1223" s="4" t="s">
        <v>20</v>
      </c>
      <c r="L1223" s="4" t="s">
        <v>742</v>
      </c>
      <c r="M1223" s="17">
        <v>30</v>
      </c>
      <c r="N1223" s="17">
        <v>792</v>
      </c>
      <c r="O1223" s="18" t="s">
        <v>55</v>
      </c>
      <c r="P1223" s="18">
        <v>792</v>
      </c>
      <c r="Q1223" s="18">
        <v>30</v>
      </c>
      <c r="R1223" s="18"/>
      <c r="S1223" s="18"/>
      <c r="T1223" s="18"/>
      <c r="U12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23" s="19">
        <f>IF(AUDITORIA[[#This Row],[CAT]]="",0,1)</f>
        <v>1</v>
      </c>
      <c r="W1223" s="20">
        <v>46170</v>
      </c>
      <c r="X1223" s="21" t="str">
        <f>UPPER(IF(AUDITORIA[[#This Row],[DATA VERIFICAÇÃO]]="","",TEXT(AUDITORIA[[#This Row],[DATA VERIFICAÇÃO]],"mmm")))</f>
        <v>MAI</v>
      </c>
      <c r="Y1223" t="s">
        <v>598</v>
      </c>
      <c r="Z1223" t="s">
        <v>830</v>
      </c>
      <c r="AA1223" t="s">
        <v>600</v>
      </c>
    </row>
    <row r="1224" spans="1:27" ht="14.4" hidden="1" customHeight="1" x14ac:dyDescent="0.3">
      <c r="A1224" s="4" t="s">
        <v>279</v>
      </c>
      <c r="B1224" s="4" t="s">
        <v>17</v>
      </c>
      <c r="C1224" s="16" t="s">
        <v>18</v>
      </c>
      <c r="D1224" s="4">
        <v>11</v>
      </c>
      <c r="E1224" s="4" t="s">
        <v>745</v>
      </c>
      <c r="F1224" t="s">
        <v>481</v>
      </c>
      <c r="G1224" t="s">
        <v>66</v>
      </c>
      <c r="J1224" s="4" t="s">
        <v>55</v>
      </c>
      <c r="K1224" s="4" t="s">
        <v>20</v>
      </c>
      <c r="L1224" s="4" t="s">
        <v>742</v>
      </c>
      <c r="M1224" s="17">
        <v>30</v>
      </c>
      <c r="N1224" s="17">
        <v>775</v>
      </c>
      <c r="O1224" s="18" t="s">
        <v>55</v>
      </c>
      <c r="P1224" s="18">
        <v>775</v>
      </c>
      <c r="Q1224" s="18">
        <v>30</v>
      </c>
      <c r="R1224" s="18"/>
      <c r="S1224" s="18"/>
      <c r="T1224" s="18"/>
      <c r="U12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24" s="19">
        <f>IF(AUDITORIA[[#This Row],[CAT]]="",0,1)</f>
        <v>1</v>
      </c>
      <c r="W1224" s="20">
        <v>46170</v>
      </c>
      <c r="X1224" s="21" t="str">
        <f>UPPER(IF(AUDITORIA[[#This Row],[DATA VERIFICAÇÃO]]="","",TEXT(AUDITORIA[[#This Row],[DATA VERIFICAÇÃO]],"mmm")))</f>
        <v>MAI</v>
      </c>
      <c r="Y1224" t="s">
        <v>598</v>
      </c>
      <c r="Z1224" t="s">
        <v>830</v>
      </c>
      <c r="AA1224" t="s">
        <v>600</v>
      </c>
    </row>
    <row r="1225" spans="1:27" ht="14.4" hidden="1" customHeight="1" x14ac:dyDescent="0.3">
      <c r="A1225" s="4" t="s">
        <v>279</v>
      </c>
      <c r="B1225" s="4" t="s">
        <v>17</v>
      </c>
      <c r="C1225" s="16" t="s">
        <v>18</v>
      </c>
      <c r="D1225" s="4">
        <v>11</v>
      </c>
      <c r="E1225" s="4" t="s">
        <v>745</v>
      </c>
      <c r="F1225" t="s">
        <v>479</v>
      </c>
      <c r="G1225" t="s">
        <v>66</v>
      </c>
      <c r="J1225" s="4" t="s">
        <v>55</v>
      </c>
      <c r="K1225" s="4" t="s">
        <v>20</v>
      </c>
      <c r="L1225" s="4" t="s">
        <v>742</v>
      </c>
      <c r="M1225" s="17">
        <v>30</v>
      </c>
      <c r="N1225" s="17">
        <v>818</v>
      </c>
      <c r="O1225" s="18" t="s">
        <v>55</v>
      </c>
      <c r="P1225" s="18">
        <v>818</v>
      </c>
      <c r="Q1225" s="18">
        <v>30</v>
      </c>
      <c r="R1225" s="18"/>
      <c r="S1225" s="18"/>
      <c r="T1225" s="18"/>
      <c r="U12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25" s="19">
        <f>IF(AUDITORIA[[#This Row],[CAT]]="",0,1)</f>
        <v>1</v>
      </c>
      <c r="W1225" s="20">
        <v>46170</v>
      </c>
      <c r="X1225" s="21" t="str">
        <f>UPPER(IF(AUDITORIA[[#This Row],[DATA VERIFICAÇÃO]]="","",TEXT(AUDITORIA[[#This Row],[DATA VERIFICAÇÃO]],"mmm")))</f>
        <v>MAI</v>
      </c>
      <c r="Y1225" t="s">
        <v>598</v>
      </c>
      <c r="Z1225" t="s">
        <v>830</v>
      </c>
      <c r="AA1225" t="s">
        <v>600</v>
      </c>
    </row>
    <row r="1226" spans="1:27" ht="14.4" hidden="1" customHeight="1" x14ac:dyDescent="0.3">
      <c r="A1226" s="4" t="s">
        <v>279</v>
      </c>
      <c r="B1226" s="4" t="s">
        <v>17</v>
      </c>
      <c r="C1226" s="16" t="s">
        <v>18</v>
      </c>
      <c r="D1226" s="4">
        <v>11</v>
      </c>
      <c r="E1226" s="4" t="s">
        <v>745</v>
      </c>
      <c r="F1226" t="s">
        <v>412</v>
      </c>
      <c r="G1226" t="s">
        <v>66</v>
      </c>
      <c r="J1226" s="4" t="s">
        <v>55</v>
      </c>
      <c r="K1226" s="4" t="s">
        <v>20</v>
      </c>
      <c r="L1226" s="4" t="s">
        <v>742</v>
      </c>
      <c r="M1226" s="17">
        <v>30</v>
      </c>
      <c r="N1226" s="17">
        <v>806</v>
      </c>
      <c r="O1226" s="18" t="s">
        <v>55</v>
      </c>
      <c r="P1226" s="18">
        <v>806</v>
      </c>
      <c r="Q1226" s="18">
        <v>30</v>
      </c>
      <c r="R1226" s="18"/>
      <c r="S1226" s="18"/>
      <c r="T1226" s="18"/>
      <c r="U12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26" s="19">
        <f>IF(AUDITORIA[[#This Row],[CAT]]="",0,1)</f>
        <v>1</v>
      </c>
      <c r="W1226" s="20">
        <v>46170</v>
      </c>
      <c r="X1226" s="21" t="str">
        <f>UPPER(IF(AUDITORIA[[#This Row],[DATA VERIFICAÇÃO]]="","",TEXT(AUDITORIA[[#This Row],[DATA VERIFICAÇÃO]],"mmm")))</f>
        <v>MAI</v>
      </c>
      <c r="Y1226" t="s">
        <v>598</v>
      </c>
      <c r="Z1226" t="s">
        <v>830</v>
      </c>
      <c r="AA1226" t="s">
        <v>600</v>
      </c>
    </row>
    <row r="1227" spans="1:27" ht="14.4" hidden="1" customHeight="1" x14ac:dyDescent="0.3">
      <c r="A1227" s="4" t="s">
        <v>279</v>
      </c>
      <c r="B1227" s="4" t="s">
        <v>17</v>
      </c>
      <c r="C1227" s="16" t="s">
        <v>18</v>
      </c>
      <c r="D1227" s="4">
        <v>11</v>
      </c>
      <c r="E1227" s="4" t="s">
        <v>745</v>
      </c>
      <c r="F1227" t="s">
        <v>418</v>
      </c>
      <c r="G1227" t="s">
        <v>66</v>
      </c>
      <c r="J1227" s="4" t="s">
        <v>55</v>
      </c>
      <c r="K1227" s="4" t="s">
        <v>20</v>
      </c>
      <c r="L1227" s="4" t="s">
        <v>742</v>
      </c>
      <c r="M1227" s="17">
        <v>30</v>
      </c>
      <c r="N1227" s="17">
        <v>800</v>
      </c>
      <c r="O1227" s="18" t="s">
        <v>55</v>
      </c>
      <c r="P1227" s="18">
        <v>800</v>
      </c>
      <c r="Q1227" s="18">
        <v>30</v>
      </c>
      <c r="R1227" s="18"/>
      <c r="S1227" s="18"/>
      <c r="T1227" s="18"/>
      <c r="U12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27" s="19">
        <f>IF(AUDITORIA[[#This Row],[CAT]]="",0,1)</f>
        <v>1</v>
      </c>
      <c r="W1227" s="20">
        <v>46170</v>
      </c>
      <c r="X1227" s="21" t="str">
        <f>UPPER(IF(AUDITORIA[[#This Row],[DATA VERIFICAÇÃO]]="","",TEXT(AUDITORIA[[#This Row],[DATA VERIFICAÇÃO]],"mmm")))</f>
        <v>MAI</v>
      </c>
      <c r="Y1227" t="s">
        <v>598</v>
      </c>
      <c r="Z1227" t="s">
        <v>830</v>
      </c>
      <c r="AA1227" t="s">
        <v>600</v>
      </c>
    </row>
    <row r="1228" spans="1:27" ht="14.4" hidden="1" customHeight="1" x14ac:dyDescent="0.3">
      <c r="A1228" s="4" t="s">
        <v>279</v>
      </c>
      <c r="B1228" s="4" t="s">
        <v>17</v>
      </c>
      <c r="C1228" s="16" t="s">
        <v>18</v>
      </c>
      <c r="D1228" s="4">
        <v>11</v>
      </c>
      <c r="E1228" s="4" t="s">
        <v>745</v>
      </c>
      <c r="F1228" t="s">
        <v>414</v>
      </c>
      <c r="G1228" t="s">
        <v>66</v>
      </c>
      <c r="J1228" s="4" t="s">
        <v>55</v>
      </c>
      <c r="K1228" s="4" t="s">
        <v>20</v>
      </c>
      <c r="L1228" s="4" t="s">
        <v>742</v>
      </c>
      <c r="M1228" s="17">
        <v>30</v>
      </c>
      <c r="N1228" s="17">
        <v>803</v>
      </c>
      <c r="O1228" s="18" t="s">
        <v>55</v>
      </c>
      <c r="P1228" s="18">
        <v>803</v>
      </c>
      <c r="Q1228" s="18">
        <v>30</v>
      </c>
      <c r="R1228" s="18"/>
      <c r="S1228" s="18"/>
      <c r="T1228" s="18"/>
      <c r="U12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28" s="19">
        <f>IF(AUDITORIA[[#This Row],[CAT]]="",0,1)</f>
        <v>1</v>
      </c>
      <c r="W1228" s="20">
        <v>46170</v>
      </c>
      <c r="X1228" s="21" t="str">
        <f>UPPER(IF(AUDITORIA[[#This Row],[DATA VERIFICAÇÃO]]="","",TEXT(AUDITORIA[[#This Row],[DATA VERIFICAÇÃO]],"mmm")))</f>
        <v>MAI</v>
      </c>
      <c r="Y1228" t="s">
        <v>598</v>
      </c>
      <c r="Z1228" t="s">
        <v>830</v>
      </c>
      <c r="AA1228" t="s">
        <v>600</v>
      </c>
    </row>
    <row r="1229" spans="1:27" ht="14.4" hidden="1" customHeight="1" x14ac:dyDescent="0.3">
      <c r="A1229" s="4" t="s">
        <v>279</v>
      </c>
      <c r="B1229" s="4" t="s">
        <v>17</v>
      </c>
      <c r="C1229" s="16" t="s">
        <v>18</v>
      </c>
      <c r="D1229" s="4">
        <v>11</v>
      </c>
      <c r="E1229" s="4" t="s">
        <v>745</v>
      </c>
      <c r="F1229" t="s">
        <v>409</v>
      </c>
      <c r="G1229" t="s">
        <v>66</v>
      </c>
      <c r="J1229" s="4" t="s">
        <v>55</v>
      </c>
      <c r="K1229" s="4" t="s">
        <v>20</v>
      </c>
      <c r="L1229" s="4" t="s">
        <v>742</v>
      </c>
      <c r="M1229" s="17">
        <v>30</v>
      </c>
      <c r="N1229" s="17">
        <v>801</v>
      </c>
      <c r="O1229" s="18" t="s">
        <v>55</v>
      </c>
      <c r="P1229" s="18">
        <v>801</v>
      </c>
      <c r="Q1229" s="18">
        <v>30</v>
      </c>
      <c r="R1229" s="18"/>
      <c r="S1229" s="18"/>
      <c r="T1229" s="18"/>
      <c r="U12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29" s="19">
        <f>IF(AUDITORIA[[#This Row],[CAT]]="",0,1)</f>
        <v>1</v>
      </c>
      <c r="W1229" s="20">
        <v>46170</v>
      </c>
      <c r="X1229" s="21" t="str">
        <f>UPPER(IF(AUDITORIA[[#This Row],[DATA VERIFICAÇÃO]]="","",TEXT(AUDITORIA[[#This Row],[DATA VERIFICAÇÃO]],"mmm")))</f>
        <v>MAI</v>
      </c>
      <c r="Y1229" t="s">
        <v>598</v>
      </c>
      <c r="Z1229" t="s">
        <v>830</v>
      </c>
      <c r="AA1229" t="s">
        <v>600</v>
      </c>
    </row>
    <row r="1230" spans="1:27" ht="14.4" hidden="1" customHeight="1" x14ac:dyDescent="0.3">
      <c r="A1230" s="4" t="s">
        <v>279</v>
      </c>
      <c r="B1230" s="4" t="s">
        <v>17</v>
      </c>
      <c r="C1230" s="16" t="s">
        <v>18</v>
      </c>
      <c r="D1230" s="4">
        <v>11</v>
      </c>
      <c r="E1230" s="4" t="s">
        <v>745</v>
      </c>
      <c r="F1230" t="s">
        <v>396</v>
      </c>
      <c r="G1230" t="s">
        <v>66</v>
      </c>
      <c r="J1230" s="4" t="s">
        <v>55</v>
      </c>
      <c r="K1230" s="4" t="s">
        <v>20</v>
      </c>
      <c r="L1230" s="4" t="s">
        <v>742</v>
      </c>
      <c r="M1230" s="17">
        <v>30</v>
      </c>
      <c r="N1230" s="17">
        <v>810</v>
      </c>
      <c r="O1230" s="18" t="s">
        <v>55</v>
      </c>
      <c r="P1230" s="18">
        <v>810</v>
      </c>
      <c r="Q1230" s="18">
        <v>30</v>
      </c>
      <c r="R1230" s="18"/>
      <c r="S1230" s="18"/>
      <c r="T1230" s="18"/>
      <c r="U12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30" s="19">
        <f>IF(AUDITORIA[[#This Row],[CAT]]="",0,1)</f>
        <v>1</v>
      </c>
      <c r="W1230" s="20">
        <v>46170</v>
      </c>
      <c r="X1230" s="21" t="str">
        <f>UPPER(IF(AUDITORIA[[#This Row],[DATA VERIFICAÇÃO]]="","",TEXT(AUDITORIA[[#This Row],[DATA VERIFICAÇÃO]],"mmm")))</f>
        <v>MAI</v>
      </c>
      <c r="Y1230" t="s">
        <v>598</v>
      </c>
      <c r="Z1230" t="s">
        <v>830</v>
      </c>
      <c r="AA1230" t="s">
        <v>600</v>
      </c>
    </row>
    <row r="1231" spans="1:27" ht="14.4" hidden="1" customHeight="1" x14ac:dyDescent="0.3">
      <c r="A1231" s="4" t="s">
        <v>279</v>
      </c>
      <c r="B1231" s="4" t="s">
        <v>17</v>
      </c>
      <c r="C1231" s="16" t="s">
        <v>18</v>
      </c>
      <c r="D1231" s="4">
        <v>11</v>
      </c>
      <c r="E1231" s="4" t="s">
        <v>745</v>
      </c>
      <c r="F1231" t="s">
        <v>394</v>
      </c>
      <c r="G1231" t="s">
        <v>66</v>
      </c>
      <c r="J1231" s="4" t="s">
        <v>55</v>
      </c>
      <c r="K1231" s="4" t="s">
        <v>20</v>
      </c>
      <c r="L1231" s="4" t="s">
        <v>742</v>
      </c>
      <c r="M1231" s="17">
        <v>30</v>
      </c>
      <c r="N1231" s="17">
        <v>811</v>
      </c>
      <c r="O1231" s="18" t="s">
        <v>55</v>
      </c>
      <c r="P1231" s="18">
        <v>811</v>
      </c>
      <c r="Q1231" s="18">
        <v>30</v>
      </c>
      <c r="R1231" s="18"/>
      <c r="S1231" s="18"/>
      <c r="T1231" s="18"/>
      <c r="U12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31" s="19">
        <f>IF(AUDITORIA[[#This Row],[CAT]]="",0,1)</f>
        <v>1</v>
      </c>
      <c r="W1231" s="20">
        <v>46170</v>
      </c>
      <c r="X1231" s="21" t="str">
        <f>UPPER(IF(AUDITORIA[[#This Row],[DATA VERIFICAÇÃO]]="","",TEXT(AUDITORIA[[#This Row],[DATA VERIFICAÇÃO]],"mmm")))</f>
        <v>MAI</v>
      </c>
      <c r="Y1231" t="s">
        <v>598</v>
      </c>
      <c r="Z1231" t="s">
        <v>830</v>
      </c>
      <c r="AA1231" t="s">
        <v>600</v>
      </c>
    </row>
    <row r="1232" spans="1:27" ht="14.4" hidden="1" customHeight="1" x14ac:dyDescent="0.3">
      <c r="A1232" s="4" t="s">
        <v>279</v>
      </c>
      <c r="B1232" s="4" t="s">
        <v>17</v>
      </c>
      <c r="C1232" s="16" t="s">
        <v>18</v>
      </c>
      <c r="D1232" s="4">
        <v>11</v>
      </c>
      <c r="E1232" s="4" t="s">
        <v>745</v>
      </c>
      <c r="F1232" t="s">
        <v>390</v>
      </c>
      <c r="G1232" t="s">
        <v>66</v>
      </c>
      <c r="J1232" s="4" t="s">
        <v>55</v>
      </c>
      <c r="K1232" s="4" t="s">
        <v>20</v>
      </c>
      <c r="L1232" s="4" t="s">
        <v>742</v>
      </c>
      <c r="M1232" s="17">
        <v>30</v>
      </c>
      <c r="N1232" s="17">
        <v>805</v>
      </c>
      <c r="O1232" s="18" t="s">
        <v>55</v>
      </c>
      <c r="P1232" s="18">
        <v>805</v>
      </c>
      <c r="Q1232" s="18">
        <v>30</v>
      </c>
      <c r="R1232" s="18"/>
      <c r="S1232" s="18"/>
      <c r="T1232" s="18"/>
      <c r="U12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32" s="19">
        <f>IF(AUDITORIA[[#This Row],[CAT]]="",0,1)</f>
        <v>1</v>
      </c>
      <c r="W1232" s="20">
        <v>46170</v>
      </c>
      <c r="X1232" s="21" t="str">
        <f>UPPER(IF(AUDITORIA[[#This Row],[DATA VERIFICAÇÃO]]="","",TEXT(AUDITORIA[[#This Row],[DATA VERIFICAÇÃO]],"mmm")))</f>
        <v>MAI</v>
      </c>
      <c r="Y1232" t="s">
        <v>598</v>
      </c>
      <c r="Z1232" t="s">
        <v>830</v>
      </c>
      <c r="AA1232" t="s">
        <v>600</v>
      </c>
    </row>
    <row r="1233" spans="1:27" ht="14.4" hidden="1" customHeight="1" x14ac:dyDescent="0.3">
      <c r="A1233" s="4" t="s">
        <v>279</v>
      </c>
      <c r="B1233" s="4" t="s">
        <v>17</v>
      </c>
      <c r="C1233" s="16" t="s">
        <v>18</v>
      </c>
      <c r="D1233" s="4">
        <v>11</v>
      </c>
      <c r="E1233" s="4" t="s">
        <v>745</v>
      </c>
      <c r="F1233" t="s">
        <v>386</v>
      </c>
      <c r="G1233" t="s">
        <v>66</v>
      </c>
      <c r="J1233" s="4" t="s">
        <v>55</v>
      </c>
      <c r="K1233" s="4" t="s">
        <v>20</v>
      </c>
      <c r="L1233" s="4" t="s">
        <v>742</v>
      </c>
      <c r="M1233" s="17">
        <v>30</v>
      </c>
      <c r="N1233" s="17">
        <v>791</v>
      </c>
      <c r="O1233" s="18" t="s">
        <v>55</v>
      </c>
      <c r="P1233" s="18">
        <v>791</v>
      </c>
      <c r="Q1233" s="18">
        <v>30</v>
      </c>
      <c r="R1233" s="18"/>
      <c r="S1233" s="18"/>
      <c r="T1233" s="18"/>
      <c r="U12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33" s="19">
        <f>IF(AUDITORIA[[#This Row],[CAT]]="",0,1)</f>
        <v>1</v>
      </c>
      <c r="W1233" s="20">
        <v>46170</v>
      </c>
      <c r="X1233" s="21" t="str">
        <f>UPPER(IF(AUDITORIA[[#This Row],[DATA VERIFICAÇÃO]]="","",TEXT(AUDITORIA[[#This Row],[DATA VERIFICAÇÃO]],"mmm")))</f>
        <v>MAI</v>
      </c>
      <c r="Y1233" t="s">
        <v>598</v>
      </c>
      <c r="Z1233" t="s">
        <v>830</v>
      </c>
      <c r="AA1233" t="s">
        <v>600</v>
      </c>
    </row>
    <row r="1234" spans="1:27" ht="14.4" hidden="1" customHeight="1" x14ac:dyDescent="0.3">
      <c r="A1234" s="4" t="s">
        <v>279</v>
      </c>
      <c r="B1234" s="4" t="s">
        <v>17</v>
      </c>
      <c r="C1234" s="16" t="s">
        <v>18</v>
      </c>
      <c r="D1234" s="4">
        <v>11</v>
      </c>
      <c r="E1234" s="4" t="s">
        <v>745</v>
      </c>
      <c r="F1234" t="s">
        <v>383</v>
      </c>
      <c r="G1234" t="s">
        <v>66</v>
      </c>
      <c r="J1234" s="4" t="s">
        <v>55</v>
      </c>
      <c r="K1234" s="4" t="s">
        <v>20</v>
      </c>
      <c r="L1234" s="4" t="s">
        <v>742</v>
      </c>
      <c r="M1234" s="17">
        <v>30</v>
      </c>
      <c r="N1234" s="17">
        <v>791</v>
      </c>
      <c r="O1234" s="18" t="s">
        <v>55</v>
      </c>
      <c r="P1234" s="18">
        <v>791</v>
      </c>
      <c r="Q1234" s="18">
        <v>30</v>
      </c>
      <c r="R1234" s="18"/>
      <c r="S1234" s="18"/>
      <c r="T1234" s="18"/>
      <c r="U12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34" s="19">
        <f>IF(AUDITORIA[[#This Row],[CAT]]="",0,1)</f>
        <v>1</v>
      </c>
      <c r="W1234" s="20">
        <v>46170</v>
      </c>
      <c r="X1234" s="21" t="str">
        <f>UPPER(IF(AUDITORIA[[#This Row],[DATA VERIFICAÇÃO]]="","",TEXT(AUDITORIA[[#This Row],[DATA VERIFICAÇÃO]],"mmm")))</f>
        <v>MAI</v>
      </c>
      <c r="Y1234" t="s">
        <v>598</v>
      </c>
      <c r="Z1234" t="s">
        <v>830</v>
      </c>
      <c r="AA1234" t="s">
        <v>600</v>
      </c>
    </row>
    <row r="1235" spans="1:27" ht="14.4" hidden="1" customHeight="1" x14ac:dyDescent="0.3">
      <c r="A1235" s="4" t="s">
        <v>279</v>
      </c>
      <c r="B1235" s="4" t="s">
        <v>17</v>
      </c>
      <c r="C1235" s="16" t="s">
        <v>18</v>
      </c>
      <c r="D1235" s="4">
        <v>11</v>
      </c>
      <c r="E1235" s="4" t="s">
        <v>745</v>
      </c>
      <c r="F1235" t="s">
        <v>381</v>
      </c>
      <c r="G1235" t="s">
        <v>66</v>
      </c>
      <c r="J1235" s="4" t="s">
        <v>55</v>
      </c>
      <c r="K1235" s="4" t="s">
        <v>20</v>
      </c>
      <c r="L1235" s="4" t="s">
        <v>742</v>
      </c>
      <c r="M1235" s="17">
        <v>30</v>
      </c>
      <c r="N1235" s="17">
        <v>814</v>
      </c>
      <c r="O1235" s="18" t="s">
        <v>55</v>
      </c>
      <c r="P1235" s="18">
        <v>814</v>
      </c>
      <c r="Q1235" s="18">
        <v>30</v>
      </c>
      <c r="R1235" s="18"/>
      <c r="S1235" s="18"/>
      <c r="T1235" s="18"/>
      <c r="U12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35" s="19">
        <f>IF(AUDITORIA[[#This Row],[CAT]]="",0,1)</f>
        <v>1</v>
      </c>
      <c r="W1235" s="20">
        <v>46170</v>
      </c>
      <c r="X1235" s="21" t="str">
        <f>UPPER(IF(AUDITORIA[[#This Row],[DATA VERIFICAÇÃO]]="","",TEXT(AUDITORIA[[#This Row],[DATA VERIFICAÇÃO]],"mmm")))</f>
        <v>MAI</v>
      </c>
      <c r="Y1235" t="s">
        <v>598</v>
      </c>
      <c r="Z1235" t="s">
        <v>830</v>
      </c>
      <c r="AA1235" t="s">
        <v>600</v>
      </c>
    </row>
    <row r="1236" spans="1:27" ht="14.4" hidden="1" customHeight="1" x14ac:dyDescent="0.3">
      <c r="A1236" s="4" t="s">
        <v>279</v>
      </c>
      <c r="B1236" s="4" t="s">
        <v>17</v>
      </c>
      <c r="C1236" s="16" t="s">
        <v>18</v>
      </c>
      <c r="D1236" s="4">
        <v>11</v>
      </c>
      <c r="E1236" s="4" t="s">
        <v>745</v>
      </c>
      <c r="F1236" t="s">
        <v>377</v>
      </c>
      <c r="G1236" t="s">
        <v>66</v>
      </c>
      <c r="J1236" s="4" t="s">
        <v>55</v>
      </c>
      <c r="K1236" s="4" t="s">
        <v>20</v>
      </c>
      <c r="L1236" s="4" t="s">
        <v>742</v>
      </c>
      <c r="M1236" s="17">
        <v>30</v>
      </c>
      <c r="N1236" s="17">
        <v>799</v>
      </c>
      <c r="O1236" s="18" t="s">
        <v>55</v>
      </c>
      <c r="P1236" s="18">
        <v>799</v>
      </c>
      <c r="Q1236" s="18">
        <v>30</v>
      </c>
      <c r="R1236" s="18"/>
      <c r="S1236" s="18"/>
      <c r="T1236" s="18"/>
      <c r="U12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36" s="19">
        <f>IF(AUDITORIA[[#This Row],[CAT]]="",0,1)</f>
        <v>1</v>
      </c>
      <c r="W1236" s="20">
        <v>46170</v>
      </c>
      <c r="X1236" s="21" t="str">
        <f>UPPER(IF(AUDITORIA[[#This Row],[DATA VERIFICAÇÃO]]="","",TEXT(AUDITORIA[[#This Row],[DATA VERIFICAÇÃO]],"mmm")))</f>
        <v>MAI</v>
      </c>
      <c r="Y1236" t="s">
        <v>598</v>
      </c>
      <c r="Z1236" t="s">
        <v>830</v>
      </c>
      <c r="AA1236" t="s">
        <v>600</v>
      </c>
    </row>
    <row r="1237" spans="1:27" ht="14.4" hidden="1" customHeight="1" x14ac:dyDescent="0.3">
      <c r="A1237" s="4" t="s">
        <v>279</v>
      </c>
      <c r="B1237" s="4" t="s">
        <v>17</v>
      </c>
      <c r="C1237" s="16" t="s">
        <v>18</v>
      </c>
      <c r="D1237" s="4">
        <v>11</v>
      </c>
      <c r="E1237" s="4" t="s">
        <v>745</v>
      </c>
      <c r="F1237" t="s">
        <v>372</v>
      </c>
      <c r="G1237" t="s">
        <v>66</v>
      </c>
      <c r="J1237" s="4" t="s">
        <v>55</v>
      </c>
      <c r="K1237" s="4" t="s">
        <v>20</v>
      </c>
      <c r="L1237" s="4" t="s">
        <v>742</v>
      </c>
      <c r="M1237" s="17">
        <v>20</v>
      </c>
      <c r="N1237" s="17">
        <v>792</v>
      </c>
      <c r="O1237" s="18" t="s">
        <v>55</v>
      </c>
      <c r="P1237" s="18">
        <v>792</v>
      </c>
      <c r="Q1237" s="18">
        <v>20</v>
      </c>
      <c r="R1237" s="18"/>
      <c r="S1237" s="18"/>
      <c r="T1237" s="18"/>
      <c r="U12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37" s="19">
        <f>IF(AUDITORIA[[#This Row],[CAT]]="",0,1)</f>
        <v>1</v>
      </c>
      <c r="W1237" s="20">
        <v>46170</v>
      </c>
      <c r="X1237" s="21" t="str">
        <f>UPPER(IF(AUDITORIA[[#This Row],[DATA VERIFICAÇÃO]]="","",TEXT(AUDITORIA[[#This Row],[DATA VERIFICAÇÃO]],"mmm")))</f>
        <v>MAI</v>
      </c>
      <c r="Y1237" t="s">
        <v>598</v>
      </c>
      <c r="Z1237" t="s">
        <v>830</v>
      </c>
      <c r="AA1237" t="s">
        <v>600</v>
      </c>
    </row>
    <row r="1238" spans="1:27" ht="14.4" hidden="1" customHeight="1" x14ac:dyDescent="0.3">
      <c r="A1238" s="4" t="s">
        <v>279</v>
      </c>
      <c r="B1238" s="4" t="s">
        <v>17</v>
      </c>
      <c r="C1238" s="16" t="s">
        <v>18</v>
      </c>
      <c r="D1238" s="4">
        <v>11</v>
      </c>
      <c r="E1238" s="4" t="s">
        <v>745</v>
      </c>
      <c r="F1238" t="s">
        <v>482</v>
      </c>
      <c r="G1238" t="s">
        <v>66</v>
      </c>
      <c r="J1238" s="4" t="s">
        <v>55</v>
      </c>
      <c r="K1238" s="4" t="s">
        <v>21</v>
      </c>
      <c r="L1238" s="4" t="s">
        <v>742</v>
      </c>
      <c r="M1238" s="17">
        <v>24</v>
      </c>
      <c r="N1238" s="17">
        <v>1028</v>
      </c>
      <c r="O1238" s="18" t="s">
        <v>55</v>
      </c>
      <c r="P1238" s="18">
        <v>1028</v>
      </c>
      <c r="Q1238" s="18">
        <v>24</v>
      </c>
      <c r="R1238" s="18"/>
      <c r="S1238" s="18"/>
      <c r="T1238" s="18"/>
      <c r="U12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38" s="19">
        <f>IF(AUDITORIA[[#This Row],[CAT]]="",0,1)</f>
        <v>1</v>
      </c>
      <c r="W1238" s="20">
        <v>46170</v>
      </c>
      <c r="X1238" s="21" t="str">
        <f>UPPER(IF(AUDITORIA[[#This Row],[DATA VERIFICAÇÃO]]="","",TEXT(AUDITORIA[[#This Row],[DATA VERIFICAÇÃO]],"mmm")))</f>
        <v>MAI</v>
      </c>
      <c r="Y1238" t="s">
        <v>598</v>
      </c>
      <c r="Z1238" t="s">
        <v>830</v>
      </c>
      <c r="AA1238" t="s">
        <v>600</v>
      </c>
    </row>
    <row r="1239" spans="1:27" ht="14.4" hidden="1" customHeight="1" x14ac:dyDescent="0.3">
      <c r="A1239" s="4" t="s">
        <v>279</v>
      </c>
      <c r="B1239" s="4" t="s">
        <v>17</v>
      </c>
      <c r="C1239" s="16" t="s">
        <v>18</v>
      </c>
      <c r="D1239" s="4">
        <v>11</v>
      </c>
      <c r="E1239" s="4" t="s">
        <v>745</v>
      </c>
      <c r="F1239" t="s">
        <v>480</v>
      </c>
      <c r="G1239" t="s">
        <v>66</v>
      </c>
      <c r="J1239" s="4" t="s">
        <v>55</v>
      </c>
      <c r="K1239" s="4" t="s">
        <v>21</v>
      </c>
      <c r="L1239" s="4" t="s">
        <v>742</v>
      </c>
      <c r="M1239" s="17">
        <v>24</v>
      </c>
      <c r="N1239" s="17">
        <v>1029</v>
      </c>
      <c r="O1239" s="18" t="s">
        <v>55</v>
      </c>
      <c r="P1239" s="18">
        <v>1029</v>
      </c>
      <c r="Q1239" s="18">
        <v>24</v>
      </c>
      <c r="R1239" s="18"/>
      <c r="S1239" s="18"/>
      <c r="T1239" s="18"/>
      <c r="U12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39" s="19">
        <f>IF(AUDITORIA[[#This Row],[CAT]]="",0,1)</f>
        <v>1</v>
      </c>
      <c r="W1239" s="20">
        <v>46170</v>
      </c>
      <c r="X1239" s="21" t="str">
        <f>UPPER(IF(AUDITORIA[[#This Row],[DATA VERIFICAÇÃO]]="","",TEXT(AUDITORIA[[#This Row],[DATA VERIFICAÇÃO]],"mmm")))</f>
        <v>MAI</v>
      </c>
      <c r="Y1239" t="s">
        <v>598</v>
      </c>
      <c r="Z1239" t="s">
        <v>830</v>
      </c>
      <c r="AA1239" t="s">
        <v>600</v>
      </c>
    </row>
    <row r="1240" spans="1:27" ht="14.4" hidden="1" customHeight="1" x14ac:dyDescent="0.3">
      <c r="A1240" s="4" t="s">
        <v>279</v>
      </c>
      <c r="B1240" s="4" t="s">
        <v>17</v>
      </c>
      <c r="C1240" s="16" t="s">
        <v>18</v>
      </c>
      <c r="D1240" s="4">
        <v>11</v>
      </c>
      <c r="E1240" s="4" t="s">
        <v>745</v>
      </c>
      <c r="F1240" t="s">
        <v>478</v>
      </c>
      <c r="G1240" t="s">
        <v>66</v>
      </c>
      <c r="J1240" s="4" t="s">
        <v>55</v>
      </c>
      <c r="K1240" s="4" t="s">
        <v>21</v>
      </c>
      <c r="L1240" s="4" t="s">
        <v>742</v>
      </c>
      <c r="M1240" s="17">
        <v>24</v>
      </c>
      <c r="N1240" s="17">
        <v>1033</v>
      </c>
      <c r="O1240" s="18" t="s">
        <v>55</v>
      </c>
      <c r="P1240" s="18">
        <v>1033</v>
      </c>
      <c r="Q1240" s="18">
        <v>24</v>
      </c>
      <c r="R1240" s="18"/>
      <c r="S1240" s="18"/>
      <c r="T1240" s="18"/>
      <c r="U12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40" s="19">
        <f>IF(AUDITORIA[[#This Row],[CAT]]="",0,1)</f>
        <v>1</v>
      </c>
      <c r="W1240" s="20">
        <v>46170</v>
      </c>
      <c r="X1240" s="21" t="str">
        <f>UPPER(IF(AUDITORIA[[#This Row],[DATA VERIFICAÇÃO]]="","",TEXT(AUDITORIA[[#This Row],[DATA VERIFICAÇÃO]],"mmm")))</f>
        <v>MAI</v>
      </c>
      <c r="Y1240" t="s">
        <v>598</v>
      </c>
      <c r="Z1240" t="s">
        <v>830</v>
      </c>
      <c r="AA1240" t="s">
        <v>600</v>
      </c>
    </row>
    <row r="1241" spans="1:27" ht="14.4" hidden="1" customHeight="1" x14ac:dyDescent="0.3">
      <c r="A1241" s="4" t="s">
        <v>279</v>
      </c>
      <c r="B1241" s="4" t="s">
        <v>17</v>
      </c>
      <c r="C1241" s="16" t="s">
        <v>18</v>
      </c>
      <c r="D1241" s="4">
        <v>11</v>
      </c>
      <c r="E1241" s="4" t="s">
        <v>745</v>
      </c>
      <c r="F1241" t="s">
        <v>413</v>
      </c>
      <c r="G1241" t="s">
        <v>66</v>
      </c>
      <c r="J1241" s="4" t="s">
        <v>55</v>
      </c>
      <c r="K1241" s="4" t="s">
        <v>21</v>
      </c>
      <c r="L1241" s="4" t="s">
        <v>742</v>
      </c>
      <c r="M1241" s="17">
        <v>24</v>
      </c>
      <c r="N1241" s="17">
        <v>1031</v>
      </c>
      <c r="O1241" s="18" t="s">
        <v>55</v>
      </c>
      <c r="P1241" s="18">
        <v>1031</v>
      </c>
      <c r="Q1241" s="18">
        <v>24</v>
      </c>
      <c r="R1241" s="18"/>
      <c r="S1241" s="18"/>
      <c r="T1241" s="18"/>
      <c r="U12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41" s="19">
        <f>IF(AUDITORIA[[#This Row],[CAT]]="",0,1)</f>
        <v>1</v>
      </c>
      <c r="W1241" s="20">
        <v>46170</v>
      </c>
      <c r="X1241" s="21" t="str">
        <f>UPPER(IF(AUDITORIA[[#This Row],[DATA VERIFICAÇÃO]]="","",TEXT(AUDITORIA[[#This Row],[DATA VERIFICAÇÃO]],"mmm")))</f>
        <v>MAI</v>
      </c>
      <c r="Y1241" t="s">
        <v>598</v>
      </c>
      <c r="Z1241" t="s">
        <v>830</v>
      </c>
      <c r="AA1241" t="s">
        <v>600</v>
      </c>
    </row>
    <row r="1242" spans="1:27" ht="14.4" hidden="1" customHeight="1" x14ac:dyDescent="0.3">
      <c r="A1242" s="4" t="s">
        <v>279</v>
      </c>
      <c r="B1242" s="4" t="s">
        <v>17</v>
      </c>
      <c r="C1242" s="16" t="s">
        <v>18</v>
      </c>
      <c r="D1242" s="4">
        <v>11</v>
      </c>
      <c r="E1242" s="4" t="s">
        <v>745</v>
      </c>
      <c r="F1242" t="s">
        <v>417</v>
      </c>
      <c r="G1242" t="s">
        <v>66</v>
      </c>
      <c r="J1242" s="4" t="s">
        <v>55</v>
      </c>
      <c r="K1242" s="4" t="s">
        <v>21</v>
      </c>
      <c r="L1242" s="4" t="s">
        <v>742</v>
      </c>
      <c r="M1242" s="17">
        <v>24</v>
      </c>
      <c r="N1242" s="17">
        <v>1030</v>
      </c>
      <c r="O1242" s="18" t="s">
        <v>55</v>
      </c>
      <c r="P1242" s="18">
        <v>1030</v>
      </c>
      <c r="Q1242" s="18">
        <v>24</v>
      </c>
      <c r="R1242" s="18"/>
      <c r="S1242" s="18"/>
      <c r="T1242" s="18"/>
      <c r="U12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42" s="19">
        <f>IF(AUDITORIA[[#This Row],[CAT]]="",0,1)</f>
        <v>1</v>
      </c>
      <c r="W1242" s="20">
        <v>46170</v>
      </c>
      <c r="X1242" s="21" t="str">
        <f>UPPER(IF(AUDITORIA[[#This Row],[DATA VERIFICAÇÃO]]="","",TEXT(AUDITORIA[[#This Row],[DATA VERIFICAÇÃO]],"mmm")))</f>
        <v>MAI</v>
      </c>
      <c r="Y1242" t="s">
        <v>598</v>
      </c>
      <c r="Z1242" t="s">
        <v>830</v>
      </c>
      <c r="AA1242" t="s">
        <v>600</v>
      </c>
    </row>
    <row r="1243" spans="1:27" ht="14.4" hidden="1" customHeight="1" x14ac:dyDescent="0.3">
      <c r="A1243" s="4" t="s">
        <v>279</v>
      </c>
      <c r="B1243" s="4" t="s">
        <v>17</v>
      </c>
      <c r="C1243" s="16" t="s">
        <v>18</v>
      </c>
      <c r="D1243" s="4">
        <v>11</v>
      </c>
      <c r="E1243" s="4" t="s">
        <v>745</v>
      </c>
      <c r="F1243" t="s">
        <v>411</v>
      </c>
      <c r="G1243" t="s">
        <v>66</v>
      </c>
      <c r="J1243" s="4" t="s">
        <v>55</v>
      </c>
      <c r="K1243" s="4" t="s">
        <v>21</v>
      </c>
      <c r="L1243" s="4" t="s">
        <v>742</v>
      </c>
      <c r="M1243" s="17">
        <v>24</v>
      </c>
      <c r="N1243" s="17">
        <v>1028</v>
      </c>
      <c r="O1243" s="18" t="s">
        <v>55</v>
      </c>
      <c r="P1243" s="18">
        <v>1028</v>
      </c>
      <c r="Q1243" s="18">
        <v>24</v>
      </c>
      <c r="R1243" s="18"/>
      <c r="S1243" s="18"/>
      <c r="T1243" s="18"/>
      <c r="U12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43" s="19">
        <f>IF(AUDITORIA[[#This Row],[CAT]]="",0,1)</f>
        <v>1</v>
      </c>
      <c r="W1243" s="20">
        <v>46170</v>
      </c>
      <c r="X1243" s="21" t="str">
        <f>UPPER(IF(AUDITORIA[[#This Row],[DATA VERIFICAÇÃO]]="","",TEXT(AUDITORIA[[#This Row],[DATA VERIFICAÇÃO]],"mmm")))</f>
        <v>MAI</v>
      </c>
      <c r="Y1243" t="s">
        <v>598</v>
      </c>
      <c r="Z1243" t="s">
        <v>830</v>
      </c>
      <c r="AA1243" t="s">
        <v>600</v>
      </c>
    </row>
    <row r="1244" spans="1:27" ht="14.4" hidden="1" customHeight="1" x14ac:dyDescent="0.3">
      <c r="A1244" s="4" t="s">
        <v>279</v>
      </c>
      <c r="B1244" s="4" t="s">
        <v>17</v>
      </c>
      <c r="C1244" s="16" t="s">
        <v>18</v>
      </c>
      <c r="D1244" s="4">
        <v>11</v>
      </c>
      <c r="E1244" s="4" t="s">
        <v>745</v>
      </c>
      <c r="F1244" t="s">
        <v>410</v>
      </c>
      <c r="G1244" t="s">
        <v>66</v>
      </c>
      <c r="J1244" s="4" t="s">
        <v>55</v>
      </c>
      <c r="K1244" s="4" t="s">
        <v>21</v>
      </c>
      <c r="L1244" s="4" t="s">
        <v>742</v>
      </c>
      <c r="M1244" s="17">
        <v>24</v>
      </c>
      <c r="N1244" s="17">
        <v>1022</v>
      </c>
      <c r="O1244" s="18" t="s">
        <v>55</v>
      </c>
      <c r="P1244" s="18">
        <v>1022</v>
      </c>
      <c r="Q1244" s="18">
        <v>24</v>
      </c>
      <c r="R1244" s="18"/>
      <c r="S1244" s="18"/>
      <c r="T1244" s="18"/>
      <c r="U12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44" s="19">
        <f>IF(AUDITORIA[[#This Row],[CAT]]="",0,1)</f>
        <v>1</v>
      </c>
      <c r="W1244" s="20">
        <v>46170</v>
      </c>
      <c r="X1244" s="21" t="str">
        <f>UPPER(IF(AUDITORIA[[#This Row],[DATA VERIFICAÇÃO]]="","",TEXT(AUDITORIA[[#This Row],[DATA VERIFICAÇÃO]],"mmm")))</f>
        <v>MAI</v>
      </c>
      <c r="Y1244" t="s">
        <v>598</v>
      </c>
      <c r="Z1244" t="s">
        <v>830</v>
      </c>
      <c r="AA1244" t="s">
        <v>600</v>
      </c>
    </row>
    <row r="1245" spans="1:27" ht="14.4" hidden="1" customHeight="1" x14ac:dyDescent="0.3">
      <c r="A1245" s="4" t="s">
        <v>279</v>
      </c>
      <c r="B1245" s="4" t="s">
        <v>17</v>
      </c>
      <c r="C1245" s="16" t="s">
        <v>18</v>
      </c>
      <c r="D1245" s="4">
        <v>11</v>
      </c>
      <c r="E1245" s="4" t="s">
        <v>745</v>
      </c>
      <c r="F1245" t="s">
        <v>397</v>
      </c>
      <c r="G1245" t="s">
        <v>66</v>
      </c>
      <c r="J1245" s="4" t="s">
        <v>55</v>
      </c>
      <c r="K1245" s="4" t="s">
        <v>21</v>
      </c>
      <c r="L1245" s="4" t="s">
        <v>742</v>
      </c>
      <c r="M1245" s="17">
        <v>24</v>
      </c>
      <c r="N1245" s="17">
        <v>1020</v>
      </c>
      <c r="O1245" s="18" t="s">
        <v>55</v>
      </c>
      <c r="P1245" s="18">
        <v>1020</v>
      </c>
      <c r="Q1245" s="18">
        <v>24</v>
      </c>
      <c r="R1245" s="18"/>
      <c r="S1245" s="18"/>
      <c r="T1245" s="18"/>
      <c r="U12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45" s="19">
        <f>IF(AUDITORIA[[#This Row],[CAT]]="",0,1)</f>
        <v>1</v>
      </c>
      <c r="W1245" s="20">
        <v>46170</v>
      </c>
      <c r="X1245" s="21" t="str">
        <f>UPPER(IF(AUDITORIA[[#This Row],[DATA VERIFICAÇÃO]]="","",TEXT(AUDITORIA[[#This Row],[DATA VERIFICAÇÃO]],"mmm")))</f>
        <v>MAI</v>
      </c>
      <c r="Y1245" t="s">
        <v>598</v>
      </c>
      <c r="Z1245" t="s">
        <v>830</v>
      </c>
      <c r="AA1245" t="s">
        <v>600</v>
      </c>
    </row>
    <row r="1246" spans="1:27" ht="14.4" hidden="1" customHeight="1" x14ac:dyDescent="0.3">
      <c r="A1246" s="4" t="s">
        <v>279</v>
      </c>
      <c r="B1246" s="4" t="s">
        <v>17</v>
      </c>
      <c r="C1246" s="16" t="s">
        <v>18</v>
      </c>
      <c r="D1246" s="4">
        <v>11</v>
      </c>
      <c r="E1246" s="4" t="s">
        <v>745</v>
      </c>
      <c r="F1246" t="s">
        <v>395</v>
      </c>
      <c r="G1246" t="s">
        <v>66</v>
      </c>
      <c r="J1246" s="4" t="s">
        <v>55</v>
      </c>
      <c r="K1246" s="4" t="s">
        <v>21</v>
      </c>
      <c r="L1246" s="4" t="s">
        <v>742</v>
      </c>
      <c r="M1246" s="17">
        <v>24</v>
      </c>
      <c r="N1246" s="17">
        <v>1038</v>
      </c>
      <c r="O1246" s="18" t="s">
        <v>55</v>
      </c>
      <c r="P1246" s="18">
        <v>1038</v>
      </c>
      <c r="Q1246" s="18">
        <v>24</v>
      </c>
      <c r="R1246" s="18"/>
      <c r="S1246" s="18"/>
      <c r="T1246" s="18"/>
      <c r="U12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46" s="19">
        <f>IF(AUDITORIA[[#This Row],[CAT]]="",0,1)</f>
        <v>1</v>
      </c>
      <c r="W1246" s="20">
        <v>46170</v>
      </c>
      <c r="X1246" s="21" t="str">
        <f>UPPER(IF(AUDITORIA[[#This Row],[DATA VERIFICAÇÃO]]="","",TEXT(AUDITORIA[[#This Row],[DATA VERIFICAÇÃO]],"mmm")))</f>
        <v>MAI</v>
      </c>
      <c r="Y1246" t="s">
        <v>598</v>
      </c>
      <c r="Z1246" t="s">
        <v>830</v>
      </c>
      <c r="AA1246" t="s">
        <v>600</v>
      </c>
    </row>
    <row r="1247" spans="1:27" ht="14.4" hidden="1" customHeight="1" x14ac:dyDescent="0.3">
      <c r="A1247" s="4" t="s">
        <v>279</v>
      </c>
      <c r="B1247" s="4" t="s">
        <v>17</v>
      </c>
      <c r="C1247" s="16" t="s">
        <v>18</v>
      </c>
      <c r="D1247" s="4">
        <v>11</v>
      </c>
      <c r="E1247" s="4" t="s">
        <v>745</v>
      </c>
      <c r="F1247" t="s">
        <v>391</v>
      </c>
      <c r="G1247" t="s">
        <v>66</v>
      </c>
      <c r="J1247" s="4" t="s">
        <v>55</v>
      </c>
      <c r="K1247" s="4" t="s">
        <v>21</v>
      </c>
      <c r="L1247" s="4" t="s">
        <v>742</v>
      </c>
      <c r="M1247" s="17">
        <v>24</v>
      </c>
      <c r="N1247" s="17">
        <v>1041</v>
      </c>
      <c r="O1247" s="18" t="s">
        <v>55</v>
      </c>
      <c r="P1247" s="18">
        <v>1041</v>
      </c>
      <c r="Q1247" s="18">
        <v>24</v>
      </c>
      <c r="R1247" s="18"/>
      <c r="S1247" s="18"/>
      <c r="T1247" s="18"/>
      <c r="U12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47" s="19">
        <f>IF(AUDITORIA[[#This Row],[CAT]]="",0,1)</f>
        <v>1</v>
      </c>
      <c r="W1247" s="20">
        <v>46170</v>
      </c>
      <c r="X1247" s="21" t="str">
        <f>UPPER(IF(AUDITORIA[[#This Row],[DATA VERIFICAÇÃO]]="","",TEXT(AUDITORIA[[#This Row],[DATA VERIFICAÇÃO]],"mmm")))</f>
        <v>MAI</v>
      </c>
      <c r="Y1247" t="s">
        <v>598</v>
      </c>
      <c r="Z1247" t="s">
        <v>830</v>
      </c>
      <c r="AA1247" t="s">
        <v>600</v>
      </c>
    </row>
    <row r="1248" spans="1:27" ht="14.4" hidden="1" customHeight="1" x14ac:dyDescent="0.3">
      <c r="A1248" s="4" t="s">
        <v>279</v>
      </c>
      <c r="B1248" s="4" t="s">
        <v>17</v>
      </c>
      <c r="C1248" s="16" t="s">
        <v>18</v>
      </c>
      <c r="D1248" s="4">
        <v>11</v>
      </c>
      <c r="E1248" s="4" t="s">
        <v>745</v>
      </c>
      <c r="F1248" t="s">
        <v>387</v>
      </c>
      <c r="G1248" t="s">
        <v>66</v>
      </c>
      <c r="J1248" s="4" t="s">
        <v>55</v>
      </c>
      <c r="K1248" s="4" t="s">
        <v>21</v>
      </c>
      <c r="L1248" s="4" t="s">
        <v>742</v>
      </c>
      <c r="M1248" s="17">
        <v>24</v>
      </c>
      <c r="N1248" s="17">
        <v>1053</v>
      </c>
      <c r="O1248" s="18" t="s">
        <v>55</v>
      </c>
      <c r="P1248" s="18">
        <v>1053</v>
      </c>
      <c r="Q1248" s="18">
        <v>24</v>
      </c>
      <c r="R1248" s="18"/>
      <c r="S1248" s="18"/>
      <c r="T1248" s="18"/>
      <c r="U12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48" s="19">
        <f>IF(AUDITORIA[[#This Row],[CAT]]="",0,1)</f>
        <v>1</v>
      </c>
      <c r="W1248" s="20">
        <v>46170</v>
      </c>
      <c r="X1248" s="21" t="str">
        <f>UPPER(IF(AUDITORIA[[#This Row],[DATA VERIFICAÇÃO]]="","",TEXT(AUDITORIA[[#This Row],[DATA VERIFICAÇÃO]],"mmm")))</f>
        <v>MAI</v>
      </c>
      <c r="Y1248" t="s">
        <v>598</v>
      </c>
      <c r="Z1248" t="s">
        <v>830</v>
      </c>
      <c r="AA1248" t="s">
        <v>600</v>
      </c>
    </row>
    <row r="1249" spans="1:27" ht="14.4" hidden="1" customHeight="1" x14ac:dyDescent="0.3">
      <c r="A1249" s="4" t="s">
        <v>279</v>
      </c>
      <c r="B1249" s="4" t="s">
        <v>17</v>
      </c>
      <c r="C1249" s="16" t="s">
        <v>18</v>
      </c>
      <c r="D1249" s="4">
        <v>11</v>
      </c>
      <c r="E1249" s="4" t="s">
        <v>745</v>
      </c>
      <c r="F1249" t="s">
        <v>385</v>
      </c>
      <c r="G1249" t="s">
        <v>66</v>
      </c>
      <c r="J1249" s="4" t="s">
        <v>55</v>
      </c>
      <c r="K1249" s="4" t="s">
        <v>21</v>
      </c>
      <c r="L1249" s="4" t="s">
        <v>742</v>
      </c>
      <c r="M1249" s="17">
        <v>24</v>
      </c>
      <c r="N1249" s="17">
        <v>1038</v>
      </c>
      <c r="O1249" s="18" t="s">
        <v>55</v>
      </c>
      <c r="P1249" s="18">
        <v>1038</v>
      </c>
      <c r="Q1249" s="18">
        <v>24</v>
      </c>
      <c r="R1249" s="18"/>
      <c r="S1249" s="18"/>
      <c r="T1249" s="18"/>
      <c r="U12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49" s="19">
        <f>IF(AUDITORIA[[#This Row],[CAT]]="",0,1)</f>
        <v>1</v>
      </c>
      <c r="W1249" s="20">
        <v>46170</v>
      </c>
      <c r="X1249" s="21" t="str">
        <f>UPPER(IF(AUDITORIA[[#This Row],[DATA VERIFICAÇÃO]]="","",TEXT(AUDITORIA[[#This Row],[DATA VERIFICAÇÃO]],"mmm")))</f>
        <v>MAI</v>
      </c>
      <c r="Y1249" t="s">
        <v>598</v>
      </c>
      <c r="Z1249" t="s">
        <v>830</v>
      </c>
      <c r="AA1249" t="s">
        <v>600</v>
      </c>
    </row>
    <row r="1250" spans="1:27" ht="14.4" hidden="1" customHeight="1" x14ac:dyDescent="0.3">
      <c r="A1250" s="4" t="s">
        <v>279</v>
      </c>
      <c r="B1250" s="4" t="s">
        <v>17</v>
      </c>
      <c r="C1250" s="16" t="s">
        <v>18</v>
      </c>
      <c r="D1250" s="4">
        <v>11</v>
      </c>
      <c r="E1250" s="4" t="s">
        <v>745</v>
      </c>
      <c r="F1250" t="s">
        <v>382</v>
      </c>
      <c r="G1250" t="s">
        <v>66</v>
      </c>
      <c r="J1250" s="4" t="s">
        <v>55</v>
      </c>
      <c r="K1250" s="4" t="s">
        <v>21</v>
      </c>
      <c r="L1250" s="4" t="s">
        <v>742</v>
      </c>
      <c r="M1250" s="17">
        <v>24</v>
      </c>
      <c r="N1250" s="17">
        <v>1015</v>
      </c>
      <c r="O1250" s="18" t="s">
        <v>55</v>
      </c>
      <c r="P1250" s="18">
        <v>1015</v>
      </c>
      <c r="Q1250" s="18">
        <v>24</v>
      </c>
      <c r="R1250" s="18"/>
      <c r="S1250" s="18"/>
      <c r="T1250" s="18"/>
      <c r="U12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50" s="19">
        <f>IF(AUDITORIA[[#This Row],[CAT]]="",0,1)</f>
        <v>1</v>
      </c>
      <c r="W1250" s="20">
        <v>46170</v>
      </c>
      <c r="X1250" s="21" t="str">
        <f>UPPER(IF(AUDITORIA[[#This Row],[DATA VERIFICAÇÃO]]="","",TEXT(AUDITORIA[[#This Row],[DATA VERIFICAÇÃO]],"mmm")))</f>
        <v>MAI</v>
      </c>
      <c r="Y1250" t="s">
        <v>598</v>
      </c>
      <c r="Z1250" t="s">
        <v>830</v>
      </c>
      <c r="AA1250" t="s">
        <v>600</v>
      </c>
    </row>
    <row r="1251" spans="1:27" ht="14.4" hidden="1" customHeight="1" x14ac:dyDescent="0.3">
      <c r="A1251" s="4" t="s">
        <v>279</v>
      </c>
      <c r="B1251" s="4" t="s">
        <v>17</v>
      </c>
      <c r="C1251" s="16" t="s">
        <v>18</v>
      </c>
      <c r="D1251" s="4">
        <v>11</v>
      </c>
      <c r="E1251" s="4" t="s">
        <v>745</v>
      </c>
      <c r="F1251" t="s">
        <v>380</v>
      </c>
      <c r="G1251" t="s">
        <v>66</v>
      </c>
      <c r="J1251" s="4" t="s">
        <v>55</v>
      </c>
      <c r="K1251" s="4" t="s">
        <v>21</v>
      </c>
      <c r="L1251" s="4" t="s">
        <v>742</v>
      </c>
      <c r="M1251" s="17">
        <v>24</v>
      </c>
      <c r="N1251" s="17">
        <v>1045</v>
      </c>
      <c r="O1251" s="18" t="s">
        <v>55</v>
      </c>
      <c r="P1251" s="18">
        <v>1045</v>
      </c>
      <c r="Q1251" s="18">
        <v>24</v>
      </c>
      <c r="R1251" s="18"/>
      <c r="S1251" s="18"/>
      <c r="T1251" s="18"/>
      <c r="U12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51" s="19">
        <f>IF(AUDITORIA[[#This Row],[CAT]]="",0,1)</f>
        <v>1</v>
      </c>
      <c r="W1251" s="20">
        <v>46170</v>
      </c>
      <c r="X1251" s="21" t="str">
        <f>UPPER(IF(AUDITORIA[[#This Row],[DATA VERIFICAÇÃO]]="","",TEXT(AUDITORIA[[#This Row],[DATA VERIFICAÇÃO]],"mmm")))</f>
        <v>MAI</v>
      </c>
      <c r="Y1251" t="s">
        <v>598</v>
      </c>
      <c r="Z1251" t="s">
        <v>830</v>
      </c>
      <c r="AA1251" t="s">
        <v>600</v>
      </c>
    </row>
    <row r="1252" spans="1:27" ht="14.4" hidden="1" customHeight="1" x14ac:dyDescent="0.3">
      <c r="A1252" s="4" t="s">
        <v>279</v>
      </c>
      <c r="B1252" s="4" t="s">
        <v>17</v>
      </c>
      <c r="C1252" s="16" t="s">
        <v>18</v>
      </c>
      <c r="D1252" s="4">
        <v>11</v>
      </c>
      <c r="E1252" s="4" t="s">
        <v>745</v>
      </c>
      <c r="F1252" t="s">
        <v>376</v>
      </c>
      <c r="G1252" t="s">
        <v>66</v>
      </c>
      <c r="J1252" s="4" t="s">
        <v>55</v>
      </c>
      <c r="K1252" s="4" t="s">
        <v>21</v>
      </c>
      <c r="L1252" s="4" t="s">
        <v>742</v>
      </c>
      <c r="M1252" s="17">
        <v>24</v>
      </c>
      <c r="N1252" s="17">
        <v>1015</v>
      </c>
      <c r="O1252" s="18" t="s">
        <v>55</v>
      </c>
      <c r="P1252" s="18">
        <v>1015</v>
      </c>
      <c r="Q1252" s="18">
        <v>24</v>
      </c>
      <c r="R1252" s="18"/>
      <c r="S1252" s="18"/>
      <c r="T1252" s="18"/>
      <c r="U12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52" s="19">
        <f>IF(AUDITORIA[[#This Row],[CAT]]="",0,1)</f>
        <v>1</v>
      </c>
      <c r="W1252" s="20">
        <v>46170</v>
      </c>
      <c r="X1252" s="21" t="str">
        <f>UPPER(IF(AUDITORIA[[#This Row],[DATA VERIFICAÇÃO]]="","",TEXT(AUDITORIA[[#This Row],[DATA VERIFICAÇÃO]],"mmm")))</f>
        <v>MAI</v>
      </c>
      <c r="Y1252" t="s">
        <v>598</v>
      </c>
      <c r="Z1252" t="s">
        <v>830</v>
      </c>
      <c r="AA1252" t="s">
        <v>600</v>
      </c>
    </row>
    <row r="1253" spans="1:27" ht="14.4" hidden="1" customHeight="1" x14ac:dyDescent="0.3">
      <c r="A1253" s="4" t="s">
        <v>279</v>
      </c>
      <c r="B1253" s="4" t="s">
        <v>17</v>
      </c>
      <c r="C1253" s="16" t="s">
        <v>18</v>
      </c>
      <c r="D1253" s="4">
        <v>11</v>
      </c>
      <c r="E1253" s="4" t="s">
        <v>745</v>
      </c>
      <c r="F1253" t="s">
        <v>374</v>
      </c>
      <c r="G1253" t="s">
        <v>66</v>
      </c>
      <c r="J1253" s="4" t="s">
        <v>55</v>
      </c>
      <c r="K1253" s="4" t="s">
        <v>21</v>
      </c>
      <c r="L1253" s="4" t="s">
        <v>742</v>
      </c>
      <c r="M1253" s="17">
        <v>18</v>
      </c>
      <c r="N1253" s="17">
        <v>1023</v>
      </c>
      <c r="O1253" s="18" t="s">
        <v>55</v>
      </c>
      <c r="P1253" s="18">
        <v>1023</v>
      </c>
      <c r="Q1253" s="18">
        <v>18</v>
      </c>
      <c r="R1253" s="18"/>
      <c r="S1253" s="18"/>
      <c r="T1253" s="18"/>
      <c r="U12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53" s="19">
        <f>IF(AUDITORIA[[#This Row],[CAT]]="",0,1)</f>
        <v>1</v>
      </c>
      <c r="W1253" s="20">
        <v>46170</v>
      </c>
      <c r="X1253" s="21" t="str">
        <f>UPPER(IF(AUDITORIA[[#This Row],[DATA VERIFICAÇÃO]]="","",TEXT(AUDITORIA[[#This Row],[DATA VERIFICAÇÃO]],"mmm")))</f>
        <v>MAI</v>
      </c>
      <c r="Y1253" t="s">
        <v>598</v>
      </c>
      <c r="Z1253" t="s">
        <v>830</v>
      </c>
      <c r="AA1253" t="s">
        <v>600</v>
      </c>
    </row>
    <row r="1254" spans="1:27" ht="14.4" hidden="1" customHeight="1" x14ac:dyDescent="0.3">
      <c r="A1254" s="4" t="s">
        <v>279</v>
      </c>
      <c r="B1254" s="4" t="s">
        <v>17</v>
      </c>
      <c r="C1254" s="16" t="s">
        <v>18</v>
      </c>
      <c r="D1254" s="4">
        <v>11</v>
      </c>
      <c r="E1254" s="4" t="s">
        <v>745</v>
      </c>
      <c r="F1254" t="s">
        <v>554</v>
      </c>
      <c r="G1254" t="s">
        <v>555</v>
      </c>
      <c r="J1254" s="4" t="s">
        <v>55</v>
      </c>
      <c r="K1254" s="4" t="s">
        <v>20</v>
      </c>
      <c r="L1254" s="4" t="s">
        <v>742</v>
      </c>
      <c r="M1254" s="17">
        <v>27</v>
      </c>
      <c r="N1254" s="17">
        <v>967</v>
      </c>
      <c r="O1254" s="18" t="s">
        <v>55</v>
      </c>
      <c r="P1254" s="18">
        <v>967</v>
      </c>
      <c r="Q1254" s="18">
        <v>27</v>
      </c>
      <c r="R1254" s="18"/>
      <c r="S1254" s="18"/>
      <c r="T1254" s="18"/>
      <c r="U12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54" s="19">
        <f>IF(AUDITORIA[[#This Row],[CAT]]="",0,1)</f>
        <v>1</v>
      </c>
      <c r="W1254" s="20">
        <v>46170</v>
      </c>
      <c r="X1254" s="21" t="str">
        <f>UPPER(IF(AUDITORIA[[#This Row],[DATA VERIFICAÇÃO]]="","",TEXT(AUDITORIA[[#This Row],[DATA VERIFICAÇÃO]],"mmm")))</f>
        <v>MAI</v>
      </c>
      <c r="Y1254" t="s">
        <v>598</v>
      </c>
      <c r="Z1254" t="s">
        <v>830</v>
      </c>
      <c r="AA1254" t="s">
        <v>600</v>
      </c>
    </row>
    <row r="1255" spans="1:27" ht="14.4" hidden="1" customHeight="1" x14ac:dyDescent="0.3">
      <c r="A1255" s="4" t="s">
        <v>279</v>
      </c>
      <c r="B1255" s="4" t="s">
        <v>17</v>
      </c>
      <c r="C1255" s="16" t="s">
        <v>18</v>
      </c>
      <c r="D1255" s="4">
        <v>11</v>
      </c>
      <c r="E1255" s="4" t="s">
        <v>745</v>
      </c>
      <c r="F1255" t="s">
        <v>561</v>
      </c>
      <c r="G1255" t="s">
        <v>555</v>
      </c>
      <c r="J1255" s="4" t="s">
        <v>55</v>
      </c>
      <c r="K1255" s="4" t="s">
        <v>20</v>
      </c>
      <c r="L1255" s="4" t="s">
        <v>742</v>
      </c>
      <c r="M1255" s="17">
        <v>27</v>
      </c>
      <c r="N1255" s="17">
        <v>981</v>
      </c>
      <c r="O1255" s="18" t="s">
        <v>55</v>
      </c>
      <c r="P1255" s="18">
        <v>981</v>
      </c>
      <c r="Q1255" s="18">
        <v>27</v>
      </c>
      <c r="R1255" s="18"/>
      <c r="S1255" s="18"/>
      <c r="T1255" s="18"/>
      <c r="U12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55" s="19">
        <f>IF(AUDITORIA[[#This Row],[CAT]]="",0,1)</f>
        <v>1</v>
      </c>
      <c r="W1255" s="20">
        <v>46170</v>
      </c>
      <c r="X1255" s="21" t="str">
        <f>UPPER(IF(AUDITORIA[[#This Row],[DATA VERIFICAÇÃO]]="","",TEXT(AUDITORIA[[#This Row],[DATA VERIFICAÇÃO]],"mmm")))</f>
        <v>MAI</v>
      </c>
      <c r="Y1255" t="s">
        <v>598</v>
      </c>
      <c r="Z1255" t="s">
        <v>830</v>
      </c>
      <c r="AA1255" t="s">
        <v>600</v>
      </c>
    </row>
    <row r="1256" spans="1:27" ht="14.4" hidden="1" customHeight="1" x14ac:dyDescent="0.3">
      <c r="A1256" s="4" t="s">
        <v>279</v>
      </c>
      <c r="B1256" s="4" t="s">
        <v>17</v>
      </c>
      <c r="C1256" s="16" t="s">
        <v>18</v>
      </c>
      <c r="D1256" s="4">
        <v>11</v>
      </c>
      <c r="E1256" s="4" t="s">
        <v>745</v>
      </c>
      <c r="F1256" t="s">
        <v>570</v>
      </c>
      <c r="G1256" t="s">
        <v>555</v>
      </c>
      <c r="J1256" s="4" t="s">
        <v>55</v>
      </c>
      <c r="K1256" s="4" t="s">
        <v>20</v>
      </c>
      <c r="L1256" s="4" t="s">
        <v>742</v>
      </c>
      <c r="M1256" s="17">
        <v>27</v>
      </c>
      <c r="N1256" s="17">
        <v>995</v>
      </c>
      <c r="O1256" s="18" t="s">
        <v>55</v>
      </c>
      <c r="P1256" s="18">
        <v>995</v>
      </c>
      <c r="Q1256" s="18">
        <v>27</v>
      </c>
      <c r="R1256" s="18"/>
      <c r="S1256" s="18"/>
      <c r="T1256" s="18"/>
      <c r="U12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56" s="19">
        <f>IF(AUDITORIA[[#This Row],[CAT]]="",0,1)</f>
        <v>1</v>
      </c>
      <c r="W1256" s="20">
        <v>46170</v>
      </c>
      <c r="X1256" s="21" t="str">
        <f>UPPER(IF(AUDITORIA[[#This Row],[DATA VERIFICAÇÃO]]="","",TEXT(AUDITORIA[[#This Row],[DATA VERIFICAÇÃO]],"mmm")))</f>
        <v>MAI</v>
      </c>
      <c r="Y1256" t="s">
        <v>598</v>
      </c>
      <c r="Z1256" t="s">
        <v>830</v>
      </c>
      <c r="AA1256" t="s">
        <v>600</v>
      </c>
    </row>
    <row r="1257" spans="1:27" ht="14.4" hidden="1" customHeight="1" x14ac:dyDescent="0.3">
      <c r="A1257" s="4" t="s">
        <v>279</v>
      </c>
      <c r="B1257" s="4" t="s">
        <v>17</v>
      </c>
      <c r="C1257" s="16" t="s">
        <v>18</v>
      </c>
      <c r="D1257" s="4">
        <v>11</v>
      </c>
      <c r="E1257" s="4" t="s">
        <v>745</v>
      </c>
      <c r="F1257" t="s">
        <v>566</v>
      </c>
      <c r="G1257" t="s">
        <v>555</v>
      </c>
      <c r="J1257" s="4" t="s">
        <v>55</v>
      </c>
      <c r="K1257" s="4" t="s">
        <v>20</v>
      </c>
      <c r="L1257" s="4" t="s">
        <v>742</v>
      </c>
      <c r="M1257" s="17">
        <v>27</v>
      </c>
      <c r="N1257" s="17">
        <v>984</v>
      </c>
      <c r="O1257" s="18" t="s">
        <v>55</v>
      </c>
      <c r="P1257" s="18">
        <v>984</v>
      </c>
      <c r="Q1257" s="18">
        <v>27</v>
      </c>
      <c r="R1257" s="18"/>
      <c r="S1257" s="18"/>
      <c r="T1257" s="18"/>
      <c r="U12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57" s="19">
        <f>IF(AUDITORIA[[#This Row],[CAT]]="",0,1)</f>
        <v>1</v>
      </c>
      <c r="W1257" s="20">
        <v>46170</v>
      </c>
      <c r="X1257" s="21" t="str">
        <f>UPPER(IF(AUDITORIA[[#This Row],[DATA VERIFICAÇÃO]]="","",TEXT(AUDITORIA[[#This Row],[DATA VERIFICAÇÃO]],"mmm")))</f>
        <v>MAI</v>
      </c>
      <c r="Y1257" t="s">
        <v>598</v>
      </c>
      <c r="Z1257" t="s">
        <v>830</v>
      </c>
      <c r="AA1257" t="s">
        <v>600</v>
      </c>
    </row>
    <row r="1258" spans="1:27" ht="14.4" hidden="1" customHeight="1" x14ac:dyDescent="0.3">
      <c r="A1258" s="4" t="s">
        <v>279</v>
      </c>
      <c r="B1258" s="4" t="s">
        <v>17</v>
      </c>
      <c r="C1258" s="16" t="s">
        <v>18</v>
      </c>
      <c r="D1258" s="4">
        <v>11</v>
      </c>
      <c r="E1258" s="4" t="s">
        <v>745</v>
      </c>
      <c r="F1258" t="s">
        <v>574</v>
      </c>
      <c r="G1258" t="s">
        <v>555</v>
      </c>
      <c r="J1258" s="4" t="s">
        <v>55</v>
      </c>
      <c r="K1258" s="4" t="s">
        <v>20</v>
      </c>
      <c r="L1258" s="4" t="s">
        <v>742</v>
      </c>
      <c r="M1258" s="17">
        <v>11</v>
      </c>
      <c r="N1258" s="17">
        <v>1002</v>
      </c>
      <c r="O1258" s="18" t="s">
        <v>55</v>
      </c>
      <c r="P1258" s="18">
        <v>1002</v>
      </c>
      <c r="Q1258" s="18">
        <v>11</v>
      </c>
      <c r="R1258" s="18"/>
      <c r="S1258" s="18"/>
      <c r="T1258" s="18"/>
      <c r="U12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58" s="19">
        <f>IF(AUDITORIA[[#This Row],[CAT]]="",0,1)</f>
        <v>1</v>
      </c>
      <c r="W1258" s="20">
        <v>46170</v>
      </c>
      <c r="X1258" s="21" t="str">
        <f>UPPER(IF(AUDITORIA[[#This Row],[DATA VERIFICAÇÃO]]="","",TEXT(AUDITORIA[[#This Row],[DATA VERIFICAÇÃO]],"mmm")))</f>
        <v>MAI</v>
      </c>
      <c r="Y1258" t="s">
        <v>598</v>
      </c>
      <c r="Z1258" t="s">
        <v>830</v>
      </c>
      <c r="AA1258" t="s">
        <v>600</v>
      </c>
    </row>
    <row r="1259" spans="1:27" ht="14.4" hidden="1" customHeight="1" x14ac:dyDescent="0.3">
      <c r="A1259" s="4" t="s">
        <v>279</v>
      </c>
      <c r="B1259" s="4" t="s">
        <v>17</v>
      </c>
      <c r="C1259" s="16" t="s">
        <v>18</v>
      </c>
      <c r="D1259" s="4">
        <v>11</v>
      </c>
      <c r="E1259" s="4" t="s">
        <v>745</v>
      </c>
      <c r="F1259" t="s">
        <v>563</v>
      </c>
      <c r="G1259" t="s">
        <v>555</v>
      </c>
      <c r="J1259" s="4" t="s">
        <v>55</v>
      </c>
      <c r="K1259" s="4" t="s">
        <v>21</v>
      </c>
      <c r="L1259" s="4" t="s">
        <v>742</v>
      </c>
      <c r="M1259" s="17">
        <v>18</v>
      </c>
      <c r="N1259" s="17">
        <v>1177</v>
      </c>
      <c r="O1259" s="18" t="s">
        <v>55</v>
      </c>
      <c r="P1259" s="18">
        <v>1177</v>
      </c>
      <c r="Q1259" s="18">
        <v>18</v>
      </c>
      <c r="R1259" s="18"/>
      <c r="S1259" s="18"/>
      <c r="T1259" s="18"/>
      <c r="U12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59" s="19">
        <f>IF(AUDITORIA[[#This Row],[CAT]]="",0,1)</f>
        <v>1</v>
      </c>
      <c r="W1259" s="20">
        <v>46170</v>
      </c>
      <c r="X1259" s="21" t="str">
        <f>UPPER(IF(AUDITORIA[[#This Row],[DATA VERIFICAÇÃO]]="","",TEXT(AUDITORIA[[#This Row],[DATA VERIFICAÇÃO]],"mmm")))</f>
        <v>MAI</v>
      </c>
      <c r="Y1259" t="s">
        <v>598</v>
      </c>
      <c r="Z1259" t="s">
        <v>830</v>
      </c>
      <c r="AA1259" t="s">
        <v>600</v>
      </c>
    </row>
    <row r="1260" spans="1:27" ht="14.4" hidden="1" customHeight="1" x14ac:dyDescent="0.3">
      <c r="A1260" s="4" t="s">
        <v>279</v>
      </c>
      <c r="B1260" s="4" t="s">
        <v>17</v>
      </c>
      <c r="C1260" s="16" t="s">
        <v>18</v>
      </c>
      <c r="D1260" s="4">
        <v>11</v>
      </c>
      <c r="E1260" s="4" t="s">
        <v>745</v>
      </c>
      <c r="F1260" t="s">
        <v>569</v>
      </c>
      <c r="G1260" t="s">
        <v>555</v>
      </c>
      <c r="J1260" s="4" t="s">
        <v>55</v>
      </c>
      <c r="K1260" s="4" t="s">
        <v>21</v>
      </c>
      <c r="L1260" s="4" t="s">
        <v>742</v>
      </c>
      <c r="M1260" s="17">
        <v>18</v>
      </c>
      <c r="N1260" s="17">
        <v>1178</v>
      </c>
      <c r="O1260" s="18" t="s">
        <v>55</v>
      </c>
      <c r="P1260" s="18">
        <v>1178</v>
      </c>
      <c r="Q1260" s="18">
        <v>18</v>
      </c>
      <c r="R1260" s="18"/>
      <c r="S1260" s="18"/>
      <c r="T1260" s="18"/>
      <c r="U12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60" s="19">
        <f>IF(AUDITORIA[[#This Row],[CAT]]="",0,1)</f>
        <v>1</v>
      </c>
      <c r="W1260" s="20">
        <v>46170</v>
      </c>
      <c r="X1260" s="21" t="str">
        <f>UPPER(IF(AUDITORIA[[#This Row],[DATA VERIFICAÇÃO]]="","",TEXT(AUDITORIA[[#This Row],[DATA VERIFICAÇÃO]],"mmm")))</f>
        <v>MAI</v>
      </c>
      <c r="Y1260" t="s">
        <v>598</v>
      </c>
      <c r="Z1260" t="s">
        <v>830</v>
      </c>
      <c r="AA1260" t="s">
        <v>600</v>
      </c>
    </row>
    <row r="1261" spans="1:27" ht="14.4" hidden="1" customHeight="1" x14ac:dyDescent="0.3">
      <c r="A1261" s="4" t="s">
        <v>279</v>
      </c>
      <c r="B1261" s="4" t="s">
        <v>17</v>
      </c>
      <c r="C1261" s="16" t="s">
        <v>18</v>
      </c>
      <c r="D1261" s="4">
        <v>11</v>
      </c>
      <c r="E1261" s="4" t="s">
        <v>745</v>
      </c>
      <c r="F1261" t="s">
        <v>565</v>
      </c>
      <c r="G1261" t="s">
        <v>555</v>
      </c>
      <c r="J1261" s="4" t="s">
        <v>55</v>
      </c>
      <c r="K1261" s="4" t="s">
        <v>21</v>
      </c>
      <c r="L1261" s="4" t="s">
        <v>742</v>
      </c>
      <c r="M1261" s="17">
        <v>18</v>
      </c>
      <c r="N1261" s="17">
        <v>1182</v>
      </c>
      <c r="O1261" s="18" t="s">
        <v>55</v>
      </c>
      <c r="P1261" s="18">
        <v>1182</v>
      </c>
      <c r="Q1261" s="18">
        <v>18</v>
      </c>
      <c r="R1261" s="18"/>
      <c r="S1261" s="18"/>
      <c r="T1261" s="18"/>
      <c r="U12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61" s="19">
        <f>IF(AUDITORIA[[#This Row],[CAT]]="",0,1)</f>
        <v>1</v>
      </c>
      <c r="W1261" s="20">
        <v>46170</v>
      </c>
      <c r="X1261" s="21" t="str">
        <f>UPPER(IF(AUDITORIA[[#This Row],[DATA VERIFICAÇÃO]]="","",TEXT(AUDITORIA[[#This Row],[DATA VERIFICAÇÃO]],"mmm")))</f>
        <v>MAI</v>
      </c>
      <c r="Y1261" t="s">
        <v>598</v>
      </c>
      <c r="Z1261" t="s">
        <v>830</v>
      </c>
      <c r="AA1261" t="s">
        <v>600</v>
      </c>
    </row>
    <row r="1262" spans="1:27" ht="14.4" hidden="1" customHeight="1" x14ac:dyDescent="0.3">
      <c r="A1262" s="4" t="s">
        <v>279</v>
      </c>
      <c r="B1262" s="4" t="s">
        <v>17</v>
      </c>
      <c r="C1262" s="16" t="s">
        <v>18</v>
      </c>
      <c r="D1262" s="4">
        <v>11</v>
      </c>
      <c r="E1262" s="4" t="s">
        <v>745</v>
      </c>
      <c r="F1262" t="s">
        <v>573</v>
      </c>
      <c r="G1262" t="s">
        <v>555</v>
      </c>
      <c r="J1262" s="4" t="s">
        <v>55</v>
      </c>
      <c r="K1262" s="4" t="s">
        <v>21</v>
      </c>
      <c r="L1262" s="4" t="s">
        <v>742</v>
      </c>
      <c r="M1262" s="17">
        <v>4</v>
      </c>
      <c r="N1262" s="17">
        <v>1193</v>
      </c>
      <c r="O1262" s="18" t="s">
        <v>55</v>
      </c>
      <c r="P1262" s="18">
        <v>1193</v>
      </c>
      <c r="Q1262" s="18">
        <v>4</v>
      </c>
      <c r="R1262" s="18"/>
      <c r="S1262" s="18"/>
      <c r="T1262" s="18"/>
      <c r="U12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62" s="19">
        <f>IF(AUDITORIA[[#This Row],[CAT]]="",0,1)</f>
        <v>1</v>
      </c>
      <c r="W1262" s="20">
        <v>46170</v>
      </c>
      <c r="X1262" s="21" t="str">
        <f>UPPER(IF(AUDITORIA[[#This Row],[DATA VERIFICAÇÃO]]="","",TEXT(AUDITORIA[[#This Row],[DATA VERIFICAÇÃO]],"mmm")))</f>
        <v>MAI</v>
      </c>
      <c r="Y1262" t="s">
        <v>598</v>
      </c>
      <c r="Z1262" t="s">
        <v>830</v>
      </c>
      <c r="AA1262" t="s">
        <v>600</v>
      </c>
    </row>
    <row r="1263" spans="1:27" ht="14.4" hidden="1" customHeight="1" x14ac:dyDescent="0.3">
      <c r="A1263" s="4" t="s">
        <v>0</v>
      </c>
      <c r="B1263" s="4" t="s">
        <v>17</v>
      </c>
      <c r="C1263" s="16" t="s">
        <v>18</v>
      </c>
      <c r="D1263" s="4">
        <v>10</v>
      </c>
      <c r="E1263" s="4" t="s">
        <v>745</v>
      </c>
      <c r="F1263" t="s">
        <v>276</v>
      </c>
      <c r="G1263" t="s">
        <v>233</v>
      </c>
      <c r="J1263" s="4" t="s">
        <v>88</v>
      </c>
      <c r="K1263" s="4" t="s">
        <v>20</v>
      </c>
      <c r="L1263" s="4" t="s">
        <v>742</v>
      </c>
      <c r="M1263" s="17">
        <v>27</v>
      </c>
      <c r="N1263" s="17">
        <v>923</v>
      </c>
      <c r="O1263" s="18" t="s">
        <v>88</v>
      </c>
      <c r="P1263" s="18">
        <v>923</v>
      </c>
      <c r="Q1263" s="18">
        <v>27</v>
      </c>
      <c r="R1263" s="18" t="s">
        <v>817</v>
      </c>
      <c r="S1263" s="18" t="s">
        <v>825</v>
      </c>
      <c r="T1263" s="18" t="s">
        <v>780</v>
      </c>
      <c r="U12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63" s="19">
        <f>IF(AUDITORIA[[#This Row],[CAT]]="",0,1)</f>
        <v>1</v>
      </c>
      <c r="W1263" s="20">
        <v>46197</v>
      </c>
      <c r="X1263" s="21" t="str">
        <f>UPPER(IF(AUDITORIA[[#This Row],[DATA VERIFICAÇÃO]]="","",TEXT(AUDITORIA[[#This Row],[DATA VERIFICAÇÃO]],"mmm")))</f>
        <v>JUN</v>
      </c>
      <c r="Y1263" t="s">
        <v>598</v>
      </c>
      <c r="Z1263" t="s">
        <v>691</v>
      </c>
      <c r="AA1263" t="s">
        <v>832</v>
      </c>
    </row>
    <row r="1264" spans="1:27" ht="14.4" hidden="1" customHeight="1" x14ac:dyDescent="0.3">
      <c r="A1264" s="4" t="s">
        <v>0</v>
      </c>
      <c r="B1264" s="4" t="s">
        <v>17</v>
      </c>
      <c r="C1264" s="16" t="s">
        <v>18</v>
      </c>
      <c r="D1264" s="4">
        <v>10</v>
      </c>
      <c r="E1264" s="4" t="s">
        <v>745</v>
      </c>
      <c r="F1264" t="s">
        <v>275</v>
      </c>
      <c r="G1264" t="s">
        <v>233</v>
      </c>
      <c r="J1264" s="4" t="s">
        <v>88</v>
      </c>
      <c r="K1264" s="4" t="s">
        <v>20</v>
      </c>
      <c r="L1264" s="4" t="s">
        <v>742</v>
      </c>
      <c r="M1264" s="17">
        <v>30</v>
      </c>
      <c r="N1264" s="17">
        <v>868</v>
      </c>
      <c r="O1264" s="18" t="s">
        <v>88</v>
      </c>
      <c r="P1264" s="18">
        <v>868</v>
      </c>
      <c r="Q1264" s="18">
        <v>30</v>
      </c>
      <c r="R1264" s="18" t="s">
        <v>817</v>
      </c>
      <c r="S1264" s="18" t="s">
        <v>825</v>
      </c>
      <c r="T1264" s="18" t="s">
        <v>781</v>
      </c>
      <c r="U12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64" s="19">
        <f>IF(AUDITORIA[[#This Row],[CAT]]="",0,1)</f>
        <v>1</v>
      </c>
      <c r="W1264" s="20">
        <v>46197</v>
      </c>
      <c r="X1264" s="21" t="str">
        <f>UPPER(IF(AUDITORIA[[#This Row],[DATA VERIFICAÇÃO]]="","",TEXT(AUDITORIA[[#This Row],[DATA VERIFICAÇÃO]],"mmm")))</f>
        <v>JUN</v>
      </c>
      <c r="Y1264" t="s">
        <v>598</v>
      </c>
      <c r="Z1264" t="s">
        <v>691</v>
      </c>
      <c r="AA1264" t="s">
        <v>832</v>
      </c>
    </row>
    <row r="1265" spans="1:27" ht="14.4" hidden="1" customHeight="1" x14ac:dyDescent="0.3">
      <c r="A1265" s="4" t="s">
        <v>0</v>
      </c>
      <c r="B1265" s="4" t="s">
        <v>17</v>
      </c>
      <c r="C1265" s="16" t="s">
        <v>18</v>
      </c>
      <c r="D1265" s="4">
        <v>10</v>
      </c>
      <c r="E1265" s="4" t="s">
        <v>745</v>
      </c>
      <c r="F1265" t="s">
        <v>274</v>
      </c>
      <c r="G1265" t="s">
        <v>233</v>
      </c>
      <c r="J1265" s="4" t="s">
        <v>88</v>
      </c>
      <c r="K1265" s="4" t="s">
        <v>20</v>
      </c>
      <c r="L1265" s="4" t="s">
        <v>742</v>
      </c>
      <c r="M1265" s="17">
        <v>30</v>
      </c>
      <c r="N1265" s="17">
        <v>782</v>
      </c>
      <c r="O1265" s="18" t="s">
        <v>88</v>
      </c>
      <c r="P1265" s="18">
        <v>782</v>
      </c>
      <c r="Q1265" s="18">
        <v>30</v>
      </c>
      <c r="R1265" s="18" t="s">
        <v>817</v>
      </c>
      <c r="S1265" s="18" t="s">
        <v>825</v>
      </c>
      <c r="T1265" s="18" t="s">
        <v>782</v>
      </c>
      <c r="U12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65" s="19">
        <f>IF(AUDITORIA[[#This Row],[CAT]]="",0,1)</f>
        <v>1</v>
      </c>
      <c r="W1265" s="20">
        <v>46197</v>
      </c>
      <c r="X1265" s="21" t="str">
        <f>UPPER(IF(AUDITORIA[[#This Row],[DATA VERIFICAÇÃO]]="","",TEXT(AUDITORIA[[#This Row],[DATA VERIFICAÇÃO]],"mmm")))</f>
        <v>JUN</v>
      </c>
      <c r="Y1265" t="s">
        <v>598</v>
      </c>
      <c r="Z1265" t="s">
        <v>691</v>
      </c>
      <c r="AA1265" t="s">
        <v>832</v>
      </c>
    </row>
    <row r="1266" spans="1:27" ht="14.4" hidden="1" customHeight="1" x14ac:dyDescent="0.3">
      <c r="A1266" s="4" t="s">
        <v>0</v>
      </c>
      <c r="B1266" s="4" t="s">
        <v>17</v>
      </c>
      <c r="C1266" s="16" t="s">
        <v>18</v>
      </c>
      <c r="D1266" s="4">
        <v>10</v>
      </c>
      <c r="E1266" s="4" t="s">
        <v>745</v>
      </c>
      <c r="F1266" t="s">
        <v>253</v>
      </c>
      <c r="G1266" t="s">
        <v>233</v>
      </c>
      <c r="J1266" s="4" t="s">
        <v>88</v>
      </c>
      <c r="K1266" s="4" t="s">
        <v>21</v>
      </c>
      <c r="L1266" s="4" t="s">
        <v>742</v>
      </c>
      <c r="M1266" s="17">
        <v>27</v>
      </c>
      <c r="N1266" s="17">
        <v>964</v>
      </c>
      <c r="O1266" s="18" t="s">
        <v>88</v>
      </c>
      <c r="P1266" s="18">
        <v>964</v>
      </c>
      <c r="Q1266" s="18">
        <v>27</v>
      </c>
      <c r="R1266" s="18" t="s">
        <v>817</v>
      </c>
      <c r="S1266" s="18" t="s">
        <v>823</v>
      </c>
      <c r="T1266" s="18" t="s">
        <v>780</v>
      </c>
      <c r="U12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66" s="19">
        <f>IF(AUDITORIA[[#This Row],[CAT]]="",0,1)</f>
        <v>1</v>
      </c>
      <c r="W1266" s="20">
        <v>46197</v>
      </c>
      <c r="X1266" s="21" t="str">
        <f>UPPER(IF(AUDITORIA[[#This Row],[DATA VERIFICAÇÃO]]="","",TEXT(AUDITORIA[[#This Row],[DATA VERIFICAÇÃO]],"mmm")))</f>
        <v>JUN</v>
      </c>
      <c r="Y1266" t="s">
        <v>598</v>
      </c>
      <c r="Z1266" t="s">
        <v>691</v>
      </c>
      <c r="AA1266" t="s">
        <v>832</v>
      </c>
    </row>
    <row r="1267" spans="1:27" ht="14.4" hidden="1" customHeight="1" x14ac:dyDescent="0.3">
      <c r="A1267" s="4" t="s">
        <v>0</v>
      </c>
      <c r="B1267" s="4" t="s">
        <v>17</v>
      </c>
      <c r="C1267" s="16" t="s">
        <v>18</v>
      </c>
      <c r="D1267" s="4">
        <v>10</v>
      </c>
      <c r="E1267" s="4" t="s">
        <v>745</v>
      </c>
      <c r="F1267" t="s">
        <v>254</v>
      </c>
      <c r="G1267" t="s">
        <v>233</v>
      </c>
      <c r="J1267" s="4" t="s">
        <v>88</v>
      </c>
      <c r="K1267" s="4" t="s">
        <v>21</v>
      </c>
      <c r="L1267" s="4" t="s">
        <v>742</v>
      </c>
      <c r="M1267" s="17">
        <v>9</v>
      </c>
      <c r="N1267" s="17">
        <v>1127</v>
      </c>
      <c r="O1267" s="18" t="s">
        <v>88</v>
      </c>
      <c r="P1267" s="18">
        <v>1127</v>
      </c>
      <c r="Q1267" s="18">
        <v>9</v>
      </c>
      <c r="R1267" s="18" t="s">
        <v>817</v>
      </c>
      <c r="S1267" s="18" t="s">
        <v>827</v>
      </c>
      <c r="T1267" s="18" t="s">
        <v>780</v>
      </c>
      <c r="U12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67" s="19">
        <f>IF(AUDITORIA[[#This Row],[CAT]]="",0,1)</f>
        <v>1</v>
      </c>
      <c r="W1267" s="20">
        <v>46197</v>
      </c>
      <c r="X1267" s="21" t="str">
        <f>UPPER(IF(AUDITORIA[[#This Row],[DATA VERIFICAÇÃO]]="","",TEXT(AUDITORIA[[#This Row],[DATA VERIFICAÇÃO]],"mmm")))</f>
        <v>JUN</v>
      </c>
      <c r="Y1267" t="s">
        <v>598</v>
      </c>
      <c r="Z1267" t="s">
        <v>691</v>
      </c>
      <c r="AA1267" t="s">
        <v>832</v>
      </c>
    </row>
    <row r="1268" spans="1:27" ht="14.4" hidden="1" customHeight="1" x14ac:dyDescent="0.3">
      <c r="A1268" s="4" t="s">
        <v>0</v>
      </c>
      <c r="B1268" s="4" t="s">
        <v>17</v>
      </c>
      <c r="C1268" s="16" t="s">
        <v>18</v>
      </c>
      <c r="D1268" s="4">
        <v>10</v>
      </c>
      <c r="E1268" s="4" t="s">
        <v>745</v>
      </c>
      <c r="F1268" t="s">
        <v>273</v>
      </c>
      <c r="G1268" t="s">
        <v>233</v>
      </c>
      <c r="J1268" s="4" t="s">
        <v>88</v>
      </c>
      <c r="K1268" s="4" t="s">
        <v>20</v>
      </c>
      <c r="L1268" s="4" t="s">
        <v>742</v>
      </c>
      <c r="M1268" s="17">
        <v>30</v>
      </c>
      <c r="N1268" s="17">
        <v>795</v>
      </c>
      <c r="O1268" s="18" t="s">
        <v>88</v>
      </c>
      <c r="P1268" s="18">
        <v>795</v>
      </c>
      <c r="Q1268" s="18">
        <v>30</v>
      </c>
      <c r="R1268" s="18" t="s">
        <v>817</v>
      </c>
      <c r="S1268" s="18" t="s">
        <v>824</v>
      </c>
      <c r="T1268" s="18" t="s">
        <v>780</v>
      </c>
      <c r="U12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68" s="19">
        <f>IF(AUDITORIA[[#This Row],[CAT]]="",0,1)</f>
        <v>1</v>
      </c>
      <c r="W1268" s="20">
        <v>46197</v>
      </c>
      <c r="X1268" s="21" t="str">
        <f>UPPER(IF(AUDITORIA[[#This Row],[DATA VERIFICAÇÃO]]="","",TEXT(AUDITORIA[[#This Row],[DATA VERIFICAÇÃO]],"mmm")))</f>
        <v>JUN</v>
      </c>
      <c r="Y1268" t="s">
        <v>598</v>
      </c>
      <c r="Z1268" t="s">
        <v>691</v>
      </c>
      <c r="AA1268" t="s">
        <v>832</v>
      </c>
    </row>
    <row r="1269" spans="1:27" ht="14.4" hidden="1" customHeight="1" x14ac:dyDescent="0.3">
      <c r="A1269" s="4" t="s">
        <v>0</v>
      </c>
      <c r="B1269" s="4" t="s">
        <v>17</v>
      </c>
      <c r="C1269" s="16" t="s">
        <v>18</v>
      </c>
      <c r="D1269" s="4">
        <v>10</v>
      </c>
      <c r="E1269" s="4" t="s">
        <v>745</v>
      </c>
      <c r="F1269" t="s">
        <v>272</v>
      </c>
      <c r="G1269" t="s">
        <v>233</v>
      </c>
      <c r="J1269" s="4" t="s">
        <v>88</v>
      </c>
      <c r="K1269" s="4" t="s">
        <v>20</v>
      </c>
      <c r="L1269" s="4" t="s">
        <v>742</v>
      </c>
      <c r="M1269" s="17">
        <v>30</v>
      </c>
      <c r="N1269" s="17">
        <v>790</v>
      </c>
      <c r="O1269" s="18" t="s">
        <v>88</v>
      </c>
      <c r="P1269" s="18">
        <v>790</v>
      </c>
      <c r="Q1269" s="18">
        <v>30</v>
      </c>
      <c r="R1269" s="18" t="s">
        <v>817</v>
      </c>
      <c r="S1269" s="18" t="s">
        <v>824</v>
      </c>
      <c r="T1269" s="18" t="s">
        <v>781</v>
      </c>
      <c r="U12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69" s="19">
        <f>IF(AUDITORIA[[#This Row],[CAT]]="",0,1)</f>
        <v>1</v>
      </c>
      <c r="W1269" s="20">
        <v>46197</v>
      </c>
      <c r="X1269" s="21" t="str">
        <f>UPPER(IF(AUDITORIA[[#This Row],[DATA VERIFICAÇÃO]]="","",TEXT(AUDITORIA[[#This Row],[DATA VERIFICAÇÃO]],"mmm")))</f>
        <v>JUN</v>
      </c>
      <c r="Y1269" t="s">
        <v>598</v>
      </c>
      <c r="Z1269" t="s">
        <v>691</v>
      </c>
      <c r="AA1269" t="s">
        <v>832</v>
      </c>
    </row>
    <row r="1270" spans="1:27" ht="14.4" hidden="1" customHeight="1" x14ac:dyDescent="0.3">
      <c r="A1270" s="4" t="s">
        <v>0</v>
      </c>
      <c r="B1270" s="4" t="s">
        <v>17</v>
      </c>
      <c r="C1270" s="16" t="s">
        <v>18</v>
      </c>
      <c r="D1270" s="4">
        <v>10</v>
      </c>
      <c r="E1270" s="4" t="s">
        <v>745</v>
      </c>
      <c r="F1270" t="s">
        <v>252</v>
      </c>
      <c r="G1270" t="s">
        <v>233</v>
      </c>
      <c r="J1270" s="4" t="s">
        <v>88</v>
      </c>
      <c r="K1270" s="4" t="s">
        <v>21</v>
      </c>
      <c r="L1270" s="4" t="s">
        <v>742</v>
      </c>
      <c r="M1270" s="17">
        <v>27</v>
      </c>
      <c r="N1270" s="17">
        <v>946</v>
      </c>
      <c r="O1270" s="18" t="s">
        <v>88</v>
      </c>
      <c r="P1270" s="18">
        <v>946</v>
      </c>
      <c r="Q1270" s="18">
        <v>27</v>
      </c>
      <c r="R1270" s="18" t="s">
        <v>817</v>
      </c>
      <c r="S1270" s="18" t="s">
        <v>823</v>
      </c>
      <c r="T1270" s="18" t="s">
        <v>781</v>
      </c>
      <c r="U12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70" s="19">
        <f>IF(AUDITORIA[[#This Row],[CAT]]="",0,1)</f>
        <v>1</v>
      </c>
      <c r="W1270" s="20">
        <v>46197</v>
      </c>
      <c r="X1270" s="21" t="str">
        <f>UPPER(IF(AUDITORIA[[#This Row],[DATA VERIFICAÇÃO]]="","",TEXT(AUDITORIA[[#This Row],[DATA VERIFICAÇÃO]],"mmm")))</f>
        <v>JUN</v>
      </c>
      <c r="Y1270" t="s">
        <v>598</v>
      </c>
      <c r="Z1270" t="s">
        <v>691</v>
      </c>
      <c r="AA1270" t="s">
        <v>832</v>
      </c>
    </row>
    <row r="1271" spans="1:27" ht="14.4" hidden="1" customHeight="1" x14ac:dyDescent="0.3">
      <c r="A1271" s="4" t="s">
        <v>0</v>
      </c>
      <c r="B1271" s="4" t="s">
        <v>17</v>
      </c>
      <c r="C1271" s="16" t="s">
        <v>18</v>
      </c>
      <c r="D1271" s="4">
        <v>10</v>
      </c>
      <c r="E1271" s="4" t="s">
        <v>745</v>
      </c>
      <c r="F1271" t="s">
        <v>271</v>
      </c>
      <c r="G1271" t="s">
        <v>233</v>
      </c>
      <c r="J1271" s="4" t="s">
        <v>88</v>
      </c>
      <c r="K1271" s="4" t="s">
        <v>20</v>
      </c>
      <c r="L1271" s="4" t="s">
        <v>742</v>
      </c>
      <c r="M1271" s="17">
        <v>30</v>
      </c>
      <c r="N1271" s="17">
        <v>791</v>
      </c>
      <c r="O1271" s="18" t="s">
        <v>88</v>
      </c>
      <c r="P1271" s="18">
        <v>791</v>
      </c>
      <c r="Q1271" s="18">
        <v>30</v>
      </c>
      <c r="R1271" s="18" t="s">
        <v>817</v>
      </c>
      <c r="S1271" s="18" t="s">
        <v>824</v>
      </c>
      <c r="T1271" s="18" t="s">
        <v>782</v>
      </c>
      <c r="U12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71" s="19">
        <f>IF(AUDITORIA[[#This Row],[CAT]]="",0,1)</f>
        <v>1</v>
      </c>
      <c r="W1271" s="20">
        <v>46197</v>
      </c>
      <c r="X1271" s="21" t="str">
        <f>UPPER(IF(AUDITORIA[[#This Row],[DATA VERIFICAÇÃO]]="","",TEXT(AUDITORIA[[#This Row],[DATA VERIFICAÇÃO]],"mmm")))</f>
        <v>JUN</v>
      </c>
      <c r="Y1271" t="s">
        <v>598</v>
      </c>
      <c r="Z1271" t="s">
        <v>691</v>
      </c>
      <c r="AA1271" t="s">
        <v>832</v>
      </c>
    </row>
    <row r="1272" spans="1:27" ht="14.4" hidden="1" customHeight="1" x14ac:dyDescent="0.3">
      <c r="A1272" s="4" t="s">
        <v>0</v>
      </c>
      <c r="B1272" s="4" t="s">
        <v>17</v>
      </c>
      <c r="C1272" s="16" t="s">
        <v>18</v>
      </c>
      <c r="D1272" s="4">
        <v>10</v>
      </c>
      <c r="E1272" s="4" t="s">
        <v>745</v>
      </c>
      <c r="F1272" t="s">
        <v>270</v>
      </c>
      <c r="G1272" t="s">
        <v>233</v>
      </c>
      <c r="J1272" s="4" t="s">
        <v>88</v>
      </c>
      <c r="K1272" s="4" t="s">
        <v>20</v>
      </c>
      <c r="L1272" s="4" t="s">
        <v>742</v>
      </c>
      <c r="M1272" s="17">
        <v>30</v>
      </c>
      <c r="N1272" s="17">
        <v>790</v>
      </c>
      <c r="O1272" s="18" t="s">
        <v>88</v>
      </c>
      <c r="P1272" s="18">
        <v>790</v>
      </c>
      <c r="Q1272" s="18">
        <v>30</v>
      </c>
      <c r="R1272" s="18" t="s">
        <v>817</v>
      </c>
      <c r="S1272" s="18" t="s">
        <v>824</v>
      </c>
      <c r="T1272" s="18" t="s">
        <v>794</v>
      </c>
      <c r="U12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72" s="19">
        <f>IF(AUDITORIA[[#This Row],[CAT]]="",0,1)</f>
        <v>1</v>
      </c>
      <c r="W1272" s="20">
        <v>46197</v>
      </c>
      <c r="X1272" s="21" t="str">
        <f>UPPER(IF(AUDITORIA[[#This Row],[DATA VERIFICAÇÃO]]="","",TEXT(AUDITORIA[[#This Row],[DATA VERIFICAÇÃO]],"mmm")))</f>
        <v>JUN</v>
      </c>
      <c r="Y1272" t="s">
        <v>598</v>
      </c>
      <c r="Z1272" t="s">
        <v>691</v>
      </c>
      <c r="AA1272" t="s">
        <v>832</v>
      </c>
    </row>
    <row r="1273" spans="1:27" ht="14.4" hidden="1" customHeight="1" x14ac:dyDescent="0.3">
      <c r="A1273" s="4" t="s">
        <v>0</v>
      </c>
      <c r="B1273" s="4" t="s">
        <v>17</v>
      </c>
      <c r="C1273" s="16" t="s">
        <v>18</v>
      </c>
      <c r="D1273" s="4">
        <v>10</v>
      </c>
      <c r="E1273" s="4" t="s">
        <v>745</v>
      </c>
      <c r="F1273" t="s">
        <v>251</v>
      </c>
      <c r="G1273" t="s">
        <v>233</v>
      </c>
      <c r="J1273" s="4" t="s">
        <v>88</v>
      </c>
      <c r="K1273" s="4" t="s">
        <v>21</v>
      </c>
      <c r="L1273" s="4" t="s">
        <v>742</v>
      </c>
      <c r="M1273" s="17">
        <v>27</v>
      </c>
      <c r="N1273" s="17">
        <v>955</v>
      </c>
      <c r="O1273" s="18" t="s">
        <v>88</v>
      </c>
      <c r="P1273" s="18">
        <v>955</v>
      </c>
      <c r="Q1273" s="18">
        <v>27</v>
      </c>
      <c r="R1273" s="18" t="s">
        <v>817</v>
      </c>
      <c r="S1273" s="18" t="s">
        <v>823</v>
      </c>
      <c r="T1273" s="18" t="s">
        <v>782</v>
      </c>
      <c r="U12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73" s="19">
        <f>IF(AUDITORIA[[#This Row],[CAT]]="",0,1)</f>
        <v>1</v>
      </c>
      <c r="W1273" s="20">
        <v>46197</v>
      </c>
      <c r="X1273" s="21" t="str">
        <f>UPPER(IF(AUDITORIA[[#This Row],[DATA VERIFICAÇÃO]]="","",TEXT(AUDITORIA[[#This Row],[DATA VERIFICAÇÃO]],"mmm")))</f>
        <v>JUN</v>
      </c>
      <c r="Y1273" t="s">
        <v>598</v>
      </c>
      <c r="Z1273" t="s">
        <v>691</v>
      </c>
      <c r="AA1273" t="s">
        <v>832</v>
      </c>
    </row>
    <row r="1274" spans="1:27" ht="14.4" hidden="1" customHeight="1" x14ac:dyDescent="0.3">
      <c r="A1274" s="4" t="s">
        <v>0</v>
      </c>
      <c r="B1274" s="4" t="s">
        <v>17</v>
      </c>
      <c r="C1274" s="16" t="s">
        <v>18</v>
      </c>
      <c r="D1274" s="4">
        <v>10</v>
      </c>
      <c r="E1274" s="4" t="s">
        <v>745</v>
      </c>
      <c r="F1274" t="s">
        <v>269</v>
      </c>
      <c r="G1274" t="s">
        <v>233</v>
      </c>
      <c r="J1274" s="4" t="s">
        <v>88</v>
      </c>
      <c r="K1274" s="4" t="s">
        <v>20</v>
      </c>
      <c r="L1274" s="4" t="s">
        <v>742</v>
      </c>
      <c r="M1274" s="17">
        <v>30</v>
      </c>
      <c r="N1274" s="17">
        <v>775</v>
      </c>
      <c r="O1274" s="18" t="s">
        <v>88</v>
      </c>
      <c r="P1274" s="18">
        <v>775</v>
      </c>
      <c r="Q1274" s="18">
        <v>30</v>
      </c>
      <c r="R1274" s="18" t="s">
        <v>817</v>
      </c>
      <c r="S1274" s="18" t="s">
        <v>822</v>
      </c>
      <c r="T1274" s="18" t="s">
        <v>780</v>
      </c>
      <c r="U12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74" s="19">
        <f>IF(AUDITORIA[[#This Row],[CAT]]="",0,1)</f>
        <v>1</v>
      </c>
      <c r="W1274" s="20">
        <v>46197</v>
      </c>
      <c r="X1274" s="21" t="str">
        <f>UPPER(IF(AUDITORIA[[#This Row],[DATA VERIFICAÇÃO]]="","",TEXT(AUDITORIA[[#This Row],[DATA VERIFICAÇÃO]],"mmm")))</f>
        <v>JUN</v>
      </c>
      <c r="Y1274" t="s">
        <v>598</v>
      </c>
      <c r="Z1274" t="s">
        <v>691</v>
      </c>
      <c r="AA1274" t="s">
        <v>832</v>
      </c>
    </row>
    <row r="1275" spans="1:27" ht="14.4" hidden="1" customHeight="1" x14ac:dyDescent="0.3">
      <c r="A1275" s="4" t="s">
        <v>0</v>
      </c>
      <c r="B1275" s="4" t="s">
        <v>17</v>
      </c>
      <c r="C1275" s="16" t="s">
        <v>18</v>
      </c>
      <c r="D1275" s="4">
        <v>10</v>
      </c>
      <c r="E1275" s="4" t="s">
        <v>745</v>
      </c>
      <c r="F1275" t="s">
        <v>250</v>
      </c>
      <c r="G1275" t="s">
        <v>233</v>
      </c>
      <c r="J1275" s="4" t="s">
        <v>88</v>
      </c>
      <c r="K1275" s="4" t="s">
        <v>21</v>
      </c>
      <c r="L1275" s="4" t="s">
        <v>742</v>
      </c>
      <c r="M1275" s="17">
        <v>27</v>
      </c>
      <c r="N1275" s="17">
        <v>964</v>
      </c>
      <c r="O1275" s="18" t="s">
        <v>88</v>
      </c>
      <c r="P1275" s="18">
        <v>964</v>
      </c>
      <c r="Q1275" s="18">
        <v>27</v>
      </c>
      <c r="R1275" s="18" t="s">
        <v>817</v>
      </c>
      <c r="S1275" s="18" t="s">
        <v>823</v>
      </c>
      <c r="T1275" s="18" t="s">
        <v>794</v>
      </c>
      <c r="U12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75" s="19">
        <f>IF(AUDITORIA[[#This Row],[CAT]]="",0,1)</f>
        <v>1</v>
      </c>
      <c r="W1275" s="20">
        <v>46197</v>
      </c>
      <c r="X1275" s="21" t="str">
        <f>UPPER(IF(AUDITORIA[[#This Row],[DATA VERIFICAÇÃO]]="","",TEXT(AUDITORIA[[#This Row],[DATA VERIFICAÇÃO]],"mmm")))</f>
        <v>JUN</v>
      </c>
      <c r="Y1275" t="s">
        <v>598</v>
      </c>
      <c r="Z1275" t="s">
        <v>691</v>
      </c>
      <c r="AA1275" t="s">
        <v>832</v>
      </c>
    </row>
    <row r="1276" spans="1:27" ht="14.4" hidden="1" customHeight="1" x14ac:dyDescent="0.3">
      <c r="A1276" s="4" t="s">
        <v>0</v>
      </c>
      <c r="B1276" s="4" t="s">
        <v>17</v>
      </c>
      <c r="C1276" s="16" t="s">
        <v>18</v>
      </c>
      <c r="D1276" s="4">
        <v>10</v>
      </c>
      <c r="E1276" s="4" t="s">
        <v>745</v>
      </c>
      <c r="F1276" t="s">
        <v>268</v>
      </c>
      <c r="G1276" t="s">
        <v>233</v>
      </c>
      <c r="J1276" s="4" t="s">
        <v>88</v>
      </c>
      <c r="K1276" s="4" t="s">
        <v>20</v>
      </c>
      <c r="L1276" s="4" t="s">
        <v>742</v>
      </c>
      <c r="M1276" s="17">
        <v>30</v>
      </c>
      <c r="N1276" s="17">
        <v>800</v>
      </c>
      <c r="O1276" s="18" t="s">
        <v>88</v>
      </c>
      <c r="P1276" s="18">
        <v>800</v>
      </c>
      <c r="Q1276" s="18">
        <v>30</v>
      </c>
      <c r="R1276" s="18" t="s">
        <v>817</v>
      </c>
      <c r="S1276" s="18" t="s">
        <v>825</v>
      </c>
      <c r="T1276" s="18" t="s">
        <v>794</v>
      </c>
      <c r="U12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76" s="19">
        <f>IF(AUDITORIA[[#This Row],[CAT]]="",0,1)</f>
        <v>1</v>
      </c>
      <c r="W1276" s="20">
        <v>46197</v>
      </c>
      <c r="X1276" s="21" t="str">
        <f>UPPER(IF(AUDITORIA[[#This Row],[DATA VERIFICAÇÃO]]="","",TEXT(AUDITORIA[[#This Row],[DATA VERIFICAÇÃO]],"mmm")))</f>
        <v>JUN</v>
      </c>
      <c r="Y1276" t="s">
        <v>598</v>
      </c>
      <c r="Z1276" t="s">
        <v>691</v>
      </c>
      <c r="AA1276" t="s">
        <v>832</v>
      </c>
    </row>
    <row r="1277" spans="1:27" ht="14.4" hidden="1" customHeight="1" x14ac:dyDescent="0.3">
      <c r="A1277" s="4" t="s">
        <v>0</v>
      </c>
      <c r="B1277" s="4" t="s">
        <v>17</v>
      </c>
      <c r="C1277" s="16" t="s">
        <v>18</v>
      </c>
      <c r="D1277" s="4">
        <v>10</v>
      </c>
      <c r="E1277" s="4" t="s">
        <v>745</v>
      </c>
      <c r="F1277" t="s">
        <v>267</v>
      </c>
      <c r="G1277" t="s">
        <v>233</v>
      </c>
      <c r="J1277" s="4" t="s">
        <v>88</v>
      </c>
      <c r="K1277" s="4" t="s">
        <v>20</v>
      </c>
      <c r="L1277" s="4" t="s">
        <v>742</v>
      </c>
      <c r="M1277" s="17">
        <v>30</v>
      </c>
      <c r="N1277" s="17">
        <v>787</v>
      </c>
      <c r="O1277" s="18" t="s">
        <v>88</v>
      </c>
      <c r="P1277" s="18">
        <v>787</v>
      </c>
      <c r="Q1277" s="18">
        <v>30</v>
      </c>
      <c r="R1277" s="18" t="s">
        <v>817</v>
      </c>
      <c r="S1277" s="18" t="s">
        <v>822</v>
      </c>
      <c r="T1277" s="18" t="s">
        <v>781</v>
      </c>
      <c r="U12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77" s="19">
        <f>IF(AUDITORIA[[#This Row],[CAT]]="",0,1)</f>
        <v>1</v>
      </c>
      <c r="W1277" s="20">
        <v>46197</v>
      </c>
      <c r="X1277" s="21" t="str">
        <f>UPPER(IF(AUDITORIA[[#This Row],[DATA VERIFICAÇÃO]]="","",TEXT(AUDITORIA[[#This Row],[DATA VERIFICAÇÃO]],"mmm")))</f>
        <v>JUN</v>
      </c>
      <c r="Y1277" t="s">
        <v>598</v>
      </c>
      <c r="Z1277" t="s">
        <v>691</v>
      </c>
      <c r="AA1277" t="s">
        <v>832</v>
      </c>
    </row>
    <row r="1278" spans="1:27" ht="14.4" hidden="1" customHeight="1" x14ac:dyDescent="0.3">
      <c r="A1278" s="4" t="s">
        <v>0</v>
      </c>
      <c r="B1278" s="4" t="s">
        <v>17</v>
      </c>
      <c r="C1278" s="16" t="s">
        <v>18</v>
      </c>
      <c r="D1278" s="4">
        <v>10</v>
      </c>
      <c r="E1278" s="4" t="s">
        <v>745</v>
      </c>
      <c r="F1278" t="s">
        <v>265</v>
      </c>
      <c r="G1278" t="s">
        <v>233</v>
      </c>
      <c r="J1278" s="4" t="s">
        <v>88</v>
      </c>
      <c r="K1278" s="4" t="s">
        <v>20</v>
      </c>
      <c r="L1278" s="4" t="s">
        <v>742</v>
      </c>
      <c r="M1278" s="17">
        <v>30</v>
      </c>
      <c r="N1278" s="17">
        <v>804</v>
      </c>
      <c r="O1278" s="18" t="s">
        <v>88</v>
      </c>
      <c r="P1278" s="18">
        <v>804</v>
      </c>
      <c r="Q1278" s="18">
        <v>30</v>
      </c>
      <c r="R1278" s="18" t="s">
        <v>817</v>
      </c>
      <c r="S1278" s="18" t="s">
        <v>779</v>
      </c>
      <c r="T1278" s="18" t="s">
        <v>780</v>
      </c>
      <c r="U12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78" s="19">
        <f>IF(AUDITORIA[[#This Row],[CAT]]="",0,1)</f>
        <v>1</v>
      </c>
      <c r="W1278" s="20">
        <v>46197</v>
      </c>
      <c r="X1278" s="21" t="str">
        <f>UPPER(IF(AUDITORIA[[#This Row],[DATA VERIFICAÇÃO]]="","",TEXT(AUDITORIA[[#This Row],[DATA VERIFICAÇÃO]],"mmm")))</f>
        <v>JUN</v>
      </c>
      <c r="Y1278" t="s">
        <v>598</v>
      </c>
      <c r="Z1278" t="s">
        <v>691</v>
      </c>
      <c r="AA1278" t="s">
        <v>832</v>
      </c>
    </row>
    <row r="1279" spans="1:27" ht="14.4" hidden="1" customHeight="1" x14ac:dyDescent="0.3">
      <c r="A1279" s="4" t="s">
        <v>0</v>
      </c>
      <c r="B1279" s="4" t="s">
        <v>17</v>
      </c>
      <c r="C1279" s="16" t="s">
        <v>18</v>
      </c>
      <c r="D1279" s="4">
        <v>10</v>
      </c>
      <c r="E1279" s="4" t="s">
        <v>745</v>
      </c>
      <c r="F1279" t="s">
        <v>248</v>
      </c>
      <c r="G1279" t="s">
        <v>233</v>
      </c>
      <c r="J1279" s="4" t="s">
        <v>88</v>
      </c>
      <c r="K1279" s="4" t="s">
        <v>21</v>
      </c>
      <c r="L1279" s="4" t="s">
        <v>742</v>
      </c>
      <c r="M1279" s="17">
        <v>27</v>
      </c>
      <c r="N1279" s="17">
        <v>973</v>
      </c>
      <c r="O1279" s="18" t="s">
        <v>88</v>
      </c>
      <c r="P1279" s="18">
        <v>973</v>
      </c>
      <c r="Q1279" s="18">
        <v>27</v>
      </c>
      <c r="R1279" s="18" t="s">
        <v>817</v>
      </c>
      <c r="S1279" s="18" t="s">
        <v>821</v>
      </c>
      <c r="T1279" s="18" t="s">
        <v>781</v>
      </c>
      <c r="U12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79" s="19">
        <f>IF(AUDITORIA[[#This Row],[CAT]]="",0,1)</f>
        <v>1</v>
      </c>
      <c r="W1279" s="20">
        <v>46197</v>
      </c>
      <c r="X1279" s="21" t="str">
        <f>UPPER(IF(AUDITORIA[[#This Row],[DATA VERIFICAÇÃO]]="","",TEXT(AUDITORIA[[#This Row],[DATA VERIFICAÇÃO]],"mmm")))</f>
        <v>JUN</v>
      </c>
      <c r="Y1279" t="s">
        <v>598</v>
      </c>
      <c r="Z1279" t="s">
        <v>691</v>
      </c>
      <c r="AA1279" t="s">
        <v>832</v>
      </c>
    </row>
    <row r="1280" spans="1:27" ht="14.4" hidden="1" customHeight="1" x14ac:dyDescent="0.3">
      <c r="A1280" s="4" t="s">
        <v>0</v>
      </c>
      <c r="B1280" s="4" t="s">
        <v>17</v>
      </c>
      <c r="C1280" s="16" t="s">
        <v>18</v>
      </c>
      <c r="D1280" s="4">
        <v>10</v>
      </c>
      <c r="E1280" s="4" t="s">
        <v>745</v>
      </c>
      <c r="F1280" t="s">
        <v>249</v>
      </c>
      <c r="G1280" t="s">
        <v>233</v>
      </c>
      <c r="J1280" s="4" t="s">
        <v>88</v>
      </c>
      <c r="K1280" s="4" t="s">
        <v>21</v>
      </c>
      <c r="L1280" s="4" t="s">
        <v>742</v>
      </c>
      <c r="M1280" s="17">
        <v>27</v>
      </c>
      <c r="N1280" s="17">
        <v>949</v>
      </c>
      <c r="O1280" s="18" t="s">
        <v>88</v>
      </c>
      <c r="P1280" s="18">
        <v>949</v>
      </c>
      <c r="Q1280" s="18">
        <v>27</v>
      </c>
      <c r="R1280" s="18" t="s">
        <v>817</v>
      </c>
      <c r="S1280" s="18" t="s">
        <v>821</v>
      </c>
      <c r="T1280" s="18" t="s">
        <v>780</v>
      </c>
      <c r="U12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80" s="19">
        <f>IF(AUDITORIA[[#This Row],[CAT]]="",0,1)</f>
        <v>1</v>
      </c>
      <c r="W1280" s="20">
        <v>46197</v>
      </c>
      <c r="X1280" s="21" t="str">
        <f>UPPER(IF(AUDITORIA[[#This Row],[DATA VERIFICAÇÃO]]="","",TEXT(AUDITORIA[[#This Row],[DATA VERIFICAÇÃO]],"mmm")))</f>
        <v>JUN</v>
      </c>
      <c r="Y1280" t="s">
        <v>598</v>
      </c>
      <c r="Z1280" t="s">
        <v>691</v>
      </c>
      <c r="AA1280" t="s">
        <v>832</v>
      </c>
    </row>
    <row r="1281" spans="1:27" ht="14.4" hidden="1" customHeight="1" x14ac:dyDescent="0.3">
      <c r="A1281" s="4" t="s">
        <v>0</v>
      </c>
      <c r="B1281" s="4" t="s">
        <v>17</v>
      </c>
      <c r="C1281" s="16" t="s">
        <v>18</v>
      </c>
      <c r="D1281" s="4">
        <v>10</v>
      </c>
      <c r="E1281" s="4" t="s">
        <v>745</v>
      </c>
      <c r="F1281" t="s">
        <v>266</v>
      </c>
      <c r="G1281" t="s">
        <v>233</v>
      </c>
      <c r="J1281" s="4" t="s">
        <v>88</v>
      </c>
      <c r="K1281" s="4" t="s">
        <v>20</v>
      </c>
      <c r="L1281" s="4" t="s">
        <v>742</v>
      </c>
      <c r="M1281" s="17">
        <v>30</v>
      </c>
      <c r="N1281" s="17">
        <v>798</v>
      </c>
      <c r="O1281" s="18" t="s">
        <v>88</v>
      </c>
      <c r="P1281" s="18">
        <v>798</v>
      </c>
      <c r="Q1281" s="18">
        <v>30</v>
      </c>
      <c r="R1281" s="18" t="s">
        <v>817</v>
      </c>
      <c r="S1281" s="18" t="s">
        <v>822</v>
      </c>
      <c r="T1281" s="18" t="s">
        <v>782</v>
      </c>
      <c r="U12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81" s="19">
        <f>IF(AUDITORIA[[#This Row],[CAT]]="",0,1)</f>
        <v>1</v>
      </c>
      <c r="W1281" s="20">
        <v>46197</v>
      </c>
      <c r="X1281" s="21" t="str">
        <f>UPPER(IF(AUDITORIA[[#This Row],[DATA VERIFICAÇÃO]]="","",TEXT(AUDITORIA[[#This Row],[DATA VERIFICAÇÃO]],"mmm")))</f>
        <v>JUN</v>
      </c>
      <c r="Y1281" t="s">
        <v>598</v>
      </c>
      <c r="Z1281" t="s">
        <v>691</v>
      </c>
      <c r="AA1281" t="s">
        <v>832</v>
      </c>
    </row>
    <row r="1282" spans="1:27" ht="14.4" hidden="1" customHeight="1" x14ac:dyDescent="0.3">
      <c r="A1282" s="4" t="s">
        <v>0</v>
      </c>
      <c r="B1282" s="4" t="s">
        <v>17</v>
      </c>
      <c r="C1282" s="16" t="s">
        <v>18</v>
      </c>
      <c r="D1282" s="4">
        <v>10</v>
      </c>
      <c r="E1282" s="4" t="s">
        <v>745</v>
      </c>
      <c r="F1282" t="s">
        <v>247</v>
      </c>
      <c r="G1282" t="s">
        <v>233</v>
      </c>
      <c r="J1282" s="4" t="s">
        <v>88</v>
      </c>
      <c r="K1282" s="4" t="s">
        <v>21</v>
      </c>
      <c r="L1282" s="4" t="s">
        <v>742</v>
      </c>
      <c r="M1282" s="17">
        <v>27</v>
      </c>
      <c r="N1282" s="17">
        <v>998</v>
      </c>
      <c r="O1282" s="18" t="s">
        <v>88</v>
      </c>
      <c r="P1282" s="18">
        <v>998</v>
      </c>
      <c r="Q1282" s="18">
        <v>27</v>
      </c>
      <c r="R1282" s="18" t="s">
        <v>817</v>
      </c>
      <c r="S1282" s="18" t="s">
        <v>821</v>
      </c>
      <c r="T1282" s="18" t="s">
        <v>794</v>
      </c>
      <c r="U12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82" s="19">
        <f>IF(AUDITORIA[[#This Row],[CAT]]="",0,1)</f>
        <v>1</v>
      </c>
      <c r="W1282" s="20">
        <v>46197</v>
      </c>
      <c r="X1282" s="21" t="str">
        <f>UPPER(IF(AUDITORIA[[#This Row],[DATA VERIFICAÇÃO]]="","",TEXT(AUDITORIA[[#This Row],[DATA VERIFICAÇÃO]],"mmm")))</f>
        <v>JUN</v>
      </c>
      <c r="Y1282" t="s">
        <v>598</v>
      </c>
      <c r="Z1282" t="s">
        <v>691</v>
      </c>
      <c r="AA1282" t="s">
        <v>832</v>
      </c>
    </row>
    <row r="1283" spans="1:27" ht="14.4" hidden="1" customHeight="1" x14ac:dyDescent="0.3">
      <c r="A1283" s="4" t="s">
        <v>0</v>
      </c>
      <c r="B1283" s="4" t="s">
        <v>17</v>
      </c>
      <c r="C1283" s="16" t="s">
        <v>18</v>
      </c>
      <c r="D1283" s="4">
        <v>10</v>
      </c>
      <c r="E1283" s="4" t="s">
        <v>745</v>
      </c>
      <c r="F1283" t="s">
        <v>264</v>
      </c>
      <c r="G1283" t="s">
        <v>233</v>
      </c>
      <c r="J1283" s="4" t="s">
        <v>88</v>
      </c>
      <c r="K1283" s="4" t="s">
        <v>20</v>
      </c>
      <c r="L1283" s="4" t="s">
        <v>742</v>
      </c>
      <c r="M1283" s="17">
        <v>24</v>
      </c>
      <c r="N1283" s="17">
        <v>825</v>
      </c>
      <c r="O1283" s="18" t="s">
        <v>88</v>
      </c>
      <c r="P1283" s="18">
        <v>825</v>
      </c>
      <c r="Q1283" s="18">
        <v>24</v>
      </c>
      <c r="R1283" s="18" t="s">
        <v>817</v>
      </c>
      <c r="S1283" s="18" t="s">
        <v>822</v>
      </c>
      <c r="T1283" s="18" t="s">
        <v>794</v>
      </c>
      <c r="U12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83" s="19">
        <f>IF(AUDITORIA[[#This Row],[CAT]]="",0,1)</f>
        <v>1</v>
      </c>
      <c r="W1283" s="20">
        <v>46197</v>
      </c>
      <c r="X1283" s="21" t="str">
        <f>UPPER(IF(AUDITORIA[[#This Row],[DATA VERIFICAÇÃO]]="","",TEXT(AUDITORIA[[#This Row],[DATA VERIFICAÇÃO]],"mmm")))</f>
        <v>JUN</v>
      </c>
      <c r="Y1283" t="s">
        <v>598</v>
      </c>
      <c r="Z1283" t="s">
        <v>691</v>
      </c>
      <c r="AA1283" t="s">
        <v>832</v>
      </c>
    </row>
    <row r="1284" spans="1:27" ht="14.4" hidden="1" customHeight="1" x14ac:dyDescent="0.3">
      <c r="A1284" s="4" t="s">
        <v>0</v>
      </c>
      <c r="B1284" s="4" t="s">
        <v>17</v>
      </c>
      <c r="C1284" s="16" t="s">
        <v>18</v>
      </c>
      <c r="D1284" s="4">
        <v>10</v>
      </c>
      <c r="E1284" s="4" t="s">
        <v>745</v>
      </c>
      <c r="F1284" t="s">
        <v>246</v>
      </c>
      <c r="G1284" t="s">
        <v>233</v>
      </c>
      <c r="J1284" s="4" t="s">
        <v>88</v>
      </c>
      <c r="K1284" s="4" t="s">
        <v>21</v>
      </c>
      <c r="L1284" s="4" t="s">
        <v>742</v>
      </c>
      <c r="M1284" s="17">
        <v>27</v>
      </c>
      <c r="N1284" s="17">
        <v>969</v>
      </c>
      <c r="O1284" s="18" t="s">
        <v>88</v>
      </c>
      <c r="P1284" s="18">
        <v>969</v>
      </c>
      <c r="Q1284" s="18">
        <v>27</v>
      </c>
      <c r="R1284" s="18" t="s">
        <v>817</v>
      </c>
      <c r="S1284" s="18" t="s">
        <v>821</v>
      </c>
      <c r="T1284" s="18" t="s">
        <v>782</v>
      </c>
      <c r="U12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84" s="19">
        <f>IF(AUDITORIA[[#This Row],[CAT]]="",0,1)</f>
        <v>1</v>
      </c>
      <c r="W1284" s="20">
        <v>46197</v>
      </c>
      <c r="X1284" s="21" t="str">
        <f>UPPER(IF(AUDITORIA[[#This Row],[DATA VERIFICAÇÃO]]="","",TEXT(AUDITORIA[[#This Row],[DATA VERIFICAÇÃO]],"mmm")))</f>
        <v>JUN</v>
      </c>
      <c r="Y1284" t="s">
        <v>598</v>
      </c>
      <c r="Z1284" t="s">
        <v>691</v>
      </c>
      <c r="AA1284" t="s">
        <v>832</v>
      </c>
    </row>
    <row r="1285" spans="1:27" ht="14.4" hidden="1" customHeight="1" x14ac:dyDescent="0.3">
      <c r="A1285" s="4" t="s">
        <v>0</v>
      </c>
      <c r="B1285" s="4" t="s">
        <v>17</v>
      </c>
      <c r="C1285" s="16" t="s">
        <v>18</v>
      </c>
      <c r="D1285" s="4">
        <v>10</v>
      </c>
      <c r="E1285" s="4" t="s">
        <v>745</v>
      </c>
      <c r="F1285" t="s">
        <v>263</v>
      </c>
      <c r="G1285" t="s">
        <v>233</v>
      </c>
      <c r="J1285" s="4" t="s">
        <v>88</v>
      </c>
      <c r="K1285" s="4" t="s">
        <v>20</v>
      </c>
      <c r="L1285" s="4" t="s">
        <v>742</v>
      </c>
      <c r="M1285" s="17">
        <v>30</v>
      </c>
      <c r="N1285" s="17">
        <v>813</v>
      </c>
      <c r="O1285" s="18" t="s">
        <v>88</v>
      </c>
      <c r="P1285" s="18">
        <v>813</v>
      </c>
      <c r="Q1285" s="18">
        <v>30</v>
      </c>
      <c r="R1285" s="18" t="s">
        <v>817</v>
      </c>
      <c r="S1285" s="18" t="s">
        <v>779</v>
      </c>
      <c r="T1285" s="18" t="s">
        <v>781</v>
      </c>
      <c r="U12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85" s="19">
        <f>IF(AUDITORIA[[#This Row],[CAT]]="",0,1)</f>
        <v>1</v>
      </c>
      <c r="W1285" s="20">
        <v>46197</v>
      </c>
      <c r="X1285" s="21" t="str">
        <f>UPPER(IF(AUDITORIA[[#This Row],[DATA VERIFICAÇÃO]]="","",TEXT(AUDITORIA[[#This Row],[DATA VERIFICAÇÃO]],"mmm")))</f>
        <v>JUN</v>
      </c>
      <c r="Y1285" t="s">
        <v>598</v>
      </c>
      <c r="Z1285" t="s">
        <v>691</v>
      </c>
      <c r="AA1285" t="s">
        <v>832</v>
      </c>
    </row>
    <row r="1286" spans="1:27" ht="14.4" hidden="1" customHeight="1" x14ac:dyDescent="0.3">
      <c r="A1286" s="4" t="s">
        <v>0</v>
      </c>
      <c r="B1286" s="4" t="s">
        <v>17</v>
      </c>
      <c r="C1286" s="16" t="s">
        <v>18</v>
      </c>
      <c r="D1286" s="4">
        <v>10</v>
      </c>
      <c r="E1286" s="4" t="s">
        <v>745</v>
      </c>
      <c r="F1286" t="s">
        <v>245</v>
      </c>
      <c r="G1286" t="s">
        <v>233</v>
      </c>
      <c r="J1286" s="4" t="s">
        <v>88</v>
      </c>
      <c r="K1286" s="4" t="s">
        <v>21</v>
      </c>
      <c r="L1286" s="4" t="s">
        <v>742</v>
      </c>
      <c r="M1286" s="17">
        <v>27</v>
      </c>
      <c r="N1286" s="17">
        <v>964</v>
      </c>
      <c r="O1286" s="18" t="s">
        <v>88</v>
      </c>
      <c r="P1286" s="18">
        <v>964</v>
      </c>
      <c r="Q1286" s="18">
        <v>27</v>
      </c>
      <c r="R1286" s="18" t="s">
        <v>817</v>
      </c>
      <c r="S1286" s="18" t="s">
        <v>783</v>
      </c>
      <c r="T1286" s="18" t="s">
        <v>782</v>
      </c>
      <c r="U12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86" s="19">
        <f>IF(AUDITORIA[[#This Row],[CAT]]="",0,1)</f>
        <v>1</v>
      </c>
      <c r="W1286" s="20">
        <v>46197</v>
      </c>
      <c r="X1286" s="21" t="str">
        <f>UPPER(IF(AUDITORIA[[#This Row],[DATA VERIFICAÇÃO]]="","",TEXT(AUDITORIA[[#This Row],[DATA VERIFICAÇÃO]],"mmm")))</f>
        <v>JUN</v>
      </c>
      <c r="Y1286" t="s">
        <v>598</v>
      </c>
      <c r="Z1286" t="s">
        <v>691</v>
      </c>
      <c r="AA1286" t="s">
        <v>832</v>
      </c>
    </row>
    <row r="1287" spans="1:27" ht="14.4" hidden="1" customHeight="1" x14ac:dyDescent="0.3">
      <c r="A1287" s="4" t="s">
        <v>0</v>
      </c>
      <c r="B1287" s="4" t="s">
        <v>17</v>
      </c>
      <c r="C1287" s="16" t="s">
        <v>18</v>
      </c>
      <c r="D1287" s="4">
        <v>10</v>
      </c>
      <c r="E1287" s="4" t="s">
        <v>745</v>
      </c>
      <c r="F1287" t="s">
        <v>262</v>
      </c>
      <c r="G1287" t="s">
        <v>233</v>
      </c>
      <c r="J1287" s="4" t="s">
        <v>88</v>
      </c>
      <c r="K1287" s="4" t="s">
        <v>20</v>
      </c>
      <c r="L1287" s="4" t="s">
        <v>742</v>
      </c>
      <c r="M1287" s="17">
        <v>30</v>
      </c>
      <c r="N1287" s="17">
        <v>806</v>
      </c>
      <c r="O1287" s="18" t="s">
        <v>88</v>
      </c>
      <c r="P1287" s="18">
        <v>806</v>
      </c>
      <c r="Q1287" s="18">
        <v>30</v>
      </c>
      <c r="R1287" s="18" t="s">
        <v>817</v>
      </c>
      <c r="S1287" s="18" t="s">
        <v>779</v>
      </c>
      <c r="T1287" s="18" t="s">
        <v>782</v>
      </c>
      <c r="U12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87" s="19">
        <f>IF(AUDITORIA[[#This Row],[CAT]]="",0,1)</f>
        <v>1</v>
      </c>
      <c r="W1287" s="20">
        <v>46197</v>
      </c>
      <c r="X1287" s="21" t="str">
        <f>UPPER(IF(AUDITORIA[[#This Row],[DATA VERIFICAÇÃO]]="","",TEXT(AUDITORIA[[#This Row],[DATA VERIFICAÇÃO]],"mmm")))</f>
        <v>JUN</v>
      </c>
      <c r="Y1287" t="s">
        <v>598</v>
      </c>
      <c r="Z1287" t="s">
        <v>691</v>
      </c>
      <c r="AA1287" t="s">
        <v>832</v>
      </c>
    </row>
    <row r="1288" spans="1:27" ht="14.4" hidden="1" customHeight="1" x14ac:dyDescent="0.3">
      <c r="A1288" s="4" t="s">
        <v>0</v>
      </c>
      <c r="B1288" s="4" t="s">
        <v>17</v>
      </c>
      <c r="C1288" s="16" t="s">
        <v>18</v>
      </c>
      <c r="D1288" s="4">
        <v>10</v>
      </c>
      <c r="E1288" s="4" t="s">
        <v>745</v>
      </c>
      <c r="F1288" t="s">
        <v>244</v>
      </c>
      <c r="G1288" t="s">
        <v>233</v>
      </c>
      <c r="J1288" s="4" t="s">
        <v>88</v>
      </c>
      <c r="K1288" s="4" t="s">
        <v>21</v>
      </c>
      <c r="L1288" s="4" t="s">
        <v>742</v>
      </c>
      <c r="M1288" s="17">
        <v>27</v>
      </c>
      <c r="N1288" s="17">
        <v>956</v>
      </c>
      <c r="O1288" s="18" t="s">
        <v>88</v>
      </c>
      <c r="P1288" s="18">
        <v>956</v>
      </c>
      <c r="Q1288" s="18">
        <v>27</v>
      </c>
      <c r="R1288" s="18" t="s">
        <v>817</v>
      </c>
      <c r="S1288" s="18" t="s">
        <v>783</v>
      </c>
      <c r="T1288" s="18" t="s">
        <v>780</v>
      </c>
      <c r="U12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88" s="19">
        <f>IF(AUDITORIA[[#This Row],[CAT]]="",0,1)</f>
        <v>1</v>
      </c>
      <c r="W1288" s="20">
        <v>46197</v>
      </c>
      <c r="X1288" s="21" t="str">
        <f>UPPER(IF(AUDITORIA[[#This Row],[DATA VERIFICAÇÃO]]="","",TEXT(AUDITORIA[[#This Row],[DATA VERIFICAÇÃO]],"mmm")))</f>
        <v>JUN</v>
      </c>
      <c r="Y1288" t="s">
        <v>598</v>
      </c>
      <c r="Z1288" t="s">
        <v>691</v>
      </c>
      <c r="AA1288" t="s">
        <v>832</v>
      </c>
    </row>
    <row r="1289" spans="1:27" ht="14.4" hidden="1" customHeight="1" x14ac:dyDescent="0.3">
      <c r="A1289" s="4" t="s">
        <v>0</v>
      </c>
      <c r="B1289" s="4" t="s">
        <v>17</v>
      </c>
      <c r="C1289" s="16" t="s">
        <v>18</v>
      </c>
      <c r="D1289" s="4">
        <v>10</v>
      </c>
      <c r="E1289" s="4" t="s">
        <v>745</v>
      </c>
      <c r="F1289" t="s">
        <v>243</v>
      </c>
      <c r="G1289" t="s">
        <v>233</v>
      </c>
      <c r="J1289" s="4" t="s">
        <v>88</v>
      </c>
      <c r="K1289" s="4" t="s">
        <v>21</v>
      </c>
      <c r="L1289" s="4" t="s">
        <v>742</v>
      </c>
      <c r="M1289" s="17">
        <v>27</v>
      </c>
      <c r="N1289" s="17">
        <v>963</v>
      </c>
      <c r="O1289" s="18" t="s">
        <v>88</v>
      </c>
      <c r="P1289" s="18">
        <v>963</v>
      </c>
      <c r="Q1289" s="18">
        <v>27</v>
      </c>
      <c r="R1289" s="18" t="s">
        <v>817</v>
      </c>
      <c r="S1289" s="18" t="s">
        <v>783</v>
      </c>
      <c r="T1289" s="18" t="s">
        <v>781</v>
      </c>
      <c r="U12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89" s="19">
        <f>IF(AUDITORIA[[#This Row],[CAT]]="",0,1)</f>
        <v>1</v>
      </c>
      <c r="W1289" s="20">
        <v>46197</v>
      </c>
      <c r="X1289" s="21" t="str">
        <f>UPPER(IF(AUDITORIA[[#This Row],[DATA VERIFICAÇÃO]]="","",TEXT(AUDITORIA[[#This Row],[DATA VERIFICAÇÃO]],"mmm")))</f>
        <v>JUN</v>
      </c>
      <c r="Y1289" t="s">
        <v>598</v>
      </c>
      <c r="Z1289" t="s">
        <v>691</v>
      </c>
      <c r="AA1289" t="s">
        <v>832</v>
      </c>
    </row>
    <row r="1290" spans="1:27" ht="14.4" hidden="1" customHeight="1" x14ac:dyDescent="0.3">
      <c r="A1290" s="4" t="s">
        <v>0</v>
      </c>
      <c r="B1290" s="4" t="s">
        <v>17</v>
      </c>
      <c r="C1290" s="16" t="s">
        <v>18</v>
      </c>
      <c r="D1290" s="4">
        <v>10</v>
      </c>
      <c r="E1290" s="4" t="s">
        <v>745</v>
      </c>
      <c r="F1290" t="s">
        <v>261</v>
      </c>
      <c r="G1290" t="s">
        <v>233</v>
      </c>
      <c r="J1290" s="4" t="s">
        <v>88</v>
      </c>
      <c r="K1290" s="4" t="s">
        <v>20</v>
      </c>
      <c r="L1290" s="4" t="s">
        <v>742</v>
      </c>
      <c r="M1290" s="17">
        <v>30</v>
      </c>
      <c r="N1290" s="17">
        <v>805</v>
      </c>
      <c r="O1290" s="18" t="s">
        <v>88</v>
      </c>
      <c r="P1290" s="18">
        <v>805</v>
      </c>
      <c r="Q1290" s="18">
        <v>30</v>
      </c>
      <c r="R1290" s="18" t="s">
        <v>817</v>
      </c>
      <c r="S1290" s="18" t="s">
        <v>779</v>
      </c>
      <c r="T1290" s="18" t="s">
        <v>794</v>
      </c>
      <c r="U12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90" s="19">
        <f>IF(AUDITORIA[[#This Row],[CAT]]="",0,1)</f>
        <v>1</v>
      </c>
      <c r="W1290" s="20">
        <v>46197</v>
      </c>
      <c r="X1290" s="21" t="str">
        <f>UPPER(IF(AUDITORIA[[#This Row],[DATA VERIFICAÇÃO]]="","",TEXT(AUDITORIA[[#This Row],[DATA VERIFICAÇÃO]],"mmm")))</f>
        <v>JUN</v>
      </c>
      <c r="Y1290" t="s">
        <v>598</v>
      </c>
      <c r="Z1290" t="s">
        <v>691</v>
      </c>
      <c r="AA1290" t="s">
        <v>832</v>
      </c>
    </row>
    <row r="1291" spans="1:27" ht="14.4" hidden="1" customHeight="1" x14ac:dyDescent="0.3">
      <c r="A1291" s="4" t="s">
        <v>0</v>
      </c>
      <c r="B1291" s="4" t="s">
        <v>17</v>
      </c>
      <c r="C1291" s="16" t="s">
        <v>18</v>
      </c>
      <c r="D1291" s="4">
        <v>10</v>
      </c>
      <c r="E1291" s="4" t="s">
        <v>745</v>
      </c>
      <c r="F1291" t="s">
        <v>242</v>
      </c>
      <c r="G1291" t="s">
        <v>233</v>
      </c>
      <c r="J1291" s="4" t="s">
        <v>88</v>
      </c>
      <c r="K1291" s="4" t="s">
        <v>21</v>
      </c>
      <c r="L1291" s="4" t="s">
        <v>742</v>
      </c>
      <c r="M1291" s="17">
        <v>27</v>
      </c>
      <c r="N1291" s="17">
        <v>958</v>
      </c>
      <c r="O1291" s="18" t="s">
        <v>88</v>
      </c>
      <c r="P1291" s="18">
        <v>958</v>
      </c>
      <c r="Q1291" s="18">
        <v>27</v>
      </c>
      <c r="R1291" s="18" t="s">
        <v>817</v>
      </c>
      <c r="S1291" s="18" t="s">
        <v>783</v>
      </c>
      <c r="T1291" s="18" t="s">
        <v>794</v>
      </c>
      <c r="U12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91" s="19">
        <f>IF(AUDITORIA[[#This Row],[CAT]]="",0,1)</f>
        <v>1</v>
      </c>
      <c r="W1291" s="20">
        <v>46197</v>
      </c>
      <c r="X1291" s="21" t="str">
        <f>UPPER(IF(AUDITORIA[[#This Row],[DATA VERIFICAÇÃO]]="","",TEXT(AUDITORIA[[#This Row],[DATA VERIFICAÇÃO]],"mmm")))</f>
        <v>JUN</v>
      </c>
      <c r="Y1291" t="s">
        <v>598</v>
      </c>
      <c r="Z1291" t="s">
        <v>691</v>
      </c>
      <c r="AA1291" t="s">
        <v>832</v>
      </c>
    </row>
    <row r="1292" spans="1:27" ht="14.4" hidden="1" customHeight="1" x14ac:dyDescent="0.3">
      <c r="A1292" s="4" t="s">
        <v>0</v>
      </c>
      <c r="B1292" s="4" t="s">
        <v>17</v>
      </c>
      <c r="C1292" s="16" t="s">
        <v>18</v>
      </c>
      <c r="D1292" s="4">
        <v>10</v>
      </c>
      <c r="E1292" s="4" t="s">
        <v>745</v>
      </c>
      <c r="F1292" t="s">
        <v>260</v>
      </c>
      <c r="G1292" t="s">
        <v>233</v>
      </c>
      <c r="J1292" s="4" t="s">
        <v>88</v>
      </c>
      <c r="K1292" s="4" t="s">
        <v>20</v>
      </c>
      <c r="L1292" s="4" t="s">
        <v>742</v>
      </c>
      <c r="M1292" s="17">
        <v>30</v>
      </c>
      <c r="N1292" s="17">
        <v>803</v>
      </c>
      <c r="O1292" s="18" t="s">
        <v>88</v>
      </c>
      <c r="P1292" s="18">
        <v>803</v>
      </c>
      <c r="Q1292" s="18">
        <v>30</v>
      </c>
      <c r="R1292" s="18" t="s">
        <v>817</v>
      </c>
      <c r="S1292" s="18" t="s">
        <v>786</v>
      </c>
      <c r="T1292" s="18" t="s">
        <v>780</v>
      </c>
      <c r="U12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92" s="19">
        <f>IF(AUDITORIA[[#This Row],[CAT]]="",0,1)</f>
        <v>1</v>
      </c>
      <c r="W1292" s="20">
        <v>46197</v>
      </c>
      <c r="X1292" s="21" t="str">
        <f>UPPER(IF(AUDITORIA[[#This Row],[DATA VERIFICAÇÃO]]="","",TEXT(AUDITORIA[[#This Row],[DATA VERIFICAÇÃO]],"mmm")))</f>
        <v>JUN</v>
      </c>
      <c r="Y1292" t="s">
        <v>598</v>
      </c>
      <c r="Z1292" t="s">
        <v>691</v>
      </c>
      <c r="AA1292" t="s">
        <v>832</v>
      </c>
    </row>
    <row r="1293" spans="1:27" ht="14.4" hidden="1" customHeight="1" x14ac:dyDescent="0.3">
      <c r="A1293" s="4" t="s">
        <v>0</v>
      </c>
      <c r="B1293" s="4" t="s">
        <v>17</v>
      </c>
      <c r="C1293" s="16" t="s">
        <v>18</v>
      </c>
      <c r="D1293" s="4">
        <v>10</v>
      </c>
      <c r="E1293" s="4" t="s">
        <v>745</v>
      </c>
      <c r="F1293" t="s">
        <v>241</v>
      </c>
      <c r="G1293" t="s">
        <v>233</v>
      </c>
      <c r="J1293" s="4" t="s">
        <v>88</v>
      </c>
      <c r="K1293" s="4" t="s">
        <v>21</v>
      </c>
      <c r="L1293" s="4" t="s">
        <v>742</v>
      </c>
      <c r="M1293" s="17">
        <v>27</v>
      </c>
      <c r="N1293" s="17">
        <v>940</v>
      </c>
      <c r="O1293" s="18" t="s">
        <v>88</v>
      </c>
      <c r="P1293" s="18">
        <v>940</v>
      </c>
      <c r="Q1293" s="18">
        <v>27</v>
      </c>
      <c r="R1293" s="18" t="s">
        <v>817</v>
      </c>
      <c r="S1293" s="18" t="s">
        <v>785</v>
      </c>
      <c r="T1293" s="18" t="s">
        <v>780</v>
      </c>
      <c r="U12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93" s="19">
        <f>IF(AUDITORIA[[#This Row],[CAT]]="",0,1)</f>
        <v>1</v>
      </c>
      <c r="W1293" s="20">
        <v>46197</v>
      </c>
      <c r="X1293" s="21" t="str">
        <f>UPPER(IF(AUDITORIA[[#This Row],[DATA VERIFICAÇÃO]]="","",TEXT(AUDITORIA[[#This Row],[DATA VERIFICAÇÃO]],"mmm")))</f>
        <v>JUN</v>
      </c>
      <c r="Y1293" t="s">
        <v>598</v>
      </c>
      <c r="Z1293" t="s">
        <v>691</v>
      </c>
      <c r="AA1293" t="s">
        <v>832</v>
      </c>
    </row>
    <row r="1294" spans="1:27" ht="14.4" hidden="1" customHeight="1" x14ac:dyDescent="0.3">
      <c r="A1294" s="4" t="s">
        <v>0</v>
      </c>
      <c r="B1294" s="4" t="s">
        <v>17</v>
      </c>
      <c r="C1294" s="16" t="s">
        <v>18</v>
      </c>
      <c r="D1294" s="4">
        <v>10</v>
      </c>
      <c r="E1294" s="4" t="s">
        <v>745</v>
      </c>
      <c r="F1294" t="s">
        <v>240</v>
      </c>
      <c r="G1294" t="s">
        <v>233</v>
      </c>
      <c r="J1294" s="4" t="s">
        <v>88</v>
      </c>
      <c r="K1294" s="4" t="s">
        <v>21</v>
      </c>
      <c r="L1294" s="4" t="s">
        <v>742</v>
      </c>
      <c r="M1294" s="17">
        <v>27</v>
      </c>
      <c r="N1294" s="17">
        <v>956</v>
      </c>
      <c r="O1294" s="18" t="s">
        <v>88</v>
      </c>
      <c r="P1294" s="18">
        <v>956</v>
      </c>
      <c r="Q1294" s="18">
        <v>27</v>
      </c>
      <c r="R1294" s="18" t="s">
        <v>817</v>
      </c>
      <c r="S1294" s="18" t="s">
        <v>785</v>
      </c>
      <c r="T1294" s="18" t="s">
        <v>781</v>
      </c>
      <c r="U12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94" s="19">
        <f>IF(AUDITORIA[[#This Row],[CAT]]="",0,1)</f>
        <v>1</v>
      </c>
      <c r="W1294" s="20">
        <v>46197</v>
      </c>
      <c r="X1294" s="21" t="str">
        <f>UPPER(IF(AUDITORIA[[#This Row],[DATA VERIFICAÇÃO]]="","",TEXT(AUDITORIA[[#This Row],[DATA VERIFICAÇÃO]],"mmm")))</f>
        <v>JUN</v>
      </c>
      <c r="Y1294" t="s">
        <v>598</v>
      </c>
      <c r="Z1294" t="s">
        <v>691</v>
      </c>
      <c r="AA1294" t="s">
        <v>832</v>
      </c>
    </row>
    <row r="1295" spans="1:27" ht="14.4" hidden="1" customHeight="1" x14ac:dyDescent="0.3">
      <c r="A1295" s="4" t="s">
        <v>0</v>
      </c>
      <c r="B1295" s="4" t="s">
        <v>17</v>
      </c>
      <c r="C1295" s="16" t="s">
        <v>18</v>
      </c>
      <c r="D1295" s="4">
        <v>10</v>
      </c>
      <c r="E1295" s="4" t="s">
        <v>745</v>
      </c>
      <c r="F1295" t="s">
        <v>259</v>
      </c>
      <c r="G1295" t="s">
        <v>233</v>
      </c>
      <c r="J1295" s="4" t="s">
        <v>88</v>
      </c>
      <c r="K1295" s="4" t="s">
        <v>20</v>
      </c>
      <c r="L1295" s="4" t="s">
        <v>742</v>
      </c>
      <c r="M1295" s="17">
        <v>30</v>
      </c>
      <c r="N1295" s="17">
        <v>829</v>
      </c>
      <c r="O1295" s="18" t="s">
        <v>88</v>
      </c>
      <c r="P1295" s="18">
        <v>829</v>
      </c>
      <c r="Q1295" s="18">
        <v>30</v>
      </c>
      <c r="R1295" s="18" t="s">
        <v>817</v>
      </c>
      <c r="S1295" s="18" t="s">
        <v>786</v>
      </c>
      <c r="T1295" s="18" t="s">
        <v>781</v>
      </c>
      <c r="U12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95" s="19">
        <f>IF(AUDITORIA[[#This Row],[CAT]]="",0,1)</f>
        <v>1</v>
      </c>
      <c r="W1295" s="20">
        <v>46197</v>
      </c>
      <c r="X1295" s="21" t="str">
        <f>UPPER(IF(AUDITORIA[[#This Row],[DATA VERIFICAÇÃO]]="","",TEXT(AUDITORIA[[#This Row],[DATA VERIFICAÇÃO]],"mmm")))</f>
        <v>JUN</v>
      </c>
      <c r="Y1295" t="s">
        <v>598</v>
      </c>
      <c r="Z1295" t="s">
        <v>691</v>
      </c>
      <c r="AA1295" t="s">
        <v>832</v>
      </c>
    </row>
    <row r="1296" spans="1:27" ht="14.4" hidden="1" customHeight="1" x14ac:dyDescent="0.3">
      <c r="A1296" s="4" t="s">
        <v>0</v>
      </c>
      <c r="B1296" s="4" t="s">
        <v>17</v>
      </c>
      <c r="C1296" s="16" t="s">
        <v>18</v>
      </c>
      <c r="D1296" s="4">
        <v>10</v>
      </c>
      <c r="E1296" s="4" t="s">
        <v>745</v>
      </c>
      <c r="F1296" t="s">
        <v>239</v>
      </c>
      <c r="G1296" t="s">
        <v>233</v>
      </c>
      <c r="J1296" s="4" t="s">
        <v>88</v>
      </c>
      <c r="K1296" s="4" t="s">
        <v>21</v>
      </c>
      <c r="L1296" s="4" t="s">
        <v>742</v>
      </c>
      <c r="M1296" s="17">
        <v>27</v>
      </c>
      <c r="N1296" s="17">
        <v>937</v>
      </c>
      <c r="O1296" s="18" t="s">
        <v>88</v>
      </c>
      <c r="P1296" s="18">
        <v>937</v>
      </c>
      <c r="Q1296" s="18">
        <v>27</v>
      </c>
      <c r="R1296" s="18" t="s">
        <v>817</v>
      </c>
      <c r="S1296" s="18" t="s">
        <v>785</v>
      </c>
      <c r="T1296" s="18" t="s">
        <v>782</v>
      </c>
      <c r="U12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96" s="19">
        <f>IF(AUDITORIA[[#This Row],[CAT]]="",0,1)</f>
        <v>1</v>
      </c>
      <c r="W1296" s="20">
        <v>46197</v>
      </c>
      <c r="X1296" s="21" t="str">
        <f>UPPER(IF(AUDITORIA[[#This Row],[DATA VERIFICAÇÃO]]="","",TEXT(AUDITORIA[[#This Row],[DATA VERIFICAÇÃO]],"mmm")))</f>
        <v>JUN</v>
      </c>
      <c r="Y1296" t="s">
        <v>598</v>
      </c>
      <c r="Z1296" t="s">
        <v>691</v>
      </c>
      <c r="AA1296" t="s">
        <v>832</v>
      </c>
    </row>
    <row r="1297" spans="1:27" ht="14.4" hidden="1" customHeight="1" x14ac:dyDescent="0.3">
      <c r="A1297" s="4" t="s">
        <v>0</v>
      </c>
      <c r="B1297" s="4" t="s">
        <v>17</v>
      </c>
      <c r="C1297" s="16" t="s">
        <v>18</v>
      </c>
      <c r="D1297" s="4">
        <v>10</v>
      </c>
      <c r="E1297" s="4" t="s">
        <v>745</v>
      </c>
      <c r="F1297" t="s">
        <v>258</v>
      </c>
      <c r="G1297" t="s">
        <v>233</v>
      </c>
      <c r="J1297" s="4" t="s">
        <v>88</v>
      </c>
      <c r="K1297" s="4" t="s">
        <v>20</v>
      </c>
      <c r="L1297" s="4" t="s">
        <v>742</v>
      </c>
      <c r="M1297" s="17">
        <v>30</v>
      </c>
      <c r="N1297" s="17">
        <v>782</v>
      </c>
      <c r="O1297" s="18" t="s">
        <v>88</v>
      </c>
      <c r="P1297" s="18">
        <v>782</v>
      </c>
      <c r="Q1297" s="18">
        <v>30</v>
      </c>
      <c r="R1297" s="18" t="s">
        <v>817</v>
      </c>
      <c r="S1297" s="18" t="s">
        <v>786</v>
      </c>
      <c r="T1297" s="18" t="s">
        <v>782</v>
      </c>
      <c r="U12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97" s="19">
        <f>IF(AUDITORIA[[#This Row],[CAT]]="",0,1)</f>
        <v>1</v>
      </c>
      <c r="W1297" s="20">
        <v>46197</v>
      </c>
      <c r="X1297" s="21" t="str">
        <f>UPPER(IF(AUDITORIA[[#This Row],[DATA VERIFICAÇÃO]]="","",TEXT(AUDITORIA[[#This Row],[DATA VERIFICAÇÃO]],"mmm")))</f>
        <v>JUN</v>
      </c>
      <c r="Y1297" t="s">
        <v>598</v>
      </c>
      <c r="Z1297" t="s">
        <v>691</v>
      </c>
      <c r="AA1297" t="s">
        <v>832</v>
      </c>
    </row>
    <row r="1298" spans="1:27" ht="14.4" hidden="1" customHeight="1" x14ac:dyDescent="0.3">
      <c r="A1298" s="4" t="s">
        <v>0</v>
      </c>
      <c r="B1298" s="4" t="s">
        <v>17</v>
      </c>
      <c r="C1298" s="16" t="s">
        <v>18</v>
      </c>
      <c r="D1298" s="4">
        <v>10</v>
      </c>
      <c r="E1298" s="4" t="s">
        <v>745</v>
      </c>
      <c r="F1298" t="s">
        <v>257</v>
      </c>
      <c r="G1298" t="s">
        <v>233</v>
      </c>
      <c r="J1298" s="4" t="s">
        <v>88</v>
      </c>
      <c r="K1298" s="4" t="s">
        <v>20</v>
      </c>
      <c r="L1298" s="4" t="s">
        <v>742</v>
      </c>
      <c r="M1298" s="17">
        <v>30</v>
      </c>
      <c r="N1298" s="17">
        <v>782</v>
      </c>
      <c r="O1298" s="18" t="s">
        <v>88</v>
      </c>
      <c r="P1298" s="18">
        <v>782</v>
      </c>
      <c r="Q1298" s="18">
        <v>30</v>
      </c>
      <c r="R1298" s="18" t="s">
        <v>817</v>
      </c>
      <c r="S1298" s="18" t="s">
        <v>786</v>
      </c>
      <c r="T1298" s="18" t="s">
        <v>794</v>
      </c>
      <c r="U12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98" s="19">
        <f>IF(AUDITORIA[[#This Row],[CAT]]="",0,1)</f>
        <v>1</v>
      </c>
      <c r="W1298" s="20">
        <v>46197</v>
      </c>
      <c r="X1298" s="21" t="str">
        <f>UPPER(IF(AUDITORIA[[#This Row],[DATA VERIFICAÇÃO]]="","",TEXT(AUDITORIA[[#This Row],[DATA VERIFICAÇÃO]],"mmm")))</f>
        <v>JUN</v>
      </c>
      <c r="Y1298" t="s">
        <v>598</v>
      </c>
      <c r="Z1298" t="s">
        <v>691</v>
      </c>
      <c r="AA1298" t="s">
        <v>832</v>
      </c>
    </row>
    <row r="1299" spans="1:27" ht="14.4" hidden="1" customHeight="1" x14ac:dyDescent="0.3">
      <c r="A1299" s="4" t="s">
        <v>0</v>
      </c>
      <c r="B1299" s="4" t="s">
        <v>17</v>
      </c>
      <c r="C1299" s="16" t="s">
        <v>18</v>
      </c>
      <c r="D1299" s="4">
        <v>10</v>
      </c>
      <c r="E1299" s="4" t="s">
        <v>745</v>
      </c>
      <c r="F1299" t="s">
        <v>238</v>
      </c>
      <c r="G1299" t="s">
        <v>233</v>
      </c>
      <c r="J1299" s="4" t="s">
        <v>88</v>
      </c>
      <c r="K1299" s="4" t="s">
        <v>21</v>
      </c>
      <c r="L1299" s="4" t="s">
        <v>742</v>
      </c>
      <c r="M1299" s="17">
        <v>27</v>
      </c>
      <c r="N1299" s="17">
        <v>931</v>
      </c>
      <c r="O1299" s="18" t="s">
        <v>88</v>
      </c>
      <c r="P1299" s="18">
        <v>931</v>
      </c>
      <c r="Q1299" s="18">
        <v>27</v>
      </c>
      <c r="R1299" s="18" t="s">
        <v>817</v>
      </c>
      <c r="S1299" s="18" t="s">
        <v>785</v>
      </c>
      <c r="T1299" s="18" t="s">
        <v>794</v>
      </c>
      <c r="U12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299" s="19">
        <f>IF(AUDITORIA[[#This Row],[CAT]]="",0,1)</f>
        <v>1</v>
      </c>
      <c r="W1299" s="20">
        <v>46197</v>
      </c>
      <c r="X1299" s="21" t="str">
        <f>UPPER(IF(AUDITORIA[[#This Row],[DATA VERIFICAÇÃO]]="","",TEXT(AUDITORIA[[#This Row],[DATA VERIFICAÇÃO]],"mmm")))</f>
        <v>JUN</v>
      </c>
      <c r="Y1299" t="s">
        <v>598</v>
      </c>
      <c r="Z1299" t="s">
        <v>691</v>
      </c>
      <c r="AA1299" t="s">
        <v>832</v>
      </c>
    </row>
    <row r="1300" spans="1:27" ht="14.4" hidden="1" customHeight="1" x14ac:dyDescent="0.3">
      <c r="A1300" s="4" t="s">
        <v>0</v>
      </c>
      <c r="B1300" s="4" t="s">
        <v>17</v>
      </c>
      <c r="C1300" s="16" t="s">
        <v>18</v>
      </c>
      <c r="D1300" s="4">
        <v>10</v>
      </c>
      <c r="E1300" s="4" t="s">
        <v>745</v>
      </c>
      <c r="F1300" t="s">
        <v>256</v>
      </c>
      <c r="G1300" t="s">
        <v>233</v>
      </c>
      <c r="J1300" s="4" t="s">
        <v>88</v>
      </c>
      <c r="K1300" s="4" t="s">
        <v>20</v>
      </c>
      <c r="L1300" s="4" t="s">
        <v>742</v>
      </c>
      <c r="M1300" s="17">
        <v>30</v>
      </c>
      <c r="N1300" s="17">
        <v>793</v>
      </c>
      <c r="O1300" s="18" t="s">
        <v>88</v>
      </c>
      <c r="P1300" s="18">
        <v>793</v>
      </c>
      <c r="Q1300" s="18">
        <v>30</v>
      </c>
      <c r="R1300" s="18" t="s">
        <v>817</v>
      </c>
      <c r="S1300" s="18" t="s">
        <v>788</v>
      </c>
      <c r="T1300" s="18" t="s">
        <v>780</v>
      </c>
      <c r="U13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00" s="19">
        <f>IF(AUDITORIA[[#This Row],[CAT]]="",0,1)</f>
        <v>1</v>
      </c>
      <c r="W1300" s="20">
        <v>46197</v>
      </c>
      <c r="X1300" s="21" t="str">
        <f>UPPER(IF(AUDITORIA[[#This Row],[DATA VERIFICAÇÃO]]="","",TEXT(AUDITORIA[[#This Row],[DATA VERIFICAÇÃO]],"mmm")))</f>
        <v>JUN</v>
      </c>
      <c r="Y1300" t="s">
        <v>598</v>
      </c>
      <c r="Z1300" t="s">
        <v>691</v>
      </c>
      <c r="AA1300" t="s">
        <v>832</v>
      </c>
    </row>
    <row r="1301" spans="1:27" ht="14.4" hidden="1" customHeight="1" x14ac:dyDescent="0.3">
      <c r="A1301" s="4" t="s">
        <v>0</v>
      </c>
      <c r="B1301" s="4" t="s">
        <v>17</v>
      </c>
      <c r="C1301" s="16" t="s">
        <v>18</v>
      </c>
      <c r="D1301" s="4">
        <v>10</v>
      </c>
      <c r="E1301" s="4" t="s">
        <v>745</v>
      </c>
      <c r="F1301" t="s">
        <v>237</v>
      </c>
      <c r="G1301" t="s">
        <v>233</v>
      </c>
      <c r="J1301" s="4" t="s">
        <v>88</v>
      </c>
      <c r="K1301" s="4" t="s">
        <v>21</v>
      </c>
      <c r="L1301" s="4" t="s">
        <v>742</v>
      </c>
      <c r="M1301" s="17">
        <v>27</v>
      </c>
      <c r="N1301" s="17">
        <v>948</v>
      </c>
      <c r="O1301" s="18" t="s">
        <v>88</v>
      </c>
      <c r="P1301" s="18">
        <v>948</v>
      </c>
      <c r="Q1301" s="18">
        <v>27</v>
      </c>
      <c r="R1301" s="18" t="s">
        <v>817</v>
      </c>
      <c r="S1301" s="18" t="s">
        <v>789</v>
      </c>
      <c r="T1301" s="18" t="s">
        <v>780</v>
      </c>
      <c r="U13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01" s="19">
        <f>IF(AUDITORIA[[#This Row],[CAT]]="",0,1)</f>
        <v>1</v>
      </c>
      <c r="W1301" s="20">
        <v>46197</v>
      </c>
      <c r="X1301" s="21" t="str">
        <f>UPPER(IF(AUDITORIA[[#This Row],[DATA VERIFICAÇÃO]]="","",TEXT(AUDITORIA[[#This Row],[DATA VERIFICAÇÃO]],"mmm")))</f>
        <v>JUN</v>
      </c>
      <c r="Y1301" t="s">
        <v>598</v>
      </c>
      <c r="Z1301" t="s">
        <v>691</v>
      </c>
      <c r="AA1301" t="s">
        <v>832</v>
      </c>
    </row>
    <row r="1302" spans="1:27" ht="14.4" hidden="1" customHeight="1" x14ac:dyDescent="0.3">
      <c r="A1302" s="4" t="s">
        <v>0</v>
      </c>
      <c r="B1302" s="4" t="s">
        <v>17</v>
      </c>
      <c r="C1302" s="16" t="s">
        <v>18</v>
      </c>
      <c r="D1302" s="4">
        <v>10</v>
      </c>
      <c r="E1302" s="4" t="s">
        <v>745</v>
      </c>
      <c r="F1302" t="s">
        <v>236</v>
      </c>
      <c r="G1302" t="s">
        <v>233</v>
      </c>
      <c r="J1302" s="4" t="s">
        <v>88</v>
      </c>
      <c r="K1302" s="4" t="s">
        <v>21</v>
      </c>
      <c r="L1302" s="4" t="s">
        <v>742</v>
      </c>
      <c r="M1302" s="17">
        <v>27</v>
      </c>
      <c r="N1302" s="17">
        <v>950</v>
      </c>
      <c r="O1302" s="18" t="s">
        <v>88</v>
      </c>
      <c r="P1302" s="18">
        <v>950</v>
      </c>
      <c r="Q1302" s="18">
        <v>27</v>
      </c>
      <c r="R1302" s="18" t="s">
        <v>817</v>
      </c>
      <c r="S1302" s="18" t="s">
        <v>789</v>
      </c>
      <c r="T1302" s="18" t="s">
        <v>781</v>
      </c>
      <c r="U13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02" s="19">
        <f>IF(AUDITORIA[[#This Row],[CAT]]="",0,1)</f>
        <v>1</v>
      </c>
      <c r="W1302" s="20">
        <v>46197</v>
      </c>
      <c r="X1302" s="21" t="str">
        <f>UPPER(IF(AUDITORIA[[#This Row],[DATA VERIFICAÇÃO]]="","",TEXT(AUDITORIA[[#This Row],[DATA VERIFICAÇÃO]],"mmm")))</f>
        <v>JUN</v>
      </c>
      <c r="Y1302" t="s">
        <v>598</v>
      </c>
      <c r="Z1302" t="s">
        <v>691</v>
      </c>
      <c r="AA1302" t="s">
        <v>832</v>
      </c>
    </row>
    <row r="1303" spans="1:27" ht="14.4" hidden="1" customHeight="1" x14ac:dyDescent="0.3">
      <c r="A1303" s="4" t="s">
        <v>0</v>
      </c>
      <c r="B1303" s="4" t="s">
        <v>17</v>
      </c>
      <c r="C1303" s="16" t="s">
        <v>18</v>
      </c>
      <c r="D1303" s="4">
        <v>10</v>
      </c>
      <c r="E1303" s="4" t="s">
        <v>745</v>
      </c>
      <c r="F1303" t="s">
        <v>255</v>
      </c>
      <c r="G1303" t="s">
        <v>233</v>
      </c>
      <c r="J1303" s="4" t="s">
        <v>88</v>
      </c>
      <c r="K1303" s="4" t="s">
        <v>20</v>
      </c>
      <c r="L1303" s="4" t="s">
        <v>742</v>
      </c>
      <c r="M1303" s="17">
        <v>30</v>
      </c>
      <c r="N1303" s="17">
        <v>814</v>
      </c>
      <c r="O1303" s="18" t="s">
        <v>88</v>
      </c>
      <c r="P1303" s="18">
        <v>814</v>
      </c>
      <c r="Q1303" s="18">
        <v>30</v>
      </c>
      <c r="R1303" s="18" t="s">
        <v>817</v>
      </c>
      <c r="S1303" s="18" t="s">
        <v>788</v>
      </c>
      <c r="T1303" s="18" t="s">
        <v>781</v>
      </c>
      <c r="U13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03" s="19">
        <f>IF(AUDITORIA[[#This Row],[CAT]]="",0,1)</f>
        <v>1</v>
      </c>
      <c r="W1303" s="20">
        <v>46197</v>
      </c>
      <c r="X1303" s="21" t="str">
        <f>UPPER(IF(AUDITORIA[[#This Row],[DATA VERIFICAÇÃO]]="","",TEXT(AUDITORIA[[#This Row],[DATA VERIFICAÇÃO]],"mmm")))</f>
        <v>JUN</v>
      </c>
      <c r="Y1303" t="s">
        <v>598</v>
      </c>
      <c r="Z1303" t="s">
        <v>691</v>
      </c>
      <c r="AA1303" t="s">
        <v>832</v>
      </c>
    </row>
    <row r="1304" spans="1:27" ht="14.4" hidden="1" customHeight="1" x14ac:dyDescent="0.3">
      <c r="A1304" s="4" t="s">
        <v>0</v>
      </c>
      <c r="B1304" s="4" t="s">
        <v>17</v>
      </c>
      <c r="C1304" s="16" t="s">
        <v>18</v>
      </c>
      <c r="D1304" s="4">
        <v>10</v>
      </c>
      <c r="E1304" s="4" t="s">
        <v>745</v>
      </c>
      <c r="F1304" t="s">
        <v>235</v>
      </c>
      <c r="G1304" t="s">
        <v>233</v>
      </c>
      <c r="J1304" s="4" t="s">
        <v>88</v>
      </c>
      <c r="K1304" s="4" t="s">
        <v>21</v>
      </c>
      <c r="L1304" s="4" t="s">
        <v>742</v>
      </c>
      <c r="M1304" s="17">
        <v>27</v>
      </c>
      <c r="N1304" s="17">
        <v>981</v>
      </c>
      <c r="O1304" s="18" t="s">
        <v>88</v>
      </c>
      <c r="P1304" s="18">
        <v>981</v>
      </c>
      <c r="Q1304" s="18">
        <v>27</v>
      </c>
      <c r="R1304" s="18" t="s">
        <v>817</v>
      </c>
      <c r="S1304" s="18" t="s">
        <v>789</v>
      </c>
      <c r="T1304" s="18" t="s">
        <v>782</v>
      </c>
      <c r="U13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04" s="19">
        <f>IF(AUDITORIA[[#This Row],[CAT]]="",0,1)</f>
        <v>1</v>
      </c>
      <c r="W1304" s="20">
        <v>46197</v>
      </c>
      <c r="X1304" s="21" t="str">
        <f>UPPER(IF(AUDITORIA[[#This Row],[DATA VERIFICAÇÃO]]="","",TEXT(AUDITORIA[[#This Row],[DATA VERIFICAÇÃO]],"mmm")))</f>
        <v>JUN</v>
      </c>
      <c r="Y1304" t="s">
        <v>598</v>
      </c>
      <c r="Z1304" t="s">
        <v>691</v>
      </c>
      <c r="AA1304" t="s">
        <v>832</v>
      </c>
    </row>
    <row r="1305" spans="1:27" ht="14.4" hidden="1" customHeight="1" x14ac:dyDescent="0.3">
      <c r="A1305" s="4" t="s">
        <v>0</v>
      </c>
      <c r="B1305" s="4" t="s">
        <v>17</v>
      </c>
      <c r="C1305" s="16" t="s">
        <v>18</v>
      </c>
      <c r="D1305" s="4">
        <v>10</v>
      </c>
      <c r="E1305" s="4" t="s">
        <v>745</v>
      </c>
      <c r="F1305" t="s">
        <v>232</v>
      </c>
      <c r="G1305" t="s">
        <v>233</v>
      </c>
      <c r="J1305" s="4" t="s">
        <v>88</v>
      </c>
      <c r="K1305" s="4" t="s">
        <v>20</v>
      </c>
      <c r="L1305" s="4" t="s">
        <v>742</v>
      </c>
      <c r="M1305" s="17">
        <v>30</v>
      </c>
      <c r="N1305" s="17">
        <v>820</v>
      </c>
      <c r="O1305" s="18" t="s">
        <v>88</v>
      </c>
      <c r="P1305" s="18">
        <v>820</v>
      </c>
      <c r="Q1305" s="18">
        <v>30</v>
      </c>
      <c r="R1305" s="18" t="s">
        <v>817</v>
      </c>
      <c r="S1305" s="18" t="s">
        <v>788</v>
      </c>
      <c r="T1305" s="18" t="s">
        <v>782</v>
      </c>
      <c r="U13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05" s="19">
        <f>IF(AUDITORIA[[#This Row],[CAT]]="",0,1)</f>
        <v>1</v>
      </c>
      <c r="W1305" s="20">
        <v>46197</v>
      </c>
      <c r="X1305" s="21" t="str">
        <f>UPPER(IF(AUDITORIA[[#This Row],[DATA VERIFICAÇÃO]]="","",TEXT(AUDITORIA[[#This Row],[DATA VERIFICAÇÃO]],"mmm")))</f>
        <v>JUN</v>
      </c>
      <c r="Y1305" t="s">
        <v>598</v>
      </c>
      <c r="Z1305" t="s">
        <v>691</v>
      </c>
      <c r="AA1305" t="s">
        <v>832</v>
      </c>
    </row>
    <row r="1306" spans="1:27" ht="14.4" hidden="1" customHeight="1" x14ac:dyDescent="0.3">
      <c r="A1306" s="4" t="s">
        <v>0</v>
      </c>
      <c r="B1306" s="4" t="s">
        <v>17</v>
      </c>
      <c r="C1306" s="16" t="s">
        <v>18</v>
      </c>
      <c r="D1306" s="4">
        <v>10</v>
      </c>
      <c r="E1306" s="4" t="s">
        <v>745</v>
      </c>
      <c r="F1306" t="s">
        <v>234</v>
      </c>
      <c r="G1306" t="s">
        <v>233</v>
      </c>
      <c r="J1306" s="4" t="s">
        <v>88</v>
      </c>
      <c r="K1306" s="4" t="s">
        <v>21</v>
      </c>
      <c r="L1306" s="4" t="s">
        <v>742</v>
      </c>
      <c r="M1306" s="17">
        <v>17</v>
      </c>
      <c r="N1306" s="17">
        <v>977</v>
      </c>
      <c r="O1306" s="18" t="s">
        <v>88</v>
      </c>
      <c r="P1306" s="18">
        <v>977</v>
      </c>
      <c r="Q1306" s="18">
        <v>17</v>
      </c>
      <c r="R1306" s="18" t="s">
        <v>817</v>
      </c>
      <c r="S1306" s="18" t="s">
        <v>789</v>
      </c>
      <c r="T1306" s="18" t="s">
        <v>794</v>
      </c>
      <c r="U13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06" s="19">
        <f>IF(AUDITORIA[[#This Row],[CAT]]="",0,1)</f>
        <v>1</v>
      </c>
      <c r="W1306" s="20">
        <v>46197</v>
      </c>
      <c r="X1306" s="21" t="str">
        <f>UPPER(IF(AUDITORIA[[#This Row],[DATA VERIFICAÇÃO]]="","",TEXT(AUDITORIA[[#This Row],[DATA VERIFICAÇÃO]],"mmm")))</f>
        <v>JUN</v>
      </c>
      <c r="Y1306" t="s">
        <v>598</v>
      </c>
      <c r="Z1306" t="s">
        <v>691</v>
      </c>
      <c r="AA1306" t="s">
        <v>832</v>
      </c>
    </row>
    <row r="1307" spans="1:27" ht="14.4" hidden="1" customHeight="1" x14ac:dyDescent="0.3">
      <c r="A1307" s="4" t="s">
        <v>0</v>
      </c>
      <c r="B1307" s="4" t="s">
        <v>17</v>
      </c>
      <c r="C1307" s="16" t="s">
        <v>18</v>
      </c>
      <c r="D1307" s="4">
        <v>10</v>
      </c>
      <c r="E1307" s="4" t="s">
        <v>745</v>
      </c>
      <c r="F1307" t="s">
        <v>231</v>
      </c>
      <c r="G1307" t="s">
        <v>85</v>
      </c>
      <c r="J1307" s="4" t="s">
        <v>88</v>
      </c>
      <c r="K1307" s="4" t="s">
        <v>21</v>
      </c>
      <c r="L1307" s="4" t="s">
        <v>742</v>
      </c>
      <c r="M1307" s="17">
        <v>30</v>
      </c>
      <c r="N1307" s="17">
        <v>834</v>
      </c>
      <c r="O1307" s="18" t="s">
        <v>88</v>
      </c>
      <c r="P1307" s="18">
        <v>834</v>
      </c>
      <c r="Q1307" s="18">
        <v>30</v>
      </c>
      <c r="R1307" s="18" t="s">
        <v>778</v>
      </c>
      <c r="S1307" s="18" t="s">
        <v>826</v>
      </c>
      <c r="T1307" s="18" t="s">
        <v>781</v>
      </c>
      <c r="U13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07" s="19">
        <f>IF(AUDITORIA[[#This Row],[CAT]]="",0,1)</f>
        <v>1</v>
      </c>
      <c r="W1307" s="20">
        <v>46197</v>
      </c>
      <c r="X1307" s="21" t="str">
        <f>UPPER(IF(AUDITORIA[[#This Row],[DATA VERIFICAÇÃO]]="","",TEXT(AUDITORIA[[#This Row],[DATA VERIFICAÇÃO]],"mmm")))</f>
        <v>JUN</v>
      </c>
      <c r="Y1307" t="s">
        <v>598</v>
      </c>
      <c r="Z1307" t="s">
        <v>691</v>
      </c>
      <c r="AA1307" t="s">
        <v>832</v>
      </c>
    </row>
    <row r="1308" spans="1:27" ht="14.4" hidden="1" customHeight="1" x14ac:dyDescent="0.3">
      <c r="A1308" s="4" t="s">
        <v>0</v>
      </c>
      <c r="B1308" s="4" t="s">
        <v>17</v>
      </c>
      <c r="C1308" s="16" t="s">
        <v>18</v>
      </c>
      <c r="D1308" s="4">
        <v>10</v>
      </c>
      <c r="E1308" s="4" t="s">
        <v>745</v>
      </c>
      <c r="F1308" t="s">
        <v>230</v>
      </c>
      <c r="G1308" t="s">
        <v>85</v>
      </c>
      <c r="J1308" s="4" t="s">
        <v>88</v>
      </c>
      <c r="K1308" s="4" t="s">
        <v>20</v>
      </c>
      <c r="L1308" s="4" t="s">
        <v>742</v>
      </c>
      <c r="M1308" s="17">
        <v>30</v>
      </c>
      <c r="N1308" s="17">
        <v>684</v>
      </c>
      <c r="O1308" s="18" t="s">
        <v>88</v>
      </c>
      <c r="P1308" s="18">
        <v>684</v>
      </c>
      <c r="Q1308" s="18">
        <v>30</v>
      </c>
      <c r="R1308" s="18" t="s">
        <v>778</v>
      </c>
      <c r="S1308" s="18" t="s">
        <v>802</v>
      </c>
      <c r="T1308" s="18" t="s">
        <v>780</v>
      </c>
      <c r="U13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08" s="19">
        <f>IF(AUDITORIA[[#This Row],[CAT]]="",0,1)</f>
        <v>1</v>
      </c>
      <c r="W1308" s="20">
        <v>46197</v>
      </c>
      <c r="X1308" s="21" t="str">
        <f>UPPER(IF(AUDITORIA[[#This Row],[DATA VERIFICAÇÃO]]="","",TEXT(AUDITORIA[[#This Row],[DATA VERIFICAÇÃO]],"mmm")))</f>
        <v>JUN</v>
      </c>
      <c r="Y1308" t="s">
        <v>598</v>
      </c>
      <c r="Z1308" t="s">
        <v>691</v>
      </c>
      <c r="AA1308" t="s">
        <v>832</v>
      </c>
    </row>
    <row r="1309" spans="1:27" ht="14.4" hidden="1" customHeight="1" x14ac:dyDescent="0.3">
      <c r="A1309" s="4" t="s">
        <v>0</v>
      </c>
      <c r="B1309" s="4" t="s">
        <v>17</v>
      </c>
      <c r="C1309" s="16" t="s">
        <v>18</v>
      </c>
      <c r="D1309" s="4">
        <v>10</v>
      </c>
      <c r="E1309" s="4" t="s">
        <v>745</v>
      </c>
      <c r="F1309" t="s">
        <v>229</v>
      </c>
      <c r="G1309" t="s">
        <v>85</v>
      </c>
      <c r="J1309" s="4" t="s">
        <v>88</v>
      </c>
      <c r="K1309" s="4" t="s">
        <v>21</v>
      </c>
      <c r="L1309" s="4" t="s">
        <v>742</v>
      </c>
      <c r="M1309" s="17">
        <v>30</v>
      </c>
      <c r="N1309" s="17">
        <v>856</v>
      </c>
      <c r="O1309" s="18" t="s">
        <v>88</v>
      </c>
      <c r="P1309" s="18">
        <v>856</v>
      </c>
      <c r="Q1309" s="18">
        <v>30</v>
      </c>
      <c r="R1309" s="18" t="s">
        <v>778</v>
      </c>
      <c r="S1309" s="18" t="s">
        <v>803</v>
      </c>
      <c r="T1309" s="18" t="s">
        <v>780</v>
      </c>
      <c r="U13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09" s="19">
        <f>IF(AUDITORIA[[#This Row],[CAT]]="",0,1)</f>
        <v>1</v>
      </c>
      <c r="W1309" s="20">
        <v>46197</v>
      </c>
      <c r="X1309" s="21" t="str">
        <f>UPPER(IF(AUDITORIA[[#This Row],[DATA VERIFICAÇÃO]]="","",TEXT(AUDITORIA[[#This Row],[DATA VERIFICAÇÃO]],"mmm")))</f>
        <v>JUN</v>
      </c>
      <c r="Y1309" t="s">
        <v>598</v>
      </c>
      <c r="Z1309" t="s">
        <v>691</v>
      </c>
      <c r="AA1309" t="s">
        <v>832</v>
      </c>
    </row>
    <row r="1310" spans="1:27" ht="14.4" hidden="1" customHeight="1" x14ac:dyDescent="0.3">
      <c r="A1310" s="4" t="s">
        <v>0</v>
      </c>
      <c r="B1310" s="4" t="s">
        <v>17</v>
      </c>
      <c r="C1310" s="16" t="s">
        <v>18</v>
      </c>
      <c r="D1310" s="4">
        <v>10</v>
      </c>
      <c r="E1310" s="4" t="s">
        <v>745</v>
      </c>
      <c r="F1310" t="s">
        <v>228</v>
      </c>
      <c r="G1310" t="s">
        <v>85</v>
      </c>
      <c r="J1310" s="4" t="s">
        <v>88</v>
      </c>
      <c r="K1310" s="4" t="s">
        <v>20</v>
      </c>
      <c r="L1310" s="4" t="s">
        <v>742</v>
      </c>
      <c r="M1310" s="17">
        <v>30</v>
      </c>
      <c r="N1310" s="17">
        <v>693</v>
      </c>
      <c r="O1310" s="18" t="s">
        <v>88</v>
      </c>
      <c r="P1310" s="18">
        <v>693</v>
      </c>
      <c r="Q1310" s="18">
        <v>30</v>
      </c>
      <c r="R1310" s="18" t="s">
        <v>778</v>
      </c>
      <c r="S1310" s="18" t="s">
        <v>797</v>
      </c>
      <c r="T1310" s="18" t="s">
        <v>781</v>
      </c>
      <c r="U13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10" s="19">
        <f>IF(AUDITORIA[[#This Row],[CAT]]="",0,1)</f>
        <v>1</v>
      </c>
      <c r="W1310" s="20">
        <v>46197</v>
      </c>
      <c r="X1310" s="21" t="str">
        <f>UPPER(IF(AUDITORIA[[#This Row],[DATA VERIFICAÇÃO]]="","",TEXT(AUDITORIA[[#This Row],[DATA VERIFICAÇÃO]],"mmm")))</f>
        <v>JUN</v>
      </c>
      <c r="Y1310" t="s">
        <v>598</v>
      </c>
      <c r="Z1310" t="s">
        <v>691</v>
      </c>
      <c r="AA1310" t="s">
        <v>832</v>
      </c>
    </row>
    <row r="1311" spans="1:27" ht="14.4" hidden="1" customHeight="1" x14ac:dyDescent="0.3">
      <c r="A1311" s="4" t="s">
        <v>0</v>
      </c>
      <c r="B1311" s="4" t="s">
        <v>17</v>
      </c>
      <c r="C1311" s="16" t="s">
        <v>18</v>
      </c>
      <c r="D1311" s="4">
        <v>10</v>
      </c>
      <c r="E1311" s="4" t="s">
        <v>745</v>
      </c>
      <c r="F1311" t="s">
        <v>226</v>
      </c>
      <c r="G1311" t="s">
        <v>85</v>
      </c>
      <c r="J1311" s="4" t="s">
        <v>88</v>
      </c>
      <c r="K1311" s="4" t="s">
        <v>21</v>
      </c>
      <c r="L1311" s="4" t="s">
        <v>742</v>
      </c>
      <c r="M1311" s="17">
        <v>30</v>
      </c>
      <c r="N1311" s="17">
        <v>872</v>
      </c>
      <c r="O1311" s="18" t="s">
        <v>88</v>
      </c>
      <c r="P1311" s="18">
        <v>872</v>
      </c>
      <c r="Q1311" s="18">
        <v>30</v>
      </c>
      <c r="R1311" s="18" t="s">
        <v>778</v>
      </c>
      <c r="S1311" s="18" t="s">
        <v>801</v>
      </c>
      <c r="T1311" s="18" t="s">
        <v>781</v>
      </c>
      <c r="U13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11" s="19">
        <f>IF(AUDITORIA[[#This Row],[CAT]]="",0,1)</f>
        <v>1</v>
      </c>
      <c r="W1311" s="20">
        <v>46197</v>
      </c>
      <c r="X1311" s="21" t="str">
        <f>UPPER(IF(AUDITORIA[[#This Row],[DATA VERIFICAÇÃO]]="","",TEXT(AUDITORIA[[#This Row],[DATA VERIFICAÇÃO]],"mmm")))</f>
        <v>JUN</v>
      </c>
      <c r="Y1311" t="s">
        <v>598</v>
      </c>
      <c r="Z1311" t="s">
        <v>691</v>
      </c>
      <c r="AA1311" t="s">
        <v>832</v>
      </c>
    </row>
    <row r="1312" spans="1:27" ht="14.4" hidden="1" customHeight="1" x14ac:dyDescent="0.3">
      <c r="A1312" s="4" t="s">
        <v>0</v>
      </c>
      <c r="B1312" s="4" t="s">
        <v>17</v>
      </c>
      <c r="C1312" s="16" t="s">
        <v>18</v>
      </c>
      <c r="D1312" s="4">
        <v>10</v>
      </c>
      <c r="E1312" s="4" t="s">
        <v>745</v>
      </c>
      <c r="F1312" t="s">
        <v>227</v>
      </c>
      <c r="G1312" t="s">
        <v>85</v>
      </c>
      <c r="J1312" s="4" t="s">
        <v>88</v>
      </c>
      <c r="K1312" s="4" t="s">
        <v>20</v>
      </c>
      <c r="L1312" s="4" t="s">
        <v>742</v>
      </c>
      <c r="M1312" s="17">
        <v>30</v>
      </c>
      <c r="N1312" s="17">
        <v>697</v>
      </c>
      <c r="O1312" s="18" t="s">
        <v>88</v>
      </c>
      <c r="P1312" s="18">
        <v>697</v>
      </c>
      <c r="Q1312" s="18">
        <v>30</v>
      </c>
      <c r="R1312" s="18" t="s">
        <v>778</v>
      </c>
      <c r="S1312" s="18" t="s">
        <v>799</v>
      </c>
      <c r="T1312" s="18" t="s">
        <v>794</v>
      </c>
      <c r="U13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12" s="19">
        <f>IF(AUDITORIA[[#This Row],[CAT]]="",0,1)</f>
        <v>1</v>
      </c>
      <c r="W1312" s="20">
        <v>46197</v>
      </c>
      <c r="X1312" s="21" t="str">
        <f>UPPER(IF(AUDITORIA[[#This Row],[DATA VERIFICAÇÃO]]="","",TEXT(AUDITORIA[[#This Row],[DATA VERIFICAÇÃO]],"mmm")))</f>
        <v>JUN</v>
      </c>
      <c r="Y1312" t="s">
        <v>598</v>
      </c>
      <c r="Z1312" t="s">
        <v>691</v>
      </c>
      <c r="AA1312" t="s">
        <v>832</v>
      </c>
    </row>
    <row r="1313" spans="1:27" ht="14.4" hidden="1" customHeight="1" x14ac:dyDescent="0.3">
      <c r="A1313" s="4" t="s">
        <v>0</v>
      </c>
      <c r="B1313" s="4" t="s">
        <v>17</v>
      </c>
      <c r="C1313" s="16" t="s">
        <v>18</v>
      </c>
      <c r="D1313" s="4">
        <v>10</v>
      </c>
      <c r="E1313" s="4" t="s">
        <v>745</v>
      </c>
      <c r="F1313" t="s">
        <v>225</v>
      </c>
      <c r="G1313" t="s">
        <v>85</v>
      </c>
      <c r="J1313" s="4" t="s">
        <v>88</v>
      </c>
      <c r="K1313" s="4" t="s">
        <v>21</v>
      </c>
      <c r="L1313" s="4" t="s">
        <v>742</v>
      </c>
      <c r="M1313" s="17">
        <v>30</v>
      </c>
      <c r="N1313" s="17">
        <v>876</v>
      </c>
      <c r="O1313" s="18" t="s">
        <v>88</v>
      </c>
      <c r="P1313" s="18">
        <v>876</v>
      </c>
      <c r="Q1313" s="18">
        <v>30</v>
      </c>
      <c r="R1313" s="18" t="s">
        <v>778</v>
      </c>
      <c r="S1313" s="18" t="s">
        <v>826</v>
      </c>
      <c r="T1313" s="18" t="s">
        <v>780</v>
      </c>
      <c r="U13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13" s="19">
        <f>IF(AUDITORIA[[#This Row],[CAT]]="",0,1)</f>
        <v>1</v>
      </c>
      <c r="W1313" s="20">
        <v>46197</v>
      </c>
      <c r="X1313" s="21" t="str">
        <f>UPPER(IF(AUDITORIA[[#This Row],[DATA VERIFICAÇÃO]]="","",TEXT(AUDITORIA[[#This Row],[DATA VERIFICAÇÃO]],"mmm")))</f>
        <v>JUN</v>
      </c>
      <c r="Y1313" t="s">
        <v>598</v>
      </c>
      <c r="Z1313" t="s">
        <v>691</v>
      </c>
      <c r="AA1313" t="s">
        <v>832</v>
      </c>
    </row>
    <row r="1314" spans="1:27" ht="14.4" hidden="1" customHeight="1" x14ac:dyDescent="0.3">
      <c r="A1314" s="4" t="s">
        <v>0</v>
      </c>
      <c r="B1314" s="4" t="s">
        <v>17</v>
      </c>
      <c r="C1314" s="16" t="s">
        <v>18</v>
      </c>
      <c r="D1314" s="4">
        <v>10</v>
      </c>
      <c r="E1314" s="4" t="s">
        <v>745</v>
      </c>
      <c r="F1314" t="s">
        <v>224</v>
      </c>
      <c r="G1314" t="s">
        <v>85</v>
      </c>
      <c r="J1314" s="4" t="s">
        <v>88</v>
      </c>
      <c r="K1314" s="4" t="s">
        <v>20</v>
      </c>
      <c r="L1314" s="4" t="s">
        <v>742</v>
      </c>
      <c r="M1314" s="17">
        <v>30</v>
      </c>
      <c r="N1314" s="17">
        <v>696</v>
      </c>
      <c r="O1314" s="18" t="s">
        <v>88</v>
      </c>
      <c r="P1314" s="18">
        <v>696</v>
      </c>
      <c r="Q1314" s="18">
        <v>30</v>
      </c>
      <c r="R1314" s="18" t="s">
        <v>778</v>
      </c>
      <c r="S1314" s="18" t="s">
        <v>812</v>
      </c>
      <c r="T1314" s="18" t="s">
        <v>782</v>
      </c>
      <c r="U13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14" s="19">
        <f>IF(AUDITORIA[[#This Row],[CAT]]="",0,1)</f>
        <v>1</v>
      </c>
      <c r="W1314" s="20">
        <v>46197</v>
      </c>
      <c r="X1314" s="21" t="str">
        <f>UPPER(IF(AUDITORIA[[#This Row],[DATA VERIFICAÇÃO]]="","",TEXT(AUDITORIA[[#This Row],[DATA VERIFICAÇÃO]],"mmm")))</f>
        <v>JUN</v>
      </c>
      <c r="Y1314" t="s">
        <v>598</v>
      </c>
      <c r="Z1314" t="s">
        <v>691</v>
      </c>
      <c r="AA1314" t="s">
        <v>832</v>
      </c>
    </row>
    <row r="1315" spans="1:27" ht="14.4" hidden="1" customHeight="1" x14ac:dyDescent="0.3">
      <c r="A1315" s="4" t="s">
        <v>0</v>
      </c>
      <c r="B1315" s="4" t="s">
        <v>17</v>
      </c>
      <c r="C1315" s="16" t="s">
        <v>18</v>
      </c>
      <c r="D1315" s="4">
        <v>10</v>
      </c>
      <c r="E1315" s="4" t="s">
        <v>745</v>
      </c>
      <c r="F1315" t="s">
        <v>223</v>
      </c>
      <c r="G1315" t="s">
        <v>85</v>
      </c>
      <c r="J1315" s="4" t="s">
        <v>88</v>
      </c>
      <c r="K1315" s="4" t="s">
        <v>21</v>
      </c>
      <c r="L1315" s="4" t="s">
        <v>742</v>
      </c>
      <c r="M1315" s="17">
        <v>30</v>
      </c>
      <c r="N1315" s="17">
        <v>852</v>
      </c>
      <c r="O1315" s="18" t="s">
        <v>88</v>
      </c>
      <c r="P1315" s="18">
        <v>852</v>
      </c>
      <c r="Q1315" s="18">
        <v>30</v>
      </c>
      <c r="R1315" s="18" t="s">
        <v>778</v>
      </c>
      <c r="S1315" s="18" t="s">
        <v>801</v>
      </c>
      <c r="T1315" s="18" t="s">
        <v>780</v>
      </c>
      <c r="U13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15" s="19">
        <f>IF(AUDITORIA[[#This Row],[CAT]]="",0,1)</f>
        <v>1</v>
      </c>
      <c r="W1315" s="20">
        <v>46197</v>
      </c>
      <c r="X1315" s="21" t="str">
        <f>UPPER(IF(AUDITORIA[[#This Row],[DATA VERIFICAÇÃO]]="","",TEXT(AUDITORIA[[#This Row],[DATA VERIFICAÇÃO]],"mmm")))</f>
        <v>JUN</v>
      </c>
      <c r="Y1315" t="s">
        <v>598</v>
      </c>
      <c r="Z1315" t="s">
        <v>691</v>
      </c>
      <c r="AA1315" t="s">
        <v>832</v>
      </c>
    </row>
    <row r="1316" spans="1:27" ht="14.4" hidden="1" customHeight="1" x14ac:dyDescent="0.3">
      <c r="A1316" s="4" t="s">
        <v>0</v>
      </c>
      <c r="B1316" s="4" t="s">
        <v>17</v>
      </c>
      <c r="C1316" s="16" t="s">
        <v>18</v>
      </c>
      <c r="D1316" s="4">
        <v>10</v>
      </c>
      <c r="E1316" s="4" t="s">
        <v>745</v>
      </c>
      <c r="F1316" t="s">
        <v>222</v>
      </c>
      <c r="G1316" t="s">
        <v>85</v>
      </c>
      <c r="J1316" s="4" t="s">
        <v>88</v>
      </c>
      <c r="K1316" s="4" t="s">
        <v>20</v>
      </c>
      <c r="L1316" s="4" t="s">
        <v>742</v>
      </c>
      <c r="M1316" s="17">
        <v>30</v>
      </c>
      <c r="N1316" s="17">
        <v>698</v>
      </c>
      <c r="O1316" s="18" t="s">
        <v>88</v>
      </c>
      <c r="P1316" s="18">
        <v>698</v>
      </c>
      <c r="Q1316" s="18">
        <v>30</v>
      </c>
      <c r="R1316" s="18" t="s">
        <v>778</v>
      </c>
      <c r="S1316" s="18" t="s">
        <v>802</v>
      </c>
      <c r="T1316" s="18" t="s">
        <v>782</v>
      </c>
      <c r="U13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16" s="19">
        <f>IF(AUDITORIA[[#This Row],[CAT]]="",0,1)</f>
        <v>1</v>
      </c>
      <c r="W1316" s="20">
        <v>46197</v>
      </c>
      <c r="X1316" s="21" t="str">
        <f>UPPER(IF(AUDITORIA[[#This Row],[DATA VERIFICAÇÃO]]="","",TEXT(AUDITORIA[[#This Row],[DATA VERIFICAÇÃO]],"mmm")))</f>
        <v>JUN</v>
      </c>
      <c r="Y1316" t="s">
        <v>598</v>
      </c>
      <c r="Z1316" t="s">
        <v>691</v>
      </c>
      <c r="AA1316" t="s">
        <v>832</v>
      </c>
    </row>
    <row r="1317" spans="1:27" ht="14.4" hidden="1" customHeight="1" x14ac:dyDescent="0.3">
      <c r="A1317" s="4" t="s">
        <v>0</v>
      </c>
      <c r="B1317" s="4" t="s">
        <v>17</v>
      </c>
      <c r="C1317" s="16" t="s">
        <v>18</v>
      </c>
      <c r="D1317" s="4">
        <v>10</v>
      </c>
      <c r="E1317" s="4" t="s">
        <v>745</v>
      </c>
      <c r="F1317" t="s">
        <v>221</v>
      </c>
      <c r="G1317" t="s">
        <v>85</v>
      </c>
      <c r="J1317" s="4" t="s">
        <v>88</v>
      </c>
      <c r="K1317" s="4" t="s">
        <v>21</v>
      </c>
      <c r="L1317" s="4" t="s">
        <v>742</v>
      </c>
      <c r="M1317" s="17">
        <v>30</v>
      </c>
      <c r="N1317" s="17">
        <v>854</v>
      </c>
      <c r="O1317" s="18" t="s">
        <v>88</v>
      </c>
      <c r="P1317" s="18">
        <v>854</v>
      </c>
      <c r="Q1317" s="18">
        <v>30</v>
      </c>
      <c r="R1317" s="18" t="s">
        <v>814</v>
      </c>
      <c r="S1317" s="18" t="s">
        <v>803</v>
      </c>
      <c r="T1317" s="18" t="s">
        <v>794</v>
      </c>
      <c r="U13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17" s="19">
        <f>IF(AUDITORIA[[#This Row],[CAT]]="",0,1)</f>
        <v>1</v>
      </c>
      <c r="W1317" s="20">
        <v>46197</v>
      </c>
      <c r="X1317" s="21" t="str">
        <f>UPPER(IF(AUDITORIA[[#This Row],[DATA VERIFICAÇÃO]]="","",TEXT(AUDITORIA[[#This Row],[DATA VERIFICAÇÃO]],"mmm")))</f>
        <v>JUN</v>
      </c>
      <c r="Y1317" t="s">
        <v>598</v>
      </c>
      <c r="Z1317" t="s">
        <v>691</v>
      </c>
      <c r="AA1317" t="s">
        <v>832</v>
      </c>
    </row>
    <row r="1318" spans="1:27" ht="14.4" hidden="1" customHeight="1" x14ac:dyDescent="0.3">
      <c r="A1318" s="4" t="s">
        <v>0</v>
      </c>
      <c r="B1318" s="4" t="s">
        <v>17</v>
      </c>
      <c r="C1318" s="16" t="s">
        <v>18</v>
      </c>
      <c r="D1318" s="4">
        <v>10</v>
      </c>
      <c r="E1318" s="4" t="s">
        <v>745</v>
      </c>
      <c r="F1318" t="s">
        <v>220</v>
      </c>
      <c r="G1318" t="s">
        <v>85</v>
      </c>
      <c r="J1318" s="4" t="s">
        <v>88</v>
      </c>
      <c r="K1318" s="4" t="s">
        <v>20</v>
      </c>
      <c r="L1318" s="4" t="s">
        <v>742</v>
      </c>
      <c r="M1318" s="17">
        <v>30</v>
      </c>
      <c r="N1318" s="17">
        <v>699</v>
      </c>
      <c r="O1318" s="18" t="s">
        <v>88</v>
      </c>
      <c r="P1318" s="18">
        <v>699</v>
      </c>
      <c r="Q1318" s="18">
        <v>30</v>
      </c>
      <c r="R1318" s="18" t="s">
        <v>778</v>
      </c>
      <c r="S1318" s="18" t="s">
        <v>797</v>
      </c>
      <c r="T1318" s="18" t="s">
        <v>782</v>
      </c>
      <c r="U13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18" s="19">
        <f>IF(AUDITORIA[[#This Row],[CAT]]="",0,1)</f>
        <v>1</v>
      </c>
      <c r="W1318" s="20">
        <v>46197</v>
      </c>
      <c r="X1318" s="21" t="str">
        <f>UPPER(IF(AUDITORIA[[#This Row],[DATA VERIFICAÇÃO]]="","",TEXT(AUDITORIA[[#This Row],[DATA VERIFICAÇÃO]],"mmm")))</f>
        <v>JUN</v>
      </c>
      <c r="Y1318" t="s">
        <v>598</v>
      </c>
      <c r="Z1318" t="s">
        <v>691</v>
      </c>
      <c r="AA1318" t="s">
        <v>832</v>
      </c>
    </row>
    <row r="1319" spans="1:27" ht="14.4" hidden="1" customHeight="1" x14ac:dyDescent="0.3">
      <c r="A1319" s="4" t="s">
        <v>0</v>
      </c>
      <c r="B1319" s="4" t="s">
        <v>17</v>
      </c>
      <c r="C1319" s="16" t="s">
        <v>18</v>
      </c>
      <c r="D1319" s="4">
        <v>10</v>
      </c>
      <c r="E1319" s="4" t="s">
        <v>745</v>
      </c>
      <c r="F1319" t="s">
        <v>219</v>
      </c>
      <c r="G1319" t="s">
        <v>85</v>
      </c>
      <c r="J1319" s="4" t="s">
        <v>88</v>
      </c>
      <c r="K1319" s="4" t="s">
        <v>21</v>
      </c>
      <c r="L1319" s="4" t="s">
        <v>742</v>
      </c>
      <c r="M1319" s="17">
        <v>30</v>
      </c>
      <c r="N1319" s="17">
        <v>883</v>
      </c>
      <c r="O1319" s="18" t="s">
        <v>88</v>
      </c>
      <c r="P1319" s="18">
        <v>883</v>
      </c>
      <c r="Q1319" s="18">
        <v>30</v>
      </c>
      <c r="R1319" s="18" t="s">
        <v>814</v>
      </c>
      <c r="S1319" s="18" t="s">
        <v>803</v>
      </c>
      <c r="T1319" s="18" t="s">
        <v>782</v>
      </c>
      <c r="U13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19" s="19">
        <f>IF(AUDITORIA[[#This Row],[CAT]]="",0,1)</f>
        <v>1</v>
      </c>
      <c r="W1319" s="20">
        <v>46197</v>
      </c>
      <c r="X1319" s="21" t="str">
        <f>UPPER(IF(AUDITORIA[[#This Row],[DATA VERIFICAÇÃO]]="","",TEXT(AUDITORIA[[#This Row],[DATA VERIFICAÇÃO]],"mmm")))</f>
        <v>JUN</v>
      </c>
      <c r="Y1319" t="s">
        <v>598</v>
      </c>
      <c r="Z1319" t="s">
        <v>691</v>
      </c>
      <c r="AA1319" t="s">
        <v>832</v>
      </c>
    </row>
    <row r="1320" spans="1:27" ht="14.4" hidden="1" customHeight="1" x14ac:dyDescent="0.3">
      <c r="A1320" s="4" t="s">
        <v>0</v>
      </c>
      <c r="B1320" s="4" t="s">
        <v>17</v>
      </c>
      <c r="C1320" s="16" t="s">
        <v>18</v>
      </c>
      <c r="D1320" s="4">
        <v>10</v>
      </c>
      <c r="E1320" s="4" t="s">
        <v>745</v>
      </c>
      <c r="F1320" t="s">
        <v>218</v>
      </c>
      <c r="G1320" t="s">
        <v>835</v>
      </c>
      <c r="J1320" s="4" t="s">
        <v>19</v>
      </c>
      <c r="K1320" s="4" t="s">
        <v>21</v>
      </c>
      <c r="L1320" s="4" t="s">
        <v>742</v>
      </c>
      <c r="M1320" s="17">
        <v>24</v>
      </c>
      <c r="N1320" s="17">
        <v>1033</v>
      </c>
      <c r="O1320" s="18" t="s">
        <v>19</v>
      </c>
      <c r="P1320" s="18">
        <v>1033</v>
      </c>
      <c r="Q1320" s="18">
        <v>24</v>
      </c>
      <c r="R1320" s="18" t="s">
        <v>817</v>
      </c>
      <c r="S1320" s="18" t="s">
        <v>790</v>
      </c>
      <c r="T1320" s="18" t="s">
        <v>780</v>
      </c>
      <c r="U13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20" s="19">
        <f>IF(AUDITORIA[[#This Row],[CAT]]="",0,1)</f>
        <v>1</v>
      </c>
      <c r="W1320" s="20">
        <v>46197</v>
      </c>
      <c r="X1320" s="21" t="str">
        <f>UPPER(IF(AUDITORIA[[#This Row],[DATA VERIFICAÇÃO]]="","",TEXT(AUDITORIA[[#This Row],[DATA VERIFICAÇÃO]],"mmm")))</f>
        <v>JUN</v>
      </c>
      <c r="Y1320" t="s">
        <v>598</v>
      </c>
      <c r="Z1320" t="s">
        <v>691</v>
      </c>
      <c r="AA1320" t="s">
        <v>832</v>
      </c>
    </row>
    <row r="1321" spans="1:27" ht="14.4" hidden="1" customHeight="1" x14ac:dyDescent="0.3">
      <c r="A1321" s="4" t="s">
        <v>0</v>
      </c>
      <c r="B1321" s="4" t="s">
        <v>17</v>
      </c>
      <c r="C1321" s="16" t="s">
        <v>18</v>
      </c>
      <c r="D1321" s="4">
        <v>10</v>
      </c>
      <c r="E1321" s="4" t="s">
        <v>745</v>
      </c>
      <c r="F1321" t="s">
        <v>216</v>
      </c>
      <c r="G1321" t="s">
        <v>835</v>
      </c>
      <c r="J1321" s="4" t="s">
        <v>19</v>
      </c>
      <c r="K1321" s="4" t="s">
        <v>20</v>
      </c>
      <c r="L1321" s="4" t="s">
        <v>742</v>
      </c>
      <c r="M1321" s="17">
        <v>30</v>
      </c>
      <c r="N1321" s="17">
        <v>814</v>
      </c>
      <c r="O1321" s="18" t="s">
        <v>19</v>
      </c>
      <c r="P1321" s="18">
        <v>814</v>
      </c>
      <c r="Q1321" s="18">
        <v>30</v>
      </c>
      <c r="R1321" s="18" t="s">
        <v>817</v>
      </c>
      <c r="S1321" s="18" t="s">
        <v>791</v>
      </c>
      <c r="T1321" s="18" t="s">
        <v>780</v>
      </c>
      <c r="U13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21" s="19">
        <f>IF(AUDITORIA[[#This Row],[CAT]]="",0,1)</f>
        <v>1</v>
      </c>
      <c r="W1321" s="20">
        <v>46197</v>
      </c>
      <c r="X1321" s="21" t="str">
        <f>UPPER(IF(AUDITORIA[[#This Row],[DATA VERIFICAÇÃO]]="","",TEXT(AUDITORIA[[#This Row],[DATA VERIFICAÇÃO]],"mmm")))</f>
        <v>JUN</v>
      </c>
      <c r="Y1321" t="s">
        <v>598</v>
      </c>
      <c r="Z1321" t="s">
        <v>691</v>
      </c>
      <c r="AA1321" t="s">
        <v>832</v>
      </c>
    </row>
    <row r="1322" spans="1:27" ht="14.4" hidden="1" customHeight="1" x14ac:dyDescent="0.3">
      <c r="A1322" s="4" t="s">
        <v>0</v>
      </c>
      <c r="B1322" s="4" t="s">
        <v>17</v>
      </c>
      <c r="C1322" s="16" t="s">
        <v>18</v>
      </c>
      <c r="D1322" s="4">
        <v>10</v>
      </c>
      <c r="E1322" s="4" t="s">
        <v>745</v>
      </c>
      <c r="F1322" t="s">
        <v>217</v>
      </c>
      <c r="G1322" t="s">
        <v>835</v>
      </c>
      <c r="J1322" s="4" t="s">
        <v>19</v>
      </c>
      <c r="K1322" s="4" t="s">
        <v>21</v>
      </c>
      <c r="L1322" s="4" t="s">
        <v>742</v>
      </c>
      <c r="M1322" s="17">
        <v>24</v>
      </c>
      <c r="N1322" s="17">
        <v>1014</v>
      </c>
      <c r="O1322" s="18" t="s">
        <v>19</v>
      </c>
      <c r="P1322" s="18">
        <v>1014</v>
      </c>
      <c r="Q1322" s="18">
        <v>24</v>
      </c>
      <c r="R1322" s="18" t="s">
        <v>817</v>
      </c>
      <c r="S1322" s="18" t="s">
        <v>790</v>
      </c>
      <c r="T1322" s="18" t="s">
        <v>782</v>
      </c>
      <c r="U13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22" s="19">
        <f>IF(AUDITORIA[[#This Row],[CAT]]="",0,1)</f>
        <v>1</v>
      </c>
      <c r="W1322" s="20">
        <v>46197</v>
      </c>
      <c r="X1322" s="21" t="str">
        <f>UPPER(IF(AUDITORIA[[#This Row],[DATA VERIFICAÇÃO]]="","",TEXT(AUDITORIA[[#This Row],[DATA VERIFICAÇÃO]],"mmm")))</f>
        <v>JUN</v>
      </c>
      <c r="Y1322" t="s">
        <v>598</v>
      </c>
      <c r="Z1322" t="s">
        <v>691</v>
      </c>
      <c r="AA1322" t="s">
        <v>832</v>
      </c>
    </row>
    <row r="1323" spans="1:27" ht="14.4" hidden="1" customHeight="1" x14ac:dyDescent="0.3">
      <c r="A1323" s="4" t="s">
        <v>0</v>
      </c>
      <c r="B1323" s="4" t="s">
        <v>17</v>
      </c>
      <c r="C1323" s="16" t="s">
        <v>18</v>
      </c>
      <c r="D1323" s="4">
        <v>10</v>
      </c>
      <c r="E1323" s="4" t="s">
        <v>745</v>
      </c>
      <c r="F1323" t="s">
        <v>213</v>
      </c>
      <c r="G1323" t="s">
        <v>835</v>
      </c>
      <c r="J1323" s="4" t="s">
        <v>19</v>
      </c>
      <c r="K1323" s="4" t="s">
        <v>20</v>
      </c>
      <c r="L1323" s="4" t="s">
        <v>742</v>
      </c>
      <c r="M1323" s="17">
        <v>30</v>
      </c>
      <c r="N1323" s="17">
        <v>824</v>
      </c>
      <c r="O1323" s="18" t="s">
        <v>19</v>
      </c>
      <c r="P1323" s="18">
        <v>824</v>
      </c>
      <c r="Q1323" s="18">
        <v>30</v>
      </c>
      <c r="R1323" s="18" t="s">
        <v>817</v>
      </c>
      <c r="S1323" s="18" t="s">
        <v>791</v>
      </c>
      <c r="T1323" s="18" t="s">
        <v>781</v>
      </c>
      <c r="U13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23" s="19">
        <f>IF(AUDITORIA[[#This Row],[CAT]]="",0,1)</f>
        <v>1</v>
      </c>
      <c r="W1323" s="20">
        <v>46197</v>
      </c>
      <c r="X1323" s="21" t="str">
        <f>UPPER(IF(AUDITORIA[[#This Row],[DATA VERIFICAÇÃO]]="","",TEXT(AUDITORIA[[#This Row],[DATA VERIFICAÇÃO]],"mmm")))</f>
        <v>JUN</v>
      </c>
      <c r="Y1323" t="s">
        <v>598</v>
      </c>
      <c r="Z1323" t="s">
        <v>691</v>
      </c>
      <c r="AA1323" t="s">
        <v>832</v>
      </c>
    </row>
    <row r="1324" spans="1:27" ht="14.4" hidden="1" customHeight="1" x14ac:dyDescent="0.3">
      <c r="A1324" s="4" t="s">
        <v>0</v>
      </c>
      <c r="B1324" s="4" t="s">
        <v>17</v>
      </c>
      <c r="C1324" s="16" t="s">
        <v>18</v>
      </c>
      <c r="D1324" s="4">
        <v>10</v>
      </c>
      <c r="E1324" s="4" t="s">
        <v>745</v>
      </c>
      <c r="F1324" t="s">
        <v>215</v>
      </c>
      <c r="G1324" t="s">
        <v>835</v>
      </c>
      <c r="J1324" s="4" t="s">
        <v>19</v>
      </c>
      <c r="K1324" s="4" t="s">
        <v>21</v>
      </c>
      <c r="L1324" s="4" t="s">
        <v>742</v>
      </c>
      <c r="M1324" s="17">
        <v>24</v>
      </c>
      <c r="N1324" s="17">
        <v>1015</v>
      </c>
      <c r="O1324" s="18" t="s">
        <v>19</v>
      </c>
      <c r="P1324" s="18">
        <v>1015</v>
      </c>
      <c r="Q1324" s="18">
        <v>24</v>
      </c>
      <c r="R1324" s="18" t="s">
        <v>817</v>
      </c>
      <c r="S1324" s="18" t="s">
        <v>790</v>
      </c>
      <c r="T1324" s="18" t="s">
        <v>781</v>
      </c>
      <c r="U13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24" s="19">
        <f>IF(AUDITORIA[[#This Row],[CAT]]="",0,1)</f>
        <v>1</v>
      </c>
      <c r="W1324" s="20">
        <v>46197</v>
      </c>
      <c r="X1324" s="21" t="str">
        <f>UPPER(IF(AUDITORIA[[#This Row],[DATA VERIFICAÇÃO]]="","",TEXT(AUDITORIA[[#This Row],[DATA VERIFICAÇÃO]],"mmm")))</f>
        <v>JUN</v>
      </c>
      <c r="Y1324" t="s">
        <v>598</v>
      </c>
      <c r="Z1324" t="s">
        <v>691</v>
      </c>
      <c r="AA1324" t="s">
        <v>832</v>
      </c>
    </row>
    <row r="1325" spans="1:27" ht="14.4" hidden="1" customHeight="1" x14ac:dyDescent="0.3">
      <c r="A1325" s="4" t="s">
        <v>0</v>
      </c>
      <c r="B1325" s="4" t="s">
        <v>17</v>
      </c>
      <c r="C1325" s="16" t="s">
        <v>18</v>
      </c>
      <c r="D1325" s="4">
        <v>10</v>
      </c>
      <c r="E1325" s="4" t="s">
        <v>745</v>
      </c>
      <c r="F1325" t="s">
        <v>214</v>
      </c>
      <c r="G1325" t="s">
        <v>835</v>
      </c>
      <c r="J1325" s="4" t="s">
        <v>19</v>
      </c>
      <c r="K1325" s="4" t="s">
        <v>21</v>
      </c>
      <c r="L1325" s="4" t="s">
        <v>742</v>
      </c>
      <c r="M1325" s="17">
        <v>27</v>
      </c>
      <c r="N1325" s="17">
        <v>1000</v>
      </c>
      <c r="O1325" s="18" t="s">
        <v>19</v>
      </c>
      <c r="P1325" s="18">
        <v>1000</v>
      </c>
      <c r="Q1325" s="18">
        <v>27</v>
      </c>
      <c r="R1325" s="18" t="s">
        <v>817</v>
      </c>
      <c r="S1325" s="18" t="s">
        <v>790</v>
      </c>
      <c r="T1325" s="18" t="s">
        <v>794</v>
      </c>
      <c r="U13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25" s="19">
        <f>IF(AUDITORIA[[#This Row],[CAT]]="",0,1)</f>
        <v>1</v>
      </c>
      <c r="W1325" s="20">
        <v>46197</v>
      </c>
      <c r="X1325" s="21" t="str">
        <f>UPPER(IF(AUDITORIA[[#This Row],[DATA VERIFICAÇÃO]]="","",TEXT(AUDITORIA[[#This Row],[DATA VERIFICAÇÃO]],"mmm")))</f>
        <v>JUN</v>
      </c>
      <c r="Y1325" t="s">
        <v>598</v>
      </c>
      <c r="Z1325" t="s">
        <v>691</v>
      </c>
      <c r="AA1325" t="s">
        <v>832</v>
      </c>
    </row>
    <row r="1326" spans="1:27" ht="14.4" hidden="1" customHeight="1" x14ac:dyDescent="0.3">
      <c r="A1326" s="4" t="s">
        <v>0</v>
      </c>
      <c r="B1326" s="4" t="s">
        <v>17</v>
      </c>
      <c r="C1326" s="16" t="s">
        <v>18</v>
      </c>
      <c r="D1326" s="4">
        <v>10</v>
      </c>
      <c r="E1326" s="4" t="s">
        <v>745</v>
      </c>
      <c r="F1326" t="s">
        <v>212</v>
      </c>
      <c r="G1326" t="s">
        <v>835</v>
      </c>
      <c r="J1326" s="4" t="s">
        <v>19</v>
      </c>
      <c r="K1326" s="4" t="s">
        <v>21</v>
      </c>
      <c r="L1326" s="4" t="s">
        <v>742</v>
      </c>
      <c r="M1326" s="17">
        <v>27</v>
      </c>
      <c r="N1326" s="17">
        <v>992</v>
      </c>
      <c r="O1326" s="18" t="s">
        <v>19</v>
      </c>
      <c r="P1326" s="18">
        <v>992</v>
      </c>
      <c r="Q1326" s="18">
        <v>27</v>
      </c>
      <c r="R1326" s="18" t="s">
        <v>817</v>
      </c>
      <c r="S1326" s="18" t="s">
        <v>792</v>
      </c>
      <c r="T1326" s="18" t="s">
        <v>780</v>
      </c>
      <c r="U13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26" s="19">
        <f>IF(AUDITORIA[[#This Row],[CAT]]="",0,1)</f>
        <v>1</v>
      </c>
      <c r="W1326" s="20">
        <v>46197</v>
      </c>
      <c r="X1326" s="21" t="str">
        <f>UPPER(IF(AUDITORIA[[#This Row],[DATA VERIFICAÇÃO]]="","",TEXT(AUDITORIA[[#This Row],[DATA VERIFICAÇÃO]],"mmm")))</f>
        <v>JUN</v>
      </c>
      <c r="Y1326" t="s">
        <v>598</v>
      </c>
      <c r="Z1326" t="s">
        <v>691</v>
      </c>
      <c r="AA1326" t="s">
        <v>832</v>
      </c>
    </row>
    <row r="1327" spans="1:27" ht="14.4" hidden="1" customHeight="1" x14ac:dyDescent="0.3">
      <c r="A1327" s="4" t="s">
        <v>0</v>
      </c>
      <c r="B1327" s="4" t="s">
        <v>17</v>
      </c>
      <c r="C1327" s="16" t="s">
        <v>18</v>
      </c>
      <c r="D1327" s="4">
        <v>10</v>
      </c>
      <c r="E1327" s="4" t="s">
        <v>745</v>
      </c>
      <c r="F1327" t="s">
        <v>210</v>
      </c>
      <c r="G1327" t="s">
        <v>835</v>
      </c>
      <c r="J1327" s="4" t="s">
        <v>19</v>
      </c>
      <c r="K1327" s="4" t="s">
        <v>20</v>
      </c>
      <c r="L1327" s="4" t="s">
        <v>742</v>
      </c>
      <c r="M1327" s="17">
        <v>30</v>
      </c>
      <c r="N1327" s="17">
        <v>810</v>
      </c>
      <c r="O1327" s="18" t="s">
        <v>19</v>
      </c>
      <c r="P1327" s="18">
        <v>810</v>
      </c>
      <c r="Q1327" s="18">
        <v>30</v>
      </c>
      <c r="R1327" s="18" t="s">
        <v>817</v>
      </c>
      <c r="S1327" s="18" t="s">
        <v>791</v>
      </c>
      <c r="T1327" s="18" t="s">
        <v>782</v>
      </c>
      <c r="U13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27" s="19">
        <f>IF(AUDITORIA[[#This Row],[CAT]]="",0,1)</f>
        <v>1</v>
      </c>
      <c r="W1327" s="20">
        <v>46197</v>
      </c>
      <c r="X1327" s="21" t="str">
        <f>UPPER(IF(AUDITORIA[[#This Row],[DATA VERIFICAÇÃO]]="","",TEXT(AUDITORIA[[#This Row],[DATA VERIFICAÇÃO]],"mmm")))</f>
        <v>JUN</v>
      </c>
      <c r="Y1327" t="s">
        <v>598</v>
      </c>
      <c r="Z1327" t="s">
        <v>691</v>
      </c>
      <c r="AA1327" t="s">
        <v>832</v>
      </c>
    </row>
    <row r="1328" spans="1:27" ht="14.4" hidden="1" customHeight="1" x14ac:dyDescent="0.3">
      <c r="A1328" s="4" t="s">
        <v>0</v>
      </c>
      <c r="B1328" s="4" t="s">
        <v>17</v>
      </c>
      <c r="C1328" s="16" t="s">
        <v>18</v>
      </c>
      <c r="D1328" s="4">
        <v>10</v>
      </c>
      <c r="E1328" s="4" t="s">
        <v>745</v>
      </c>
      <c r="F1328" t="s">
        <v>211</v>
      </c>
      <c r="G1328" t="s">
        <v>835</v>
      </c>
      <c r="J1328" s="4" t="s">
        <v>19</v>
      </c>
      <c r="K1328" s="4" t="s">
        <v>21</v>
      </c>
      <c r="L1328" s="4" t="s">
        <v>742</v>
      </c>
      <c r="M1328" s="17">
        <v>24</v>
      </c>
      <c r="N1328" s="17">
        <v>1018</v>
      </c>
      <c r="O1328" s="18" t="s">
        <v>19</v>
      </c>
      <c r="P1328" s="18">
        <v>1018</v>
      </c>
      <c r="Q1328" s="18">
        <v>24</v>
      </c>
      <c r="R1328" s="18" t="s">
        <v>817</v>
      </c>
      <c r="S1328" s="18" t="s">
        <v>792</v>
      </c>
      <c r="T1328" s="18" t="s">
        <v>782</v>
      </c>
      <c r="U13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28" s="19">
        <f>IF(AUDITORIA[[#This Row],[CAT]]="",0,1)</f>
        <v>1</v>
      </c>
      <c r="W1328" s="20">
        <v>46197</v>
      </c>
      <c r="X1328" s="21" t="str">
        <f>UPPER(IF(AUDITORIA[[#This Row],[DATA VERIFICAÇÃO]]="","",TEXT(AUDITORIA[[#This Row],[DATA VERIFICAÇÃO]],"mmm")))</f>
        <v>JUN</v>
      </c>
      <c r="Y1328" t="s">
        <v>598</v>
      </c>
      <c r="Z1328" t="s">
        <v>691</v>
      </c>
      <c r="AA1328" t="s">
        <v>832</v>
      </c>
    </row>
    <row r="1329" spans="1:27" ht="14.4" hidden="1" customHeight="1" x14ac:dyDescent="0.3">
      <c r="A1329" s="4" t="s">
        <v>0</v>
      </c>
      <c r="B1329" s="4" t="s">
        <v>17</v>
      </c>
      <c r="C1329" s="16" t="s">
        <v>18</v>
      </c>
      <c r="D1329" s="4">
        <v>10</v>
      </c>
      <c r="E1329" s="4" t="s">
        <v>745</v>
      </c>
      <c r="F1329" t="s">
        <v>209</v>
      </c>
      <c r="G1329" t="s">
        <v>835</v>
      </c>
      <c r="J1329" s="4" t="s">
        <v>19</v>
      </c>
      <c r="K1329" s="4" t="s">
        <v>21</v>
      </c>
      <c r="L1329" s="4" t="s">
        <v>742</v>
      </c>
      <c r="M1329" s="17">
        <v>24</v>
      </c>
      <c r="N1329" s="17">
        <v>1016</v>
      </c>
      <c r="O1329" s="18" t="s">
        <v>19</v>
      </c>
      <c r="P1329" s="18">
        <v>1016</v>
      </c>
      <c r="Q1329" s="18">
        <v>24</v>
      </c>
      <c r="R1329" s="18" t="s">
        <v>817</v>
      </c>
      <c r="S1329" s="18" t="s">
        <v>792</v>
      </c>
      <c r="T1329" s="18" t="s">
        <v>781</v>
      </c>
      <c r="U13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29" s="19">
        <f>IF(AUDITORIA[[#This Row],[CAT]]="",0,1)</f>
        <v>1</v>
      </c>
      <c r="W1329" s="20">
        <v>46197</v>
      </c>
      <c r="X1329" s="21" t="str">
        <f>UPPER(IF(AUDITORIA[[#This Row],[DATA VERIFICAÇÃO]]="","",TEXT(AUDITORIA[[#This Row],[DATA VERIFICAÇÃO]],"mmm")))</f>
        <v>JUN</v>
      </c>
      <c r="Y1329" t="s">
        <v>598</v>
      </c>
      <c r="Z1329" t="s">
        <v>691</v>
      </c>
      <c r="AA1329" t="s">
        <v>832</v>
      </c>
    </row>
    <row r="1330" spans="1:27" ht="14.4" hidden="1" customHeight="1" x14ac:dyDescent="0.3">
      <c r="A1330" s="4" t="s">
        <v>0</v>
      </c>
      <c r="B1330" s="4" t="s">
        <v>17</v>
      </c>
      <c r="C1330" s="16" t="s">
        <v>18</v>
      </c>
      <c r="D1330" s="4">
        <v>10</v>
      </c>
      <c r="E1330" s="4" t="s">
        <v>745</v>
      </c>
      <c r="F1330" t="s">
        <v>208</v>
      </c>
      <c r="G1330" t="s">
        <v>835</v>
      </c>
      <c r="J1330" s="4" t="s">
        <v>19</v>
      </c>
      <c r="K1330" s="4" t="s">
        <v>21</v>
      </c>
      <c r="L1330" s="4" t="s">
        <v>742</v>
      </c>
      <c r="M1330" s="17">
        <v>27</v>
      </c>
      <c r="N1330" s="17">
        <v>1002</v>
      </c>
      <c r="O1330" s="18" t="s">
        <v>19</v>
      </c>
      <c r="P1330" s="18">
        <v>1002</v>
      </c>
      <c r="Q1330" s="18">
        <v>27</v>
      </c>
      <c r="R1330" s="18" t="s">
        <v>817</v>
      </c>
      <c r="S1330" s="18" t="s">
        <v>792</v>
      </c>
      <c r="T1330" s="18" t="s">
        <v>794</v>
      </c>
      <c r="U13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30" s="19">
        <f>IF(AUDITORIA[[#This Row],[CAT]]="",0,1)</f>
        <v>1</v>
      </c>
      <c r="W1330" s="20">
        <v>46197</v>
      </c>
      <c r="X1330" s="21" t="str">
        <f>UPPER(IF(AUDITORIA[[#This Row],[DATA VERIFICAÇÃO]]="","",TEXT(AUDITORIA[[#This Row],[DATA VERIFICAÇÃO]],"mmm")))</f>
        <v>JUN</v>
      </c>
      <c r="Y1330" t="s">
        <v>598</v>
      </c>
      <c r="Z1330" t="s">
        <v>691</v>
      </c>
      <c r="AA1330" t="s">
        <v>832</v>
      </c>
    </row>
    <row r="1331" spans="1:27" ht="14.4" hidden="1" customHeight="1" x14ac:dyDescent="0.3">
      <c r="A1331" s="4" t="s">
        <v>0</v>
      </c>
      <c r="B1331" s="4" t="s">
        <v>17</v>
      </c>
      <c r="C1331" s="16" t="s">
        <v>18</v>
      </c>
      <c r="D1331" s="4">
        <v>10</v>
      </c>
      <c r="E1331" s="4" t="s">
        <v>745</v>
      </c>
      <c r="F1331" t="s">
        <v>207</v>
      </c>
      <c r="G1331" t="s">
        <v>835</v>
      </c>
      <c r="J1331" s="4" t="s">
        <v>19</v>
      </c>
      <c r="K1331" s="4" t="s">
        <v>20</v>
      </c>
      <c r="L1331" s="4" t="s">
        <v>742</v>
      </c>
      <c r="M1331" s="17">
        <v>30</v>
      </c>
      <c r="N1331" s="17">
        <v>819</v>
      </c>
      <c r="O1331" s="18" t="s">
        <v>19</v>
      </c>
      <c r="P1331" s="18">
        <v>819</v>
      </c>
      <c r="Q1331" s="18">
        <v>30</v>
      </c>
      <c r="R1331" s="18" t="s">
        <v>817</v>
      </c>
      <c r="S1331" s="18" t="s">
        <v>791</v>
      </c>
      <c r="T1331" s="18" t="s">
        <v>794</v>
      </c>
      <c r="U13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31" s="19">
        <f>IF(AUDITORIA[[#This Row],[CAT]]="",0,1)</f>
        <v>1</v>
      </c>
      <c r="W1331" s="20">
        <v>46197</v>
      </c>
      <c r="X1331" s="21" t="str">
        <f>UPPER(IF(AUDITORIA[[#This Row],[DATA VERIFICAÇÃO]]="","",TEXT(AUDITORIA[[#This Row],[DATA VERIFICAÇÃO]],"mmm")))</f>
        <v>JUN</v>
      </c>
      <c r="Y1331" t="s">
        <v>598</v>
      </c>
      <c r="Z1331" t="s">
        <v>691</v>
      </c>
      <c r="AA1331" t="s">
        <v>832</v>
      </c>
    </row>
    <row r="1332" spans="1:27" ht="14.4" hidden="1" customHeight="1" x14ac:dyDescent="0.3">
      <c r="A1332" s="4" t="s">
        <v>0</v>
      </c>
      <c r="B1332" s="4" t="s">
        <v>17</v>
      </c>
      <c r="C1332" s="16" t="s">
        <v>18</v>
      </c>
      <c r="D1332" s="4">
        <v>10</v>
      </c>
      <c r="E1332" s="4" t="s">
        <v>745</v>
      </c>
      <c r="F1332" t="s">
        <v>206</v>
      </c>
      <c r="G1332" t="s">
        <v>835</v>
      </c>
      <c r="J1332" s="4" t="s">
        <v>19</v>
      </c>
      <c r="K1332" s="4" t="s">
        <v>21</v>
      </c>
      <c r="L1332" s="4" t="s">
        <v>742</v>
      </c>
      <c r="M1332" s="17">
        <v>24</v>
      </c>
      <c r="N1332" s="17">
        <v>1028</v>
      </c>
      <c r="O1332" s="18" t="s">
        <v>19</v>
      </c>
      <c r="P1332" s="18">
        <v>1028</v>
      </c>
      <c r="Q1332" s="18">
        <v>24</v>
      </c>
      <c r="R1332" s="18" t="s">
        <v>817</v>
      </c>
      <c r="S1332" s="18" t="s">
        <v>811</v>
      </c>
      <c r="T1332" s="18" t="s">
        <v>780</v>
      </c>
      <c r="U13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32" s="19">
        <f>IF(AUDITORIA[[#This Row],[CAT]]="",0,1)</f>
        <v>1</v>
      </c>
      <c r="W1332" s="20">
        <v>46197</v>
      </c>
      <c r="X1332" s="21" t="str">
        <f>UPPER(IF(AUDITORIA[[#This Row],[DATA VERIFICAÇÃO]]="","",TEXT(AUDITORIA[[#This Row],[DATA VERIFICAÇÃO]],"mmm")))</f>
        <v>JUN</v>
      </c>
      <c r="Y1332" t="s">
        <v>598</v>
      </c>
      <c r="Z1332" t="s">
        <v>691</v>
      </c>
      <c r="AA1332" t="s">
        <v>832</v>
      </c>
    </row>
    <row r="1333" spans="1:27" ht="14.4" hidden="1" customHeight="1" x14ac:dyDescent="0.3">
      <c r="A1333" s="4" t="s">
        <v>0</v>
      </c>
      <c r="B1333" s="4" t="s">
        <v>17</v>
      </c>
      <c r="C1333" s="16" t="s">
        <v>18</v>
      </c>
      <c r="D1333" s="4">
        <v>10</v>
      </c>
      <c r="E1333" s="4" t="s">
        <v>745</v>
      </c>
      <c r="F1333" t="s">
        <v>204</v>
      </c>
      <c r="G1333" t="s">
        <v>835</v>
      </c>
      <c r="J1333" s="4" t="s">
        <v>19</v>
      </c>
      <c r="K1333" s="4" t="s">
        <v>20</v>
      </c>
      <c r="L1333" s="4" t="s">
        <v>742</v>
      </c>
      <c r="M1333" s="17">
        <v>30</v>
      </c>
      <c r="N1333" s="17">
        <v>823</v>
      </c>
      <c r="O1333" s="18" t="s">
        <v>19</v>
      </c>
      <c r="P1333" s="18">
        <v>823</v>
      </c>
      <c r="Q1333" s="18">
        <v>30</v>
      </c>
      <c r="R1333" s="18" t="s">
        <v>817</v>
      </c>
      <c r="S1333" s="18" t="s">
        <v>812</v>
      </c>
      <c r="T1333" s="18" t="s">
        <v>780</v>
      </c>
      <c r="U13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33" s="19">
        <f>IF(AUDITORIA[[#This Row],[CAT]]="",0,1)</f>
        <v>1</v>
      </c>
      <c r="W1333" s="20">
        <v>46197</v>
      </c>
      <c r="X1333" s="21" t="str">
        <f>UPPER(IF(AUDITORIA[[#This Row],[DATA VERIFICAÇÃO]]="","",TEXT(AUDITORIA[[#This Row],[DATA VERIFICAÇÃO]],"mmm")))</f>
        <v>JUN</v>
      </c>
      <c r="Y1333" t="s">
        <v>598</v>
      </c>
      <c r="Z1333" t="s">
        <v>691</v>
      </c>
      <c r="AA1333" t="s">
        <v>832</v>
      </c>
    </row>
    <row r="1334" spans="1:27" ht="14.4" hidden="1" customHeight="1" x14ac:dyDescent="0.3">
      <c r="A1334" s="4" t="s">
        <v>0</v>
      </c>
      <c r="B1334" s="4" t="s">
        <v>17</v>
      </c>
      <c r="C1334" s="16" t="s">
        <v>18</v>
      </c>
      <c r="D1334" s="4">
        <v>10</v>
      </c>
      <c r="E1334" s="4" t="s">
        <v>745</v>
      </c>
      <c r="F1334" t="s">
        <v>205</v>
      </c>
      <c r="G1334" t="s">
        <v>835</v>
      </c>
      <c r="J1334" s="4" t="s">
        <v>19</v>
      </c>
      <c r="K1334" s="4" t="s">
        <v>21</v>
      </c>
      <c r="L1334" s="4" t="s">
        <v>742</v>
      </c>
      <c r="M1334" s="17">
        <v>27</v>
      </c>
      <c r="N1334" s="17">
        <v>998</v>
      </c>
      <c r="O1334" s="18" t="s">
        <v>19</v>
      </c>
      <c r="P1334" s="18">
        <v>998</v>
      </c>
      <c r="Q1334" s="18">
        <v>27</v>
      </c>
      <c r="R1334" s="18" t="s">
        <v>817</v>
      </c>
      <c r="S1334" s="18" t="s">
        <v>811</v>
      </c>
      <c r="T1334" s="18" t="s">
        <v>782</v>
      </c>
      <c r="U13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34" s="19">
        <f>IF(AUDITORIA[[#This Row],[CAT]]="",0,1)</f>
        <v>1</v>
      </c>
      <c r="W1334" s="20">
        <v>46197</v>
      </c>
      <c r="X1334" s="21" t="str">
        <f>UPPER(IF(AUDITORIA[[#This Row],[DATA VERIFICAÇÃO]]="","",TEXT(AUDITORIA[[#This Row],[DATA VERIFICAÇÃO]],"mmm")))</f>
        <v>JUN</v>
      </c>
      <c r="Y1334" t="s">
        <v>598</v>
      </c>
      <c r="Z1334" t="s">
        <v>691</v>
      </c>
      <c r="AA1334" t="s">
        <v>832</v>
      </c>
    </row>
    <row r="1335" spans="1:27" ht="14.4" hidden="1" customHeight="1" x14ac:dyDescent="0.3">
      <c r="A1335" s="4" t="s">
        <v>0</v>
      </c>
      <c r="B1335" s="4" t="s">
        <v>17</v>
      </c>
      <c r="C1335" s="16" t="s">
        <v>18</v>
      </c>
      <c r="D1335" s="4">
        <v>10</v>
      </c>
      <c r="E1335" s="4" t="s">
        <v>745</v>
      </c>
      <c r="F1335" t="s">
        <v>203</v>
      </c>
      <c r="G1335" t="s">
        <v>835</v>
      </c>
      <c r="J1335" s="4" t="s">
        <v>19</v>
      </c>
      <c r="K1335" s="4" t="s">
        <v>21</v>
      </c>
      <c r="L1335" s="4" t="s">
        <v>742</v>
      </c>
      <c r="M1335" s="17">
        <v>27</v>
      </c>
      <c r="N1335" s="17">
        <v>993</v>
      </c>
      <c r="O1335" s="18" t="s">
        <v>19</v>
      </c>
      <c r="P1335" s="18">
        <v>993</v>
      </c>
      <c r="Q1335" s="18">
        <v>27</v>
      </c>
      <c r="R1335" s="18" t="s">
        <v>817</v>
      </c>
      <c r="S1335" s="18" t="s">
        <v>811</v>
      </c>
      <c r="T1335" s="18" t="s">
        <v>781</v>
      </c>
      <c r="U13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35" s="19">
        <f>IF(AUDITORIA[[#This Row],[CAT]]="",0,1)</f>
        <v>1</v>
      </c>
      <c r="W1335" s="20">
        <v>46197</v>
      </c>
      <c r="X1335" s="21" t="str">
        <f>UPPER(IF(AUDITORIA[[#This Row],[DATA VERIFICAÇÃO]]="","",TEXT(AUDITORIA[[#This Row],[DATA VERIFICAÇÃO]],"mmm")))</f>
        <v>JUN</v>
      </c>
      <c r="Y1335" t="s">
        <v>598</v>
      </c>
      <c r="Z1335" t="s">
        <v>691</v>
      </c>
      <c r="AA1335" t="s">
        <v>832</v>
      </c>
    </row>
    <row r="1336" spans="1:27" ht="14.4" hidden="1" customHeight="1" x14ac:dyDescent="0.3">
      <c r="A1336" s="4" t="s">
        <v>0</v>
      </c>
      <c r="B1336" s="4" t="s">
        <v>17</v>
      </c>
      <c r="C1336" s="16" t="s">
        <v>18</v>
      </c>
      <c r="D1336" s="4">
        <v>10</v>
      </c>
      <c r="E1336" s="4" t="s">
        <v>745</v>
      </c>
      <c r="F1336" t="s">
        <v>201</v>
      </c>
      <c r="G1336" t="s">
        <v>835</v>
      </c>
      <c r="J1336" s="4" t="s">
        <v>19</v>
      </c>
      <c r="K1336" s="4" t="s">
        <v>20</v>
      </c>
      <c r="L1336" s="4" t="s">
        <v>742</v>
      </c>
      <c r="M1336" s="17">
        <v>30</v>
      </c>
      <c r="N1336" s="17">
        <v>804</v>
      </c>
      <c r="O1336" s="18" t="s">
        <v>19</v>
      </c>
      <c r="P1336" s="18">
        <v>804</v>
      </c>
      <c r="Q1336" s="18">
        <v>30</v>
      </c>
      <c r="R1336" s="18" t="s">
        <v>817</v>
      </c>
      <c r="S1336" s="18" t="s">
        <v>812</v>
      </c>
      <c r="T1336" s="18" t="s">
        <v>781</v>
      </c>
      <c r="U13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36" s="19">
        <f>IF(AUDITORIA[[#This Row],[CAT]]="",0,1)</f>
        <v>1</v>
      </c>
      <c r="W1336" s="20">
        <v>46197</v>
      </c>
      <c r="X1336" s="21" t="str">
        <f>UPPER(IF(AUDITORIA[[#This Row],[DATA VERIFICAÇÃO]]="","",TEXT(AUDITORIA[[#This Row],[DATA VERIFICAÇÃO]],"mmm")))</f>
        <v>JUN</v>
      </c>
      <c r="Y1336" t="s">
        <v>598</v>
      </c>
      <c r="Z1336" t="s">
        <v>691</v>
      </c>
      <c r="AA1336" t="s">
        <v>832</v>
      </c>
    </row>
    <row r="1337" spans="1:27" ht="14.4" hidden="1" customHeight="1" x14ac:dyDescent="0.3">
      <c r="A1337" s="4" t="s">
        <v>0</v>
      </c>
      <c r="B1337" s="4" t="s">
        <v>17</v>
      </c>
      <c r="C1337" s="16" t="s">
        <v>18</v>
      </c>
      <c r="D1337" s="4">
        <v>10</v>
      </c>
      <c r="E1337" s="4" t="s">
        <v>745</v>
      </c>
      <c r="F1337" t="s">
        <v>202</v>
      </c>
      <c r="G1337" t="s">
        <v>835</v>
      </c>
      <c r="J1337" s="4" t="s">
        <v>19</v>
      </c>
      <c r="K1337" s="4" t="s">
        <v>21</v>
      </c>
      <c r="L1337" s="4" t="s">
        <v>742</v>
      </c>
      <c r="M1337" s="17">
        <v>27</v>
      </c>
      <c r="N1337" s="17">
        <v>999</v>
      </c>
      <c r="O1337" s="18" t="s">
        <v>19</v>
      </c>
      <c r="P1337" s="18">
        <v>999</v>
      </c>
      <c r="Q1337" s="18">
        <v>27</v>
      </c>
      <c r="R1337" s="18" t="s">
        <v>817</v>
      </c>
      <c r="S1337" s="18" t="s">
        <v>811</v>
      </c>
      <c r="T1337" s="18" t="s">
        <v>794</v>
      </c>
      <c r="U13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37" s="19">
        <f>IF(AUDITORIA[[#This Row],[CAT]]="",0,1)</f>
        <v>1</v>
      </c>
      <c r="W1337" s="20">
        <v>46197</v>
      </c>
      <c r="X1337" s="21" t="str">
        <f>UPPER(IF(AUDITORIA[[#This Row],[DATA VERIFICAÇÃO]]="","",TEXT(AUDITORIA[[#This Row],[DATA VERIFICAÇÃO]],"mmm")))</f>
        <v>JUN</v>
      </c>
      <c r="Y1337" t="s">
        <v>598</v>
      </c>
      <c r="Z1337" t="s">
        <v>691</v>
      </c>
      <c r="AA1337" t="s">
        <v>832</v>
      </c>
    </row>
    <row r="1338" spans="1:27" ht="14.4" hidden="1" customHeight="1" x14ac:dyDescent="0.3">
      <c r="A1338" s="4" t="s">
        <v>0</v>
      </c>
      <c r="B1338" s="4" t="s">
        <v>17</v>
      </c>
      <c r="C1338" s="16" t="s">
        <v>18</v>
      </c>
      <c r="D1338" s="4">
        <v>10</v>
      </c>
      <c r="E1338" s="4" t="s">
        <v>745</v>
      </c>
      <c r="F1338" t="s">
        <v>200</v>
      </c>
      <c r="G1338" t="s">
        <v>835</v>
      </c>
      <c r="J1338" s="4" t="s">
        <v>19</v>
      </c>
      <c r="K1338" s="4" t="s">
        <v>21</v>
      </c>
      <c r="L1338" s="4" t="s">
        <v>742</v>
      </c>
      <c r="M1338" s="17">
        <v>24</v>
      </c>
      <c r="N1338" s="17">
        <v>1023</v>
      </c>
      <c r="O1338" s="18" t="s">
        <v>19</v>
      </c>
      <c r="P1338" s="18">
        <v>1023</v>
      </c>
      <c r="Q1338" s="18">
        <v>24</v>
      </c>
      <c r="R1338" s="18" t="s">
        <v>817</v>
      </c>
      <c r="S1338" s="18" t="s">
        <v>796</v>
      </c>
      <c r="T1338" s="18" t="s">
        <v>780</v>
      </c>
      <c r="U13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38" s="19">
        <f>IF(AUDITORIA[[#This Row],[CAT]]="",0,1)</f>
        <v>1</v>
      </c>
      <c r="W1338" s="20">
        <v>46197</v>
      </c>
      <c r="X1338" s="21" t="str">
        <f>UPPER(IF(AUDITORIA[[#This Row],[DATA VERIFICAÇÃO]]="","",TEXT(AUDITORIA[[#This Row],[DATA VERIFICAÇÃO]],"mmm")))</f>
        <v>JUN</v>
      </c>
      <c r="Y1338" t="s">
        <v>598</v>
      </c>
      <c r="Z1338" t="s">
        <v>691</v>
      </c>
      <c r="AA1338" t="s">
        <v>832</v>
      </c>
    </row>
    <row r="1339" spans="1:27" ht="14.4" hidden="1" customHeight="1" x14ac:dyDescent="0.3">
      <c r="A1339" s="4" t="s">
        <v>0</v>
      </c>
      <c r="B1339" s="4" t="s">
        <v>17</v>
      </c>
      <c r="C1339" s="16" t="s">
        <v>18</v>
      </c>
      <c r="D1339" s="4">
        <v>10</v>
      </c>
      <c r="E1339" s="4" t="s">
        <v>745</v>
      </c>
      <c r="F1339" t="s">
        <v>197</v>
      </c>
      <c r="G1339" t="s">
        <v>835</v>
      </c>
      <c r="J1339" s="4" t="s">
        <v>19</v>
      </c>
      <c r="K1339" s="4" t="s">
        <v>20</v>
      </c>
      <c r="L1339" s="4" t="s">
        <v>742</v>
      </c>
      <c r="M1339" s="17">
        <v>30</v>
      </c>
      <c r="N1339" s="17">
        <v>814</v>
      </c>
      <c r="O1339" s="18" t="s">
        <v>19</v>
      </c>
      <c r="P1339" s="18">
        <v>814</v>
      </c>
      <c r="Q1339" s="18">
        <v>30</v>
      </c>
      <c r="R1339" s="18" t="s">
        <v>817</v>
      </c>
      <c r="S1339" s="18" t="s">
        <v>812</v>
      </c>
      <c r="T1339" s="18" t="s">
        <v>782</v>
      </c>
      <c r="U13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39" s="19">
        <f>IF(AUDITORIA[[#This Row],[CAT]]="",0,1)</f>
        <v>1</v>
      </c>
      <c r="W1339" s="20">
        <v>46197</v>
      </c>
      <c r="X1339" s="21" t="str">
        <f>UPPER(IF(AUDITORIA[[#This Row],[DATA VERIFICAÇÃO]]="","",TEXT(AUDITORIA[[#This Row],[DATA VERIFICAÇÃO]],"mmm")))</f>
        <v>JUN</v>
      </c>
      <c r="Y1339" t="s">
        <v>598</v>
      </c>
      <c r="Z1339" t="s">
        <v>691</v>
      </c>
      <c r="AA1339" t="s">
        <v>832</v>
      </c>
    </row>
    <row r="1340" spans="1:27" ht="14.4" hidden="1" customHeight="1" x14ac:dyDescent="0.3">
      <c r="A1340" s="4" t="s">
        <v>0</v>
      </c>
      <c r="B1340" s="4" t="s">
        <v>17</v>
      </c>
      <c r="C1340" s="16" t="s">
        <v>18</v>
      </c>
      <c r="D1340" s="4">
        <v>10</v>
      </c>
      <c r="E1340" s="4" t="s">
        <v>745</v>
      </c>
      <c r="F1340" t="s">
        <v>199</v>
      </c>
      <c r="G1340" t="s">
        <v>835</v>
      </c>
      <c r="J1340" s="4" t="s">
        <v>19</v>
      </c>
      <c r="K1340" s="4" t="s">
        <v>21</v>
      </c>
      <c r="L1340" s="4" t="s">
        <v>742</v>
      </c>
      <c r="M1340" s="17">
        <v>24</v>
      </c>
      <c r="N1340" s="17">
        <v>1021</v>
      </c>
      <c r="O1340" s="18" t="s">
        <v>19</v>
      </c>
      <c r="P1340" s="18">
        <v>1021</v>
      </c>
      <c r="Q1340" s="18">
        <v>24</v>
      </c>
      <c r="R1340" s="18" t="s">
        <v>817</v>
      </c>
      <c r="S1340" s="18" t="s">
        <v>795</v>
      </c>
      <c r="T1340" s="18" t="s">
        <v>780</v>
      </c>
      <c r="U13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40" s="19">
        <f>IF(AUDITORIA[[#This Row],[CAT]]="",0,1)</f>
        <v>1</v>
      </c>
      <c r="W1340" s="20">
        <v>46197</v>
      </c>
      <c r="X1340" s="21" t="str">
        <f>UPPER(IF(AUDITORIA[[#This Row],[DATA VERIFICAÇÃO]]="","",TEXT(AUDITORIA[[#This Row],[DATA VERIFICAÇÃO]],"mmm")))</f>
        <v>JUN</v>
      </c>
      <c r="Y1340" t="s">
        <v>598</v>
      </c>
      <c r="Z1340" t="s">
        <v>691</v>
      </c>
      <c r="AA1340" t="s">
        <v>832</v>
      </c>
    </row>
    <row r="1341" spans="1:27" ht="14.4" hidden="1" customHeight="1" x14ac:dyDescent="0.3">
      <c r="A1341" s="4" t="s">
        <v>0</v>
      </c>
      <c r="B1341" s="4" t="s">
        <v>17</v>
      </c>
      <c r="C1341" s="16" t="s">
        <v>18</v>
      </c>
      <c r="D1341" s="4">
        <v>10</v>
      </c>
      <c r="E1341" s="4" t="s">
        <v>745</v>
      </c>
      <c r="F1341" t="s">
        <v>198</v>
      </c>
      <c r="G1341" t="s">
        <v>835</v>
      </c>
      <c r="J1341" s="4" t="s">
        <v>19</v>
      </c>
      <c r="K1341" s="4" t="s">
        <v>21</v>
      </c>
      <c r="L1341" s="4" t="s">
        <v>742</v>
      </c>
      <c r="M1341" s="17">
        <v>27</v>
      </c>
      <c r="N1341" s="17">
        <v>977</v>
      </c>
      <c r="O1341" s="18" t="s">
        <v>19</v>
      </c>
      <c r="P1341" s="18">
        <v>977</v>
      </c>
      <c r="Q1341" s="18">
        <v>27</v>
      </c>
      <c r="R1341" s="18" t="s">
        <v>817</v>
      </c>
      <c r="S1341" s="18" t="s">
        <v>795</v>
      </c>
      <c r="T1341" s="18" t="s">
        <v>781</v>
      </c>
      <c r="U13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41" s="19">
        <f>IF(AUDITORIA[[#This Row],[CAT]]="",0,1)</f>
        <v>1</v>
      </c>
      <c r="W1341" s="20">
        <v>46197</v>
      </c>
      <c r="X1341" s="21" t="str">
        <f>UPPER(IF(AUDITORIA[[#This Row],[DATA VERIFICAÇÃO]]="","",TEXT(AUDITORIA[[#This Row],[DATA VERIFICAÇÃO]],"mmm")))</f>
        <v>JUN</v>
      </c>
      <c r="Y1341" t="s">
        <v>598</v>
      </c>
      <c r="Z1341" t="s">
        <v>691</v>
      </c>
      <c r="AA1341" t="s">
        <v>832</v>
      </c>
    </row>
    <row r="1342" spans="1:27" ht="14.4" hidden="1" customHeight="1" x14ac:dyDescent="0.3">
      <c r="A1342" s="4" t="s">
        <v>0</v>
      </c>
      <c r="B1342" s="4" t="s">
        <v>17</v>
      </c>
      <c r="C1342" s="16" t="s">
        <v>18</v>
      </c>
      <c r="D1342" s="4">
        <v>10</v>
      </c>
      <c r="E1342" s="4" t="s">
        <v>745</v>
      </c>
      <c r="F1342" t="s">
        <v>196</v>
      </c>
      <c r="G1342" t="s">
        <v>835</v>
      </c>
      <c r="J1342" s="4" t="s">
        <v>19</v>
      </c>
      <c r="K1342" s="4" t="s">
        <v>21</v>
      </c>
      <c r="L1342" s="4" t="s">
        <v>742</v>
      </c>
      <c r="M1342" s="17">
        <v>27</v>
      </c>
      <c r="N1342" s="17">
        <v>981</v>
      </c>
      <c r="O1342" s="18" t="s">
        <v>19</v>
      </c>
      <c r="P1342" s="18">
        <v>981</v>
      </c>
      <c r="Q1342" s="18">
        <v>27</v>
      </c>
      <c r="R1342" s="18" t="s">
        <v>817</v>
      </c>
      <c r="S1342" s="18" t="s">
        <v>795</v>
      </c>
      <c r="T1342" s="18" t="s">
        <v>782</v>
      </c>
      <c r="U13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42" s="19">
        <f>IF(AUDITORIA[[#This Row],[CAT]]="",0,1)</f>
        <v>1</v>
      </c>
      <c r="W1342" s="20">
        <v>46197</v>
      </c>
      <c r="X1342" s="21" t="str">
        <f>UPPER(IF(AUDITORIA[[#This Row],[DATA VERIFICAÇÃO]]="","",TEXT(AUDITORIA[[#This Row],[DATA VERIFICAÇÃO]],"mmm")))</f>
        <v>JUN</v>
      </c>
      <c r="Y1342" t="s">
        <v>598</v>
      </c>
      <c r="Z1342" t="s">
        <v>691</v>
      </c>
      <c r="AA1342" t="s">
        <v>832</v>
      </c>
    </row>
    <row r="1343" spans="1:27" ht="14.4" hidden="1" customHeight="1" x14ac:dyDescent="0.3">
      <c r="A1343" s="4" t="s">
        <v>0</v>
      </c>
      <c r="B1343" s="4" t="s">
        <v>17</v>
      </c>
      <c r="C1343" s="16" t="s">
        <v>18</v>
      </c>
      <c r="D1343" s="4">
        <v>10</v>
      </c>
      <c r="E1343" s="4" t="s">
        <v>745</v>
      </c>
      <c r="F1343" t="s">
        <v>195</v>
      </c>
      <c r="G1343" t="s">
        <v>835</v>
      </c>
      <c r="J1343" s="4" t="s">
        <v>19</v>
      </c>
      <c r="K1343" s="4" t="s">
        <v>21</v>
      </c>
      <c r="L1343" s="4" t="s">
        <v>742</v>
      </c>
      <c r="M1343" s="17">
        <v>27</v>
      </c>
      <c r="N1343" s="17">
        <v>996</v>
      </c>
      <c r="O1343" s="18" t="s">
        <v>19</v>
      </c>
      <c r="P1343" s="18">
        <v>996</v>
      </c>
      <c r="Q1343" s="18">
        <v>27</v>
      </c>
      <c r="R1343" s="18" t="s">
        <v>817</v>
      </c>
      <c r="S1343" s="18" t="s">
        <v>796</v>
      </c>
      <c r="T1343" s="18" t="s">
        <v>781</v>
      </c>
      <c r="U13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43" s="19">
        <f>IF(AUDITORIA[[#This Row],[CAT]]="",0,1)</f>
        <v>1</v>
      </c>
      <c r="W1343" s="20">
        <v>46197</v>
      </c>
      <c r="X1343" s="21" t="str">
        <f>UPPER(IF(AUDITORIA[[#This Row],[DATA VERIFICAÇÃO]]="","",TEXT(AUDITORIA[[#This Row],[DATA VERIFICAÇÃO]],"mmm")))</f>
        <v>JUN</v>
      </c>
      <c r="Y1343" t="s">
        <v>598</v>
      </c>
      <c r="Z1343" t="s">
        <v>691</v>
      </c>
      <c r="AA1343" t="s">
        <v>832</v>
      </c>
    </row>
    <row r="1344" spans="1:27" ht="14.4" hidden="1" customHeight="1" x14ac:dyDescent="0.3">
      <c r="A1344" s="4" t="s">
        <v>0</v>
      </c>
      <c r="B1344" s="4" t="s">
        <v>17</v>
      </c>
      <c r="C1344" s="16" t="s">
        <v>18</v>
      </c>
      <c r="D1344" s="4">
        <v>10</v>
      </c>
      <c r="E1344" s="4" t="s">
        <v>745</v>
      </c>
      <c r="F1344" t="s">
        <v>194</v>
      </c>
      <c r="G1344" t="s">
        <v>835</v>
      </c>
      <c r="J1344" s="4" t="s">
        <v>19</v>
      </c>
      <c r="K1344" s="4" t="s">
        <v>21</v>
      </c>
      <c r="L1344" s="4" t="s">
        <v>742</v>
      </c>
      <c r="M1344" s="17">
        <v>27</v>
      </c>
      <c r="N1344" s="17">
        <v>995</v>
      </c>
      <c r="O1344" s="18" t="s">
        <v>19</v>
      </c>
      <c r="P1344" s="18">
        <v>995</v>
      </c>
      <c r="Q1344" s="18">
        <v>27</v>
      </c>
      <c r="R1344" s="18" t="s">
        <v>817</v>
      </c>
      <c r="S1344" s="18" t="s">
        <v>796</v>
      </c>
      <c r="T1344" s="18" t="s">
        <v>782</v>
      </c>
      <c r="U13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44" s="19">
        <f>IF(AUDITORIA[[#This Row],[CAT]]="",0,1)</f>
        <v>1</v>
      </c>
      <c r="W1344" s="20">
        <v>46197</v>
      </c>
      <c r="X1344" s="21" t="str">
        <f>UPPER(IF(AUDITORIA[[#This Row],[DATA VERIFICAÇÃO]]="","",TEXT(AUDITORIA[[#This Row],[DATA VERIFICAÇÃO]],"mmm")))</f>
        <v>JUN</v>
      </c>
      <c r="Y1344" t="s">
        <v>598</v>
      </c>
      <c r="Z1344" t="s">
        <v>691</v>
      </c>
      <c r="AA1344" t="s">
        <v>832</v>
      </c>
    </row>
    <row r="1345" spans="1:27" ht="14.4" hidden="1" customHeight="1" x14ac:dyDescent="0.3">
      <c r="A1345" s="4" t="s">
        <v>0</v>
      </c>
      <c r="B1345" s="4" t="s">
        <v>17</v>
      </c>
      <c r="C1345" s="16" t="s">
        <v>18</v>
      </c>
      <c r="D1345" s="4">
        <v>10</v>
      </c>
      <c r="E1345" s="4" t="s">
        <v>745</v>
      </c>
      <c r="F1345" t="s">
        <v>193</v>
      </c>
      <c r="G1345" t="s">
        <v>835</v>
      </c>
      <c r="J1345" s="4" t="s">
        <v>19</v>
      </c>
      <c r="K1345" s="4" t="s">
        <v>20</v>
      </c>
      <c r="L1345" s="4" t="s">
        <v>742</v>
      </c>
      <c r="M1345" s="17">
        <v>30</v>
      </c>
      <c r="N1345" s="17">
        <v>793</v>
      </c>
      <c r="O1345" s="18" t="s">
        <v>19</v>
      </c>
      <c r="P1345" s="18">
        <v>793</v>
      </c>
      <c r="Q1345" s="18">
        <v>30</v>
      </c>
      <c r="R1345" s="18" t="s">
        <v>817</v>
      </c>
      <c r="S1345" s="18" t="s">
        <v>812</v>
      </c>
      <c r="T1345" s="18" t="s">
        <v>794</v>
      </c>
      <c r="U13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45" s="19">
        <f>IF(AUDITORIA[[#This Row],[CAT]]="",0,1)</f>
        <v>1</v>
      </c>
      <c r="W1345" s="20">
        <v>46197</v>
      </c>
      <c r="X1345" s="21" t="str">
        <f>UPPER(IF(AUDITORIA[[#This Row],[DATA VERIFICAÇÃO]]="","",TEXT(AUDITORIA[[#This Row],[DATA VERIFICAÇÃO]],"mmm")))</f>
        <v>JUN</v>
      </c>
      <c r="Y1345" t="s">
        <v>598</v>
      </c>
      <c r="Z1345" t="s">
        <v>691</v>
      </c>
      <c r="AA1345" t="s">
        <v>832</v>
      </c>
    </row>
    <row r="1346" spans="1:27" ht="14.4" hidden="1" customHeight="1" x14ac:dyDescent="0.3">
      <c r="A1346" s="4" t="s">
        <v>0</v>
      </c>
      <c r="B1346" s="4" t="s">
        <v>17</v>
      </c>
      <c r="C1346" s="16" t="s">
        <v>18</v>
      </c>
      <c r="D1346" s="4">
        <v>10</v>
      </c>
      <c r="E1346" s="4" t="s">
        <v>745</v>
      </c>
      <c r="F1346" t="s">
        <v>192</v>
      </c>
      <c r="G1346" t="s">
        <v>835</v>
      </c>
      <c r="J1346" s="4" t="s">
        <v>31</v>
      </c>
      <c r="K1346" s="4" t="s">
        <v>21</v>
      </c>
      <c r="L1346" s="4" t="s">
        <v>742</v>
      </c>
      <c r="M1346" s="17">
        <v>24</v>
      </c>
      <c r="N1346" s="17">
        <v>1037</v>
      </c>
      <c r="O1346" s="18" t="s">
        <v>31</v>
      </c>
      <c r="P1346" s="18">
        <v>1037</v>
      </c>
      <c r="Q1346" s="18">
        <v>24</v>
      </c>
      <c r="R1346" s="18" t="s">
        <v>817</v>
      </c>
      <c r="S1346" s="18" t="s">
        <v>797</v>
      </c>
      <c r="T1346" s="18" t="s">
        <v>780</v>
      </c>
      <c r="U13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46" s="19">
        <f>IF(AUDITORIA[[#This Row],[CAT]]="",0,1)</f>
        <v>1</v>
      </c>
      <c r="W1346" s="20">
        <v>46197</v>
      </c>
      <c r="X1346" s="21" t="str">
        <f>UPPER(IF(AUDITORIA[[#This Row],[DATA VERIFICAÇÃO]]="","",TEXT(AUDITORIA[[#This Row],[DATA VERIFICAÇÃO]],"mmm")))</f>
        <v>JUN</v>
      </c>
      <c r="Y1346" t="s">
        <v>598</v>
      </c>
      <c r="Z1346" t="s">
        <v>691</v>
      </c>
      <c r="AA1346" t="s">
        <v>832</v>
      </c>
    </row>
    <row r="1347" spans="1:27" ht="14.4" hidden="1" customHeight="1" x14ac:dyDescent="0.3">
      <c r="A1347" s="4" t="s">
        <v>0</v>
      </c>
      <c r="B1347" s="4" t="s">
        <v>17</v>
      </c>
      <c r="C1347" s="16" t="s">
        <v>18</v>
      </c>
      <c r="D1347" s="4">
        <v>10</v>
      </c>
      <c r="E1347" s="4" t="s">
        <v>745</v>
      </c>
      <c r="F1347" t="s">
        <v>190</v>
      </c>
      <c r="G1347" t="s">
        <v>835</v>
      </c>
      <c r="J1347" s="4" t="s">
        <v>31</v>
      </c>
      <c r="K1347" s="4" t="s">
        <v>20</v>
      </c>
      <c r="L1347" s="4" t="s">
        <v>742</v>
      </c>
      <c r="M1347" s="17">
        <v>30</v>
      </c>
      <c r="N1347" s="17">
        <v>825</v>
      </c>
      <c r="O1347" s="18" t="s">
        <v>31</v>
      </c>
      <c r="P1347" s="18">
        <v>825</v>
      </c>
      <c r="Q1347" s="18">
        <v>30</v>
      </c>
      <c r="R1347" s="18" t="s">
        <v>817</v>
      </c>
      <c r="S1347" s="18" t="s">
        <v>799</v>
      </c>
      <c r="T1347" s="18" t="s">
        <v>780</v>
      </c>
      <c r="U13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47" s="19">
        <f>IF(AUDITORIA[[#This Row],[CAT]]="",0,1)</f>
        <v>1</v>
      </c>
      <c r="W1347" s="20">
        <v>46197</v>
      </c>
      <c r="X1347" s="21" t="str">
        <f>UPPER(IF(AUDITORIA[[#This Row],[DATA VERIFICAÇÃO]]="","",TEXT(AUDITORIA[[#This Row],[DATA VERIFICAÇÃO]],"mmm")))</f>
        <v>JUN</v>
      </c>
      <c r="Y1347" t="s">
        <v>598</v>
      </c>
      <c r="Z1347" t="s">
        <v>691</v>
      </c>
      <c r="AA1347" t="s">
        <v>832</v>
      </c>
    </row>
    <row r="1348" spans="1:27" ht="14.4" hidden="1" customHeight="1" x14ac:dyDescent="0.3">
      <c r="A1348" s="4" t="s">
        <v>0</v>
      </c>
      <c r="B1348" s="4" t="s">
        <v>17</v>
      </c>
      <c r="C1348" s="16" t="s">
        <v>18</v>
      </c>
      <c r="D1348" s="4">
        <v>10</v>
      </c>
      <c r="E1348" s="4" t="s">
        <v>745</v>
      </c>
      <c r="F1348" t="s">
        <v>191</v>
      </c>
      <c r="G1348" t="s">
        <v>835</v>
      </c>
      <c r="J1348" s="4" t="s">
        <v>31</v>
      </c>
      <c r="K1348" s="4" t="s">
        <v>21</v>
      </c>
      <c r="L1348" s="4" t="s">
        <v>742</v>
      </c>
      <c r="M1348" s="17">
        <v>24</v>
      </c>
      <c r="N1348" s="17">
        <v>1024</v>
      </c>
      <c r="O1348" s="18" t="s">
        <v>31</v>
      </c>
      <c r="P1348" s="18">
        <v>1024</v>
      </c>
      <c r="Q1348" s="18">
        <v>24</v>
      </c>
      <c r="R1348" s="18" t="s">
        <v>817</v>
      </c>
      <c r="S1348" s="18" t="s">
        <v>797</v>
      </c>
      <c r="T1348" s="18" t="s">
        <v>781</v>
      </c>
      <c r="U13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48" s="19">
        <f>IF(AUDITORIA[[#This Row],[CAT]]="",0,1)</f>
        <v>1</v>
      </c>
      <c r="W1348" s="20">
        <v>46197</v>
      </c>
      <c r="X1348" s="21" t="str">
        <f>UPPER(IF(AUDITORIA[[#This Row],[DATA VERIFICAÇÃO]]="","",TEXT(AUDITORIA[[#This Row],[DATA VERIFICAÇÃO]],"mmm")))</f>
        <v>JUN</v>
      </c>
      <c r="Y1348" t="s">
        <v>598</v>
      </c>
      <c r="Z1348" t="s">
        <v>691</v>
      </c>
      <c r="AA1348" t="s">
        <v>832</v>
      </c>
    </row>
    <row r="1349" spans="1:27" ht="14.4" hidden="1" customHeight="1" x14ac:dyDescent="0.3">
      <c r="A1349" s="4" t="s">
        <v>0</v>
      </c>
      <c r="B1349" s="4" t="s">
        <v>17</v>
      </c>
      <c r="C1349" s="16" t="s">
        <v>18</v>
      </c>
      <c r="D1349" s="4">
        <v>10</v>
      </c>
      <c r="E1349" s="4" t="s">
        <v>745</v>
      </c>
      <c r="F1349" t="s">
        <v>189</v>
      </c>
      <c r="G1349" t="s">
        <v>835</v>
      </c>
      <c r="J1349" s="4" t="s">
        <v>31</v>
      </c>
      <c r="K1349" s="4" t="s">
        <v>21</v>
      </c>
      <c r="L1349" s="4" t="s">
        <v>742</v>
      </c>
      <c r="M1349" s="17">
        <v>24</v>
      </c>
      <c r="N1349" s="17">
        <v>1009</v>
      </c>
      <c r="O1349" s="18" t="s">
        <v>31</v>
      </c>
      <c r="P1349" s="18">
        <v>1009</v>
      </c>
      <c r="Q1349" s="18">
        <v>24</v>
      </c>
      <c r="R1349" s="18" t="s">
        <v>817</v>
      </c>
      <c r="S1349" s="18" t="s">
        <v>797</v>
      </c>
      <c r="T1349" s="18" t="s">
        <v>782</v>
      </c>
      <c r="U13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49" s="19">
        <f>IF(AUDITORIA[[#This Row],[CAT]]="",0,1)</f>
        <v>1</v>
      </c>
      <c r="W1349" s="20">
        <v>46197</v>
      </c>
      <c r="X1349" s="21" t="str">
        <f>UPPER(IF(AUDITORIA[[#This Row],[DATA VERIFICAÇÃO]]="","",TEXT(AUDITORIA[[#This Row],[DATA VERIFICAÇÃO]],"mmm")))</f>
        <v>JUN</v>
      </c>
      <c r="Y1349" t="s">
        <v>598</v>
      </c>
      <c r="Z1349" t="s">
        <v>691</v>
      </c>
      <c r="AA1349" t="s">
        <v>832</v>
      </c>
    </row>
    <row r="1350" spans="1:27" ht="14.4" hidden="1" customHeight="1" x14ac:dyDescent="0.3">
      <c r="A1350" s="4" t="s">
        <v>0</v>
      </c>
      <c r="B1350" s="4" t="s">
        <v>17</v>
      </c>
      <c r="C1350" s="16" t="s">
        <v>18</v>
      </c>
      <c r="D1350" s="4">
        <v>10</v>
      </c>
      <c r="E1350" s="4" t="s">
        <v>745</v>
      </c>
      <c r="F1350" t="s">
        <v>188</v>
      </c>
      <c r="G1350" t="s">
        <v>835</v>
      </c>
      <c r="J1350" s="4" t="s">
        <v>31</v>
      </c>
      <c r="K1350" s="4" t="s">
        <v>20</v>
      </c>
      <c r="L1350" s="4" t="s">
        <v>742</v>
      </c>
      <c r="M1350" s="17">
        <v>12</v>
      </c>
      <c r="N1350" s="17">
        <v>804</v>
      </c>
      <c r="O1350" s="18" t="s">
        <v>31</v>
      </c>
      <c r="P1350" s="18">
        <v>804</v>
      </c>
      <c r="Q1350" s="18">
        <v>12</v>
      </c>
      <c r="R1350" s="18" t="s">
        <v>817</v>
      </c>
      <c r="S1350" s="18" t="s">
        <v>799</v>
      </c>
      <c r="T1350" s="18" t="s">
        <v>781</v>
      </c>
      <c r="U13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50" s="19">
        <f>IF(AUDITORIA[[#This Row],[CAT]]="",0,1)</f>
        <v>1</v>
      </c>
      <c r="W1350" s="20">
        <v>46197</v>
      </c>
      <c r="X1350" s="21" t="str">
        <f>UPPER(IF(AUDITORIA[[#This Row],[DATA VERIFICAÇÃO]]="","",TEXT(AUDITORIA[[#This Row],[DATA VERIFICAÇÃO]],"mmm")))</f>
        <v>JUN</v>
      </c>
      <c r="Y1350" t="s">
        <v>598</v>
      </c>
      <c r="Z1350" t="s">
        <v>691</v>
      </c>
      <c r="AA1350" t="s">
        <v>832</v>
      </c>
    </row>
    <row r="1351" spans="1:27" ht="14.4" hidden="1" customHeight="1" x14ac:dyDescent="0.3">
      <c r="A1351" s="4" t="s">
        <v>0</v>
      </c>
      <c r="B1351" s="4" t="s">
        <v>17</v>
      </c>
      <c r="C1351" s="16" t="s">
        <v>18</v>
      </c>
      <c r="D1351" s="4">
        <v>10</v>
      </c>
      <c r="E1351" s="4" t="s">
        <v>745</v>
      </c>
      <c r="F1351" t="s">
        <v>187</v>
      </c>
      <c r="G1351" t="s">
        <v>835</v>
      </c>
      <c r="J1351" s="4" t="s">
        <v>31</v>
      </c>
      <c r="K1351" s="4" t="s">
        <v>21</v>
      </c>
      <c r="L1351" s="4" t="s">
        <v>742</v>
      </c>
      <c r="M1351" s="17">
        <v>12</v>
      </c>
      <c r="N1351" s="17">
        <v>1006</v>
      </c>
      <c r="O1351" s="18" t="s">
        <v>31</v>
      </c>
      <c r="P1351" s="18">
        <v>1006</v>
      </c>
      <c r="Q1351" s="18">
        <v>12</v>
      </c>
      <c r="R1351" s="18" t="s">
        <v>817</v>
      </c>
      <c r="S1351" s="18" t="s">
        <v>799</v>
      </c>
      <c r="T1351" s="18" t="s">
        <v>782</v>
      </c>
      <c r="U13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51" s="19">
        <f>IF(AUDITORIA[[#This Row],[CAT]]="",0,1)</f>
        <v>1</v>
      </c>
      <c r="W1351" s="20">
        <v>46197</v>
      </c>
      <c r="X1351" s="21" t="str">
        <f>UPPER(IF(AUDITORIA[[#This Row],[DATA VERIFICAÇÃO]]="","",TEXT(AUDITORIA[[#This Row],[DATA VERIFICAÇÃO]],"mmm")))</f>
        <v>JUN</v>
      </c>
      <c r="Y1351" t="s">
        <v>598</v>
      </c>
      <c r="Z1351" t="s">
        <v>691</v>
      </c>
      <c r="AA1351" t="s">
        <v>832</v>
      </c>
    </row>
    <row r="1352" spans="1:27" ht="14.4" hidden="1" customHeight="1" x14ac:dyDescent="0.3">
      <c r="A1352" s="4" t="s">
        <v>0</v>
      </c>
      <c r="B1352" s="4" t="s">
        <v>17</v>
      </c>
      <c r="C1352" s="16" t="s">
        <v>18</v>
      </c>
      <c r="D1352" s="4">
        <v>10</v>
      </c>
      <c r="E1352" s="4" t="s">
        <v>745</v>
      </c>
      <c r="F1352" t="s">
        <v>185</v>
      </c>
      <c r="G1352" t="s">
        <v>85</v>
      </c>
      <c r="J1352" s="4" t="s">
        <v>88</v>
      </c>
      <c r="K1352" s="4" t="s">
        <v>21</v>
      </c>
      <c r="L1352" s="4" t="s">
        <v>742</v>
      </c>
      <c r="M1352" s="17">
        <v>30</v>
      </c>
      <c r="N1352" s="17">
        <v>881</v>
      </c>
      <c r="O1352" s="18" t="s">
        <v>88</v>
      </c>
      <c r="P1352" s="18">
        <v>881</v>
      </c>
      <c r="Q1352" s="18">
        <v>30</v>
      </c>
      <c r="R1352" s="18" t="s">
        <v>778</v>
      </c>
      <c r="S1352" s="18" t="s">
        <v>808</v>
      </c>
      <c r="T1352" s="18" t="s">
        <v>782</v>
      </c>
      <c r="U13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52" s="19">
        <f>IF(AUDITORIA[[#This Row],[CAT]]="",0,1)</f>
        <v>1</v>
      </c>
      <c r="W1352" s="20">
        <v>46197</v>
      </c>
      <c r="X1352" s="21" t="str">
        <f>UPPER(IF(AUDITORIA[[#This Row],[DATA VERIFICAÇÃO]]="","",TEXT(AUDITORIA[[#This Row],[DATA VERIFICAÇÃO]],"mmm")))</f>
        <v>JUN</v>
      </c>
      <c r="Y1352" t="s">
        <v>598</v>
      </c>
      <c r="Z1352" t="s">
        <v>691</v>
      </c>
      <c r="AA1352" t="s">
        <v>832</v>
      </c>
    </row>
    <row r="1353" spans="1:27" ht="14.4" hidden="1" customHeight="1" x14ac:dyDescent="0.3">
      <c r="A1353" s="4" t="s">
        <v>0</v>
      </c>
      <c r="B1353" s="4" t="s">
        <v>17</v>
      </c>
      <c r="C1353" s="16" t="s">
        <v>18</v>
      </c>
      <c r="D1353" s="4">
        <v>10</v>
      </c>
      <c r="E1353" s="4" t="s">
        <v>745</v>
      </c>
      <c r="F1353" t="s">
        <v>184</v>
      </c>
      <c r="G1353" t="s">
        <v>85</v>
      </c>
      <c r="J1353" s="4" t="s">
        <v>88</v>
      </c>
      <c r="K1353" s="4" t="s">
        <v>20</v>
      </c>
      <c r="L1353" s="4" t="s">
        <v>742</v>
      </c>
      <c r="M1353" s="17">
        <v>30</v>
      </c>
      <c r="N1353" s="17">
        <v>708</v>
      </c>
      <c r="O1353" s="18" t="s">
        <v>88</v>
      </c>
      <c r="P1353" s="18">
        <v>708</v>
      </c>
      <c r="Q1353" s="18">
        <v>30</v>
      </c>
      <c r="R1353" s="18" t="s">
        <v>778</v>
      </c>
      <c r="S1353" s="18" t="s">
        <v>796</v>
      </c>
      <c r="T1353" s="18" t="s">
        <v>794</v>
      </c>
      <c r="U13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53" s="19">
        <f>IF(AUDITORIA[[#This Row],[CAT]]="",0,1)</f>
        <v>1</v>
      </c>
      <c r="W1353" s="20">
        <v>46197</v>
      </c>
      <c r="X1353" s="21" t="str">
        <f>UPPER(IF(AUDITORIA[[#This Row],[DATA VERIFICAÇÃO]]="","",TEXT(AUDITORIA[[#This Row],[DATA VERIFICAÇÃO]],"mmm")))</f>
        <v>JUN</v>
      </c>
      <c r="Y1353" t="s">
        <v>598</v>
      </c>
      <c r="Z1353" t="s">
        <v>691</v>
      </c>
      <c r="AA1353" t="s">
        <v>832</v>
      </c>
    </row>
    <row r="1354" spans="1:27" ht="14.4" hidden="1" customHeight="1" x14ac:dyDescent="0.3">
      <c r="A1354" s="4" t="s">
        <v>0</v>
      </c>
      <c r="B1354" s="4" t="s">
        <v>17</v>
      </c>
      <c r="C1354" s="16" t="s">
        <v>18</v>
      </c>
      <c r="D1354" s="4">
        <v>10</v>
      </c>
      <c r="E1354" s="4" t="s">
        <v>745</v>
      </c>
      <c r="F1354" t="s">
        <v>182</v>
      </c>
      <c r="G1354" t="s">
        <v>85</v>
      </c>
      <c r="J1354" s="4" t="s">
        <v>88</v>
      </c>
      <c r="K1354" s="4" t="s">
        <v>20</v>
      </c>
      <c r="L1354" s="4" t="s">
        <v>742</v>
      </c>
      <c r="M1354" s="17">
        <v>30</v>
      </c>
      <c r="N1354" s="17">
        <v>715</v>
      </c>
      <c r="O1354" s="18" t="s">
        <v>88</v>
      </c>
      <c r="P1354" s="18">
        <v>715</v>
      </c>
      <c r="Q1354" s="18">
        <v>30</v>
      </c>
      <c r="R1354" s="18" t="s">
        <v>778</v>
      </c>
      <c r="S1354" s="18" t="s">
        <v>799</v>
      </c>
      <c r="T1354" s="18" t="s">
        <v>780</v>
      </c>
      <c r="U13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54" s="19">
        <f>IF(AUDITORIA[[#This Row],[CAT]]="",0,1)</f>
        <v>1</v>
      </c>
      <c r="W1354" s="20">
        <v>46197</v>
      </c>
      <c r="X1354" s="21" t="str">
        <f>UPPER(IF(AUDITORIA[[#This Row],[DATA VERIFICAÇÃO]]="","",TEXT(AUDITORIA[[#This Row],[DATA VERIFICAÇÃO]],"mmm")))</f>
        <v>JUN</v>
      </c>
      <c r="Y1354" t="s">
        <v>598</v>
      </c>
      <c r="Z1354" t="s">
        <v>691</v>
      </c>
      <c r="AA1354" t="s">
        <v>832</v>
      </c>
    </row>
    <row r="1355" spans="1:27" ht="14.4" hidden="1" customHeight="1" x14ac:dyDescent="0.3">
      <c r="A1355" s="4" t="s">
        <v>0</v>
      </c>
      <c r="B1355" s="4" t="s">
        <v>17</v>
      </c>
      <c r="C1355" s="16" t="s">
        <v>18</v>
      </c>
      <c r="D1355" s="4">
        <v>10</v>
      </c>
      <c r="E1355" s="4" t="s">
        <v>745</v>
      </c>
      <c r="F1355" t="s">
        <v>186</v>
      </c>
      <c r="G1355" t="s">
        <v>85</v>
      </c>
      <c r="J1355" s="4" t="s">
        <v>88</v>
      </c>
      <c r="K1355" s="4" t="s">
        <v>20</v>
      </c>
      <c r="L1355" s="4" t="s">
        <v>742</v>
      </c>
      <c r="M1355" s="17">
        <v>30</v>
      </c>
      <c r="N1355" s="17">
        <v>696</v>
      </c>
      <c r="O1355" s="18" t="s">
        <v>88</v>
      </c>
      <c r="P1355" s="18">
        <v>696</v>
      </c>
      <c r="Q1355" s="18">
        <v>30</v>
      </c>
      <c r="R1355" s="18" t="s">
        <v>778</v>
      </c>
      <c r="S1355" s="18" t="s">
        <v>802</v>
      </c>
      <c r="T1355" s="18" t="s">
        <v>781</v>
      </c>
      <c r="U13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55" s="19">
        <f>IF(AUDITORIA[[#This Row],[CAT]]="",0,1)</f>
        <v>1</v>
      </c>
      <c r="W1355" s="20">
        <v>46197</v>
      </c>
      <c r="X1355" s="21" t="str">
        <f>UPPER(IF(AUDITORIA[[#This Row],[DATA VERIFICAÇÃO]]="","",TEXT(AUDITORIA[[#This Row],[DATA VERIFICAÇÃO]],"mmm")))</f>
        <v>JUN</v>
      </c>
      <c r="Y1355" t="s">
        <v>598</v>
      </c>
      <c r="Z1355" t="s">
        <v>691</v>
      </c>
      <c r="AA1355" t="s">
        <v>832</v>
      </c>
    </row>
    <row r="1356" spans="1:27" ht="14.4" hidden="1" customHeight="1" x14ac:dyDescent="0.3">
      <c r="A1356" s="4" t="s">
        <v>0</v>
      </c>
      <c r="B1356" s="4" t="s">
        <v>17</v>
      </c>
      <c r="C1356" s="16" t="s">
        <v>18</v>
      </c>
      <c r="D1356" s="4">
        <v>10</v>
      </c>
      <c r="E1356" s="4" t="s">
        <v>745</v>
      </c>
      <c r="F1356" t="s">
        <v>183</v>
      </c>
      <c r="G1356" t="s">
        <v>85</v>
      </c>
      <c r="J1356" s="4" t="s">
        <v>88</v>
      </c>
      <c r="K1356" s="4" t="s">
        <v>21</v>
      </c>
      <c r="L1356" s="4" t="s">
        <v>742</v>
      </c>
      <c r="M1356" s="17">
        <v>30</v>
      </c>
      <c r="N1356" s="17">
        <v>868</v>
      </c>
      <c r="O1356" s="18" t="s">
        <v>88</v>
      </c>
      <c r="P1356" s="18">
        <v>868</v>
      </c>
      <c r="Q1356" s="18">
        <v>30</v>
      </c>
      <c r="R1356" s="18" t="s">
        <v>778</v>
      </c>
      <c r="S1356" s="18" t="s">
        <v>798</v>
      </c>
      <c r="T1356" s="18" t="s">
        <v>780</v>
      </c>
      <c r="U13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56" s="19">
        <f>IF(AUDITORIA[[#This Row],[CAT]]="",0,1)</f>
        <v>1</v>
      </c>
      <c r="W1356" s="20">
        <v>46197</v>
      </c>
      <c r="X1356" s="21" t="str">
        <f>UPPER(IF(AUDITORIA[[#This Row],[DATA VERIFICAÇÃO]]="","",TEXT(AUDITORIA[[#This Row],[DATA VERIFICAÇÃO]],"mmm")))</f>
        <v>JUN</v>
      </c>
      <c r="Y1356" t="s">
        <v>598</v>
      </c>
      <c r="Z1356" t="s">
        <v>691</v>
      </c>
      <c r="AA1356" t="s">
        <v>832</v>
      </c>
    </row>
    <row r="1357" spans="1:27" ht="14.4" hidden="1" customHeight="1" x14ac:dyDescent="0.3">
      <c r="A1357" s="4" t="s">
        <v>0</v>
      </c>
      <c r="B1357" s="4" t="s">
        <v>17</v>
      </c>
      <c r="C1357" s="16" t="s">
        <v>18</v>
      </c>
      <c r="D1357" s="4">
        <v>10</v>
      </c>
      <c r="E1357" s="4" t="s">
        <v>745</v>
      </c>
      <c r="F1357" t="s">
        <v>181</v>
      </c>
      <c r="G1357" t="s">
        <v>85</v>
      </c>
      <c r="J1357" s="4" t="s">
        <v>88</v>
      </c>
      <c r="K1357" s="4" t="s">
        <v>21</v>
      </c>
      <c r="L1357" s="4" t="s">
        <v>742</v>
      </c>
      <c r="M1357" s="17">
        <v>30</v>
      </c>
      <c r="N1357" s="17">
        <v>862</v>
      </c>
      <c r="O1357" s="18" t="s">
        <v>88</v>
      </c>
      <c r="P1357" s="18">
        <v>862</v>
      </c>
      <c r="Q1357" s="18">
        <v>30</v>
      </c>
      <c r="R1357" s="18" t="s">
        <v>778</v>
      </c>
      <c r="S1357" s="18" t="s">
        <v>798</v>
      </c>
      <c r="T1357" s="18" t="s">
        <v>781</v>
      </c>
      <c r="U13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57" s="19">
        <f>IF(AUDITORIA[[#This Row],[CAT]]="",0,1)</f>
        <v>1</v>
      </c>
      <c r="W1357" s="20">
        <v>46197</v>
      </c>
      <c r="X1357" s="21" t="str">
        <f>UPPER(IF(AUDITORIA[[#This Row],[DATA VERIFICAÇÃO]]="","",TEXT(AUDITORIA[[#This Row],[DATA VERIFICAÇÃO]],"mmm")))</f>
        <v>JUN</v>
      </c>
      <c r="Y1357" t="s">
        <v>598</v>
      </c>
      <c r="Z1357" t="s">
        <v>691</v>
      </c>
      <c r="AA1357" t="s">
        <v>832</v>
      </c>
    </row>
    <row r="1358" spans="1:27" ht="14.4" hidden="1" customHeight="1" x14ac:dyDescent="0.3">
      <c r="A1358" s="4" t="s">
        <v>0</v>
      </c>
      <c r="B1358" s="4" t="s">
        <v>17</v>
      </c>
      <c r="C1358" s="16" t="s">
        <v>18</v>
      </c>
      <c r="D1358" s="4">
        <v>10</v>
      </c>
      <c r="E1358" s="4" t="s">
        <v>745</v>
      </c>
      <c r="F1358" t="s">
        <v>180</v>
      </c>
      <c r="G1358" t="s">
        <v>85</v>
      </c>
      <c r="J1358" s="4" t="s">
        <v>88</v>
      </c>
      <c r="K1358" s="4" t="s">
        <v>20</v>
      </c>
      <c r="L1358" s="4" t="s">
        <v>742</v>
      </c>
      <c r="M1358" s="17">
        <v>30</v>
      </c>
      <c r="N1358" s="17">
        <v>699</v>
      </c>
      <c r="O1358" s="18" t="s">
        <v>88</v>
      </c>
      <c r="P1358" s="18">
        <v>699</v>
      </c>
      <c r="Q1358" s="18">
        <v>30</v>
      </c>
      <c r="R1358" s="18" t="s">
        <v>778</v>
      </c>
      <c r="S1358" s="18" t="s">
        <v>799</v>
      </c>
      <c r="T1358" s="18" t="s">
        <v>781</v>
      </c>
      <c r="U13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58" s="19">
        <f>IF(AUDITORIA[[#This Row],[CAT]]="",0,1)</f>
        <v>1</v>
      </c>
      <c r="W1358" s="20">
        <v>46197</v>
      </c>
      <c r="X1358" s="21" t="str">
        <f>UPPER(IF(AUDITORIA[[#This Row],[DATA VERIFICAÇÃO]]="","",TEXT(AUDITORIA[[#This Row],[DATA VERIFICAÇÃO]],"mmm")))</f>
        <v>JUN</v>
      </c>
      <c r="Y1358" t="s">
        <v>598</v>
      </c>
      <c r="Z1358" t="s">
        <v>691</v>
      </c>
      <c r="AA1358" t="s">
        <v>832</v>
      </c>
    </row>
    <row r="1359" spans="1:27" ht="14.4" hidden="1" customHeight="1" x14ac:dyDescent="0.3">
      <c r="A1359" s="4" t="s">
        <v>0</v>
      </c>
      <c r="B1359" s="4" t="s">
        <v>17</v>
      </c>
      <c r="C1359" s="16" t="s">
        <v>18</v>
      </c>
      <c r="D1359" s="4">
        <v>10</v>
      </c>
      <c r="E1359" s="4" t="s">
        <v>745</v>
      </c>
      <c r="F1359" t="s">
        <v>179</v>
      </c>
      <c r="G1359" t="s">
        <v>85</v>
      </c>
      <c r="J1359" s="4" t="s">
        <v>88</v>
      </c>
      <c r="K1359" s="4" t="s">
        <v>21</v>
      </c>
      <c r="L1359" s="4" t="s">
        <v>742</v>
      </c>
      <c r="M1359" s="17">
        <v>30</v>
      </c>
      <c r="N1359" s="17">
        <v>896</v>
      </c>
      <c r="O1359" s="18" t="s">
        <v>88</v>
      </c>
      <c r="P1359" s="18">
        <v>896</v>
      </c>
      <c r="Q1359" s="18">
        <v>30</v>
      </c>
      <c r="R1359" s="18" t="s">
        <v>778</v>
      </c>
      <c r="S1359" s="18" t="s">
        <v>798</v>
      </c>
      <c r="T1359" s="18" t="s">
        <v>782</v>
      </c>
      <c r="U13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59" s="19">
        <f>IF(AUDITORIA[[#This Row],[CAT]]="",0,1)</f>
        <v>1</v>
      </c>
      <c r="W1359" s="20">
        <v>46197</v>
      </c>
      <c r="X1359" s="21" t="str">
        <f>UPPER(IF(AUDITORIA[[#This Row],[DATA VERIFICAÇÃO]]="","",TEXT(AUDITORIA[[#This Row],[DATA VERIFICAÇÃO]],"mmm")))</f>
        <v>JUN</v>
      </c>
      <c r="Y1359" t="s">
        <v>598</v>
      </c>
      <c r="Z1359" t="s">
        <v>691</v>
      </c>
      <c r="AA1359" t="s">
        <v>832</v>
      </c>
    </row>
    <row r="1360" spans="1:27" ht="14.4" hidden="1" customHeight="1" x14ac:dyDescent="0.3">
      <c r="A1360" s="4" t="s">
        <v>0</v>
      </c>
      <c r="B1360" s="4" t="s">
        <v>17</v>
      </c>
      <c r="C1360" s="16" t="s">
        <v>18</v>
      </c>
      <c r="D1360" s="4">
        <v>10</v>
      </c>
      <c r="E1360" s="4" t="s">
        <v>745</v>
      </c>
      <c r="F1360" t="s">
        <v>178</v>
      </c>
      <c r="G1360" t="s">
        <v>85</v>
      </c>
      <c r="J1360" s="4" t="s">
        <v>88</v>
      </c>
      <c r="K1360" s="4" t="s">
        <v>20</v>
      </c>
      <c r="L1360" s="4" t="s">
        <v>742</v>
      </c>
      <c r="M1360" s="17">
        <v>30</v>
      </c>
      <c r="N1360" s="17">
        <v>712</v>
      </c>
      <c r="O1360" s="18" t="s">
        <v>88</v>
      </c>
      <c r="P1360" s="18">
        <v>712</v>
      </c>
      <c r="Q1360" s="18">
        <v>30</v>
      </c>
      <c r="R1360" s="18" t="s">
        <v>778</v>
      </c>
      <c r="S1360" s="18" t="s">
        <v>799</v>
      </c>
      <c r="T1360" s="18" t="s">
        <v>782</v>
      </c>
      <c r="U13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60" s="19">
        <f>IF(AUDITORIA[[#This Row],[CAT]]="",0,1)</f>
        <v>1</v>
      </c>
      <c r="W1360" s="20">
        <v>46197</v>
      </c>
      <c r="X1360" s="21" t="str">
        <f>UPPER(IF(AUDITORIA[[#This Row],[DATA VERIFICAÇÃO]]="","",TEXT(AUDITORIA[[#This Row],[DATA VERIFICAÇÃO]],"mmm")))</f>
        <v>JUN</v>
      </c>
      <c r="Y1360" t="s">
        <v>598</v>
      </c>
      <c r="Z1360" t="s">
        <v>691</v>
      </c>
      <c r="AA1360" t="s">
        <v>832</v>
      </c>
    </row>
    <row r="1361" spans="1:27" ht="14.4" hidden="1" customHeight="1" x14ac:dyDescent="0.3">
      <c r="A1361" s="4" t="s">
        <v>0</v>
      </c>
      <c r="B1361" s="4" t="s">
        <v>17</v>
      </c>
      <c r="C1361" s="16" t="s">
        <v>18</v>
      </c>
      <c r="D1361" s="4">
        <v>10</v>
      </c>
      <c r="E1361" s="4" t="s">
        <v>745</v>
      </c>
      <c r="F1361" t="s">
        <v>176</v>
      </c>
      <c r="G1361" t="s">
        <v>85</v>
      </c>
      <c r="J1361" s="4" t="s">
        <v>88</v>
      </c>
      <c r="K1361" s="4" t="s">
        <v>21</v>
      </c>
      <c r="L1361" s="4" t="s">
        <v>742</v>
      </c>
      <c r="M1361" s="17">
        <v>30</v>
      </c>
      <c r="N1361" s="17">
        <v>904</v>
      </c>
      <c r="O1361" s="18" t="s">
        <v>88</v>
      </c>
      <c r="P1361" s="18">
        <v>904</v>
      </c>
      <c r="Q1361" s="18">
        <v>30</v>
      </c>
      <c r="R1361" s="18" t="s">
        <v>778</v>
      </c>
      <c r="S1361" s="18" t="s">
        <v>826</v>
      </c>
      <c r="T1361" s="18" t="s">
        <v>782</v>
      </c>
      <c r="U13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61" s="19">
        <f>IF(AUDITORIA[[#This Row],[CAT]]="",0,1)</f>
        <v>1</v>
      </c>
      <c r="W1361" s="20">
        <v>46197</v>
      </c>
      <c r="X1361" s="21" t="str">
        <f>UPPER(IF(AUDITORIA[[#This Row],[DATA VERIFICAÇÃO]]="","",TEXT(AUDITORIA[[#This Row],[DATA VERIFICAÇÃO]],"mmm")))</f>
        <v>JUN</v>
      </c>
      <c r="Y1361" t="s">
        <v>598</v>
      </c>
      <c r="Z1361" t="s">
        <v>691</v>
      </c>
      <c r="AA1361" t="s">
        <v>832</v>
      </c>
    </row>
    <row r="1362" spans="1:27" ht="14.4" hidden="1" customHeight="1" x14ac:dyDescent="0.3">
      <c r="A1362" s="4" t="s">
        <v>0</v>
      </c>
      <c r="B1362" s="4" t="s">
        <v>17</v>
      </c>
      <c r="C1362" s="16" t="s">
        <v>18</v>
      </c>
      <c r="D1362" s="4">
        <v>10</v>
      </c>
      <c r="E1362" s="4" t="s">
        <v>745</v>
      </c>
      <c r="F1362" t="s">
        <v>177</v>
      </c>
      <c r="G1362" t="s">
        <v>85</v>
      </c>
      <c r="J1362" s="4" t="s">
        <v>88</v>
      </c>
      <c r="K1362" s="4" t="s">
        <v>20</v>
      </c>
      <c r="L1362" s="4" t="s">
        <v>742</v>
      </c>
      <c r="M1362" s="17">
        <v>30</v>
      </c>
      <c r="N1362" s="17">
        <v>712</v>
      </c>
      <c r="O1362" s="18" t="s">
        <v>88</v>
      </c>
      <c r="P1362" s="18">
        <v>712</v>
      </c>
      <c r="Q1362" s="18">
        <v>30</v>
      </c>
      <c r="R1362" s="18" t="s">
        <v>814</v>
      </c>
      <c r="S1362" s="18" t="s">
        <v>801</v>
      </c>
      <c r="T1362" s="18" t="s">
        <v>782</v>
      </c>
      <c r="U13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62" s="19">
        <f>IF(AUDITORIA[[#This Row],[CAT]]="",0,1)</f>
        <v>1</v>
      </c>
      <c r="W1362" s="20">
        <v>46197</v>
      </c>
      <c r="X1362" s="21" t="str">
        <f>UPPER(IF(AUDITORIA[[#This Row],[DATA VERIFICAÇÃO]]="","",TEXT(AUDITORIA[[#This Row],[DATA VERIFICAÇÃO]],"mmm")))</f>
        <v>JUN</v>
      </c>
      <c r="Y1362" t="s">
        <v>598</v>
      </c>
      <c r="Z1362" t="s">
        <v>691</v>
      </c>
      <c r="AA1362" t="s">
        <v>832</v>
      </c>
    </row>
    <row r="1363" spans="1:27" ht="14.4" hidden="1" customHeight="1" x14ac:dyDescent="0.3">
      <c r="A1363" s="4" t="s">
        <v>0</v>
      </c>
      <c r="B1363" s="4" t="s">
        <v>17</v>
      </c>
      <c r="C1363" s="16" t="s">
        <v>18</v>
      </c>
      <c r="D1363" s="4">
        <v>10</v>
      </c>
      <c r="E1363" s="4" t="s">
        <v>745</v>
      </c>
      <c r="F1363" t="s">
        <v>175</v>
      </c>
      <c r="G1363" t="s">
        <v>85</v>
      </c>
      <c r="J1363" s="4" t="s">
        <v>88</v>
      </c>
      <c r="K1363" s="4" t="s">
        <v>20</v>
      </c>
      <c r="L1363" s="4" t="s">
        <v>742</v>
      </c>
      <c r="M1363" s="17">
        <v>30</v>
      </c>
      <c r="N1363" s="17">
        <v>714</v>
      </c>
      <c r="O1363" s="18" t="s">
        <v>88</v>
      </c>
      <c r="P1363" s="18">
        <v>714</v>
      </c>
      <c r="Q1363" s="18">
        <v>30</v>
      </c>
      <c r="R1363" s="18" t="s">
        <v>778</v>
      </c>
      <c r="S1363" s="18" t="s">
        <v>797</v>
      </c>
      <c r="T1363" s="18" t="s">
        <v>780</v>
      </c>
      <c r="U13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63" s="19">
        <f>IF(AUDITORIA[[#This Row],[CAT]]="",0,1)</f>
        <v>1</v>
      </c>
      <c r="W1363" s="20">
        <v>46197</v>
      </c>
      <c r="X1363" s="21" t="str">
        <f>UPPER(IF(AUDITORIA[[#This Row],[DATA VERIFICAÇÃO]]="","",TEXT(AUDITORIA[[#This Row],[DATA VERIFICAÇÃO]],"mmm")))</f>
        <v>JUN</v>
      </c>
      <c r="Y1363" t="s">
        <v>598</v>
      </c>
      <c r="Z1363" t="s">
        <v>691</v>
      </c>
      <c r="AA1363" t="s">
        <v>832</v>
      </c>
    </row>
    <row r="1364" spans="1:27" ht="14.4" hidden="1" customHeight="1" x14ac:dyDescent="0.3">
      <c r="A1364" s="4" t="s">
        <v>0</v>
      </c>
      <c r="B1364" s="4" t="s">
        <v>17</v>
      </c>
      <c r="C1364" s="16" t="s">
        <v>18</v>
      </c>
      <c r="D1364" s="4">
        <v>10</v>
      </c>
      <c r="E1364" s="4" t="s">
        <v>745</v>
      </c>
      <c r="F1364" t="s">
        <v>174</v>
      </c>
      <c r="G1364" t="s">
        <v>85</v>
      </c>
      <c r="J1364" s="4" t="s">
        <v>88</v>
      </c>
      <c r="K1364" s="4" t="s">
        <v>21</v>
      </c>
      <c r="L1364" s="4" t="s">
        <v>742</v>
      </c>
      <c r="M1364" s="17">
        <v>30</v>
      </c>
      <c r="N1364" s="17">
        <v>882</v>
      </c>
      <c r="O1364" s="18" t="s">
        <v>88</v>
      </c>
      <c r="P1364" s="18">
        <v>882</v>
      </c>
      <c r="Q1364" s="18">
        <v>30</v>
      </c>
      <c r="R1364" s="18" t="s">
        <v>778</v>
      </c>
      <c r="S1364" s="18" t="s">
        <v>798</v>
      </c>
      <c r="T1364" s="18" t="s">
        <v>794</v>
      </c>
      <c r="U13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64" s="19">
        <f>IF(AUDITORIA[[#This Row],[CAT]]="",0,1)</f>
        <v>1</v>
      </c>
      <c r="W1364" s="20">
        <v>46197</v>
      </c>
      <c r="X1364" s="21" t="str">
        <f>UPPER(IF(AUDITORIA[[#This Row],[DATA VERIFICAÇÃO]]="","",TEXT(AUDITORIA[[#This Row],[DATA VERIFICAÇÃO]],"mmm")))</f>
        <v>JUN</v>
      </c>
      <c r="Y1364" t="s">
        <v>598</v>
      </c>
      <c r="Z1364" t="s">
        <v>691</v>
      </c>
      <c r="AA1364" t="s">
        <v>832</v>
      </c>
    </row>
    <row r="1365" spans="1:27" ht="14.4" hidden="1" customHeight="1" x14ac:dyDescent="0.3">
      <c r="A1365" s="4" t="s">
        <v>0</v>
      </c>
      <c r="B1365" s="4" t="s">
        <v>17</v>
      </c>
      <c r="C1365" s="16" t="s">
        <v>18</v>
      </c>
      <c r="D1365" s="4">
        <v>10</v>
      </c>
      <c r="E1365" s="4" t="s">
        <v>745</v>
      </c>
      <c r="F1365" t="s">
        <v>173</v>
      </c>
      <c r="G1365" t="s">
        <v>85</v>
      </c>
      <c r="J1365" s="4" t="s">
        <v>88</v>
      </c>
      <c r="K1365" s="4" t="s">
        <v>20</v>
      </c>
      <c r="L1365" s="4" t="s">
        <v>742</v>
      </c>
      <c r="M1365" s="17">
        <v>30</v>
      </c>
      <c r="N1365" s="17">
        <v>718</v>
      </c>
      <c r="O1365" s="18" t="s">
        <v>88</v>
      </c>
      <c r="P1365" s="18">
        <v>718</v>
      </c>
      <c r="Q1365" s="18">
        <v>30</v>
      </c>
      <c r="R1365" s="18" t="s">
        <v>778</v>
      </c>
      <c r="S1365" s="18" t="s">
        <v>796</v>
      </c>
      <c r="T1365" s="18" t="s">
        <v>782</v>
      </c>
      <c r="U13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65" s="19">
        <f>IF(AUDITORIA[[#This Row],[CAT]]="",0,1)</f>
        <v>1</v>
      </c>
      <c r="W1365" s="20">
        <v>46197</v>
      </c>
      <c r="X1365" s="21" t="str">
        <f>UPPER(IF(AUDITORIA[[#This Row],[DATA VERIFICAÇÃO]]="","",TEXT(AUDITORIA[[#This Row],[DATA VERIFICAÇÃO]],"mmm")))</f>
        <v>JUN</v>
      </c>
      <c r="Y1365" t="s">
        <v>598</v>
      </c>
      <c r="Z1365" t="s">
        <v>691</v>
      </c>
      <c r="AA1365" t="s">
        <v>832</v>
      </c>
    </row>
    <row r="1366" spans="1:27" ht="14.4" hidden="1" customHeight="1" x14ac:dyDescent="0.3">
      <c r="A1366" s="4" t="s">
        <v>0</v>
      </c>
      <c r="B1366" s="4" t="s">
        <v>17</v>
      </c>
      <c r="C1366" s="16" t="s">
        <v>18</v>
      </c>
      <c r="D1366" s="4">
        <v>10</v>
      </c>
      <c r="E1366" s="4" t="s">
        <v>745</v>
      </c>
      <c r="F1366" t="s">
        <v>172</v>
      </c>
      <c r="G1366" t="s">
        <v>85</v>
      </c>
      <c r="J1366" s="4" t="s">
        <v>88</v>
      </c>
      <c r="K1366" s="4" t="s">
        <v>21</v>
      </c>
      <c r="L1366" s="4" t="s">
        <v>742</v>
      </c>
      <c r="M1366" s="17">
        <v>30</v>
      </c>
      <c r="N1366" s="17">
        <v>882</v>
      </c>
      <c r="O1366" s="18" t="s">
        <v>88</v>
      </c>
      <c r="P1366" s="18">
        <v>882</v>
      </c>
      <c r="Q1366" s="18">
        <v>30</v>
      </c>
      <c r="R1366" s="18" t="s">
        <v>778</v>
      </c>
      <c r="S1366" s="18" t="s">
        <v>785</v>
      </c>
      <c r="T1366" s="18" t="s">
        <v>782</v>
      </c>
      <c r="U13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66" s="19">
        <f>IF(AUDITORIA[[#This Row],[CAT]]="",0,1)</f>
        <v>1</v>
      </c>
      <c r="W1366" s="20">
        <v>46197</v>
      </c>
      <c r="X1366" s="21" t="str">
        <f>UPPER(IF(AUDITORIA[[#This Row],[DATA VERIFICAÇÃO]]="","",TEXT(AUDITORIA[[#This Row],[DATA VERIFICAÇÃO]],"mmm")))</f>
        <v>JUN</v>
      </c>
      <c r="Y1366" t="s">
        <v>598</v>
      </c>
      <c r="Z1366" t="s">
        <v>691</v>
      </c>
      <c r="AA1366" t="s">
        <v>832</v>
      </c>
    </row>
    <row r="1367" spans="1:27" ht="14.4" hidden="1" customHeight="1" x14ac:dyDescent="0.3">
      <c r="A1367" s="4" t="s">
        <v>0</v>
      </c>
      <c r="B1367" s="4" t="s">
        <v>17</v>
      </c>
      <c r="C1367" s="16" t="s">
        <v>18</v>
      </c>
      <c r="D1367" s="4">
        <v>10</v>
      </c>
      <c r="E1367" s="4" t="s">
        <v>745</v>
      </c>
      <c r="F1367" t="s">
        <v>170</v>
      </c>
      <c r="G1367" t="s">
        <v>85</v>
      </c>
      <c r="J1367" s="4" t="s">
        <v>88</v>
      </c>
      <c r="K1367" s="4" t="s">
        <v>20</v>
      </c>
      <c r="L1367" s="4" t="s">
        <v>742</v>
      </c>
      <c r="M1367" s="17">
        <v>30</v>
      </c>
      <c r="N1367" s="17">
        <v>721</v>
      </c>
      <c r="O1367" s="18" t="s">
        <v>88</v>
      </c>
      <c r="P1367" s="18">
        <v>721</v>
      </c>
      <c r="Q1367" s="18">
        <v>30</v>
      </c>
      <c r="R1367" s="18" t="s">
        <v>778</v>
      </c>
      <c r="S1367" s="18" t="s">
        <v>796</v>
      </c>
      <c r="T1367" s="18" t="s">
        <v>781</v>
      </c>
      <c r="U13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67" s="19">
        <f>IF(AUDITORIA[[#This Row],[CAT]]="",0,1)</f>
        <v>1</v>
      </c>
      <c r="W1367" s="20">
        <v>46197</v>
      </c>
      <c r="X1367" s="21" t="str">
        <f>UPPER(IF(AUDITORIA[[#This Row],[DATA VERIFICAÇÃO]]="","",TEXT(AUDITORIA[[#This Row],[DATA VERIFICAÇÃO]],"mmm")))</f>
        <v>JUN</v>
      </c>
      <c r="Y1367" t="s">
        <v>598</v>
      </c>
      <c r="Z1367" t="s">
        <v>691</v>
      </c>
      <c r="AA1367" t="s">
        <v>832</v>
      </c>
    </row>
    <row r="1368" spans="1:27" ht="14.4" hidden="1" customHeight="1" x14ac:dyDescent="0.3">
      <c r="A1368" s="4" t="s">
        <v>0</v>
      </c>
      <c r="B1368" s="4" t="s">
        <v>17</v>
      </c>
      <c r="C1368" s="16" t="s">
        <v>18</v>
      </c>
      <c r="D1368" s="4">
        <v>10</v>
      </c>
      <c r="E1368" s="4" t="s">
        <v>745</v>
      </c>
      <c r="F1368" t="s">
        <v>171</v>
      </c>
      <c r="G1368" t="s">
        <v>85</v>
      </c>
      <c r="J1368" s="4" t="s">
        <v>88</v>
      </c>
      <c r="K1368" s="4" t="s">
        <v>21</v>
      </c>
      <c r="L1368" s="4" t="s">
        <v>742</v>
      </c>
      <c r="M1368" s="17">
        <v>30</v>
      </c>
      <c r="N1368" s="17">
        <v>904</v>
      </c>
      <c r="O1368" s="18" t="s">
        <v>88</v>
      </c>
      <c r="P1368" s="18">
        <v>904</v>
      </c>
      <c r="Q1368" s="18">
        <v>30</v>
      </c>
      <c r="R1368" s="18" t="s">
        <v>778</v>
      </c>
      <c r="S1368" s="18" t="s">
        <v>787</v>
      </c>
      <c r="T1368" s="18" t="s">
        <v>782</v>
      </c>
      <c r="U13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68" s="19">
        <f>IF(AUDITORIA[[#This Row],[CAT]]="",0,1)</f>
        <v>1</v>
      </c>
      <c r="W1368" s="20">
        <v>46197</v>
      </c>
      <c r="X1368" s="21" t="str">
        <f>UPPER(IF(AUDITORIA[[#This Row],[DATA VERIFICAÇÃO]]="","",TEXT(AUDITORIA[[#This Row],[DATA VERIFICAÇÃO]],"mmm")))</f>
        <v>JUN</v>
      </c>
      <c r="Y1368" t="s">
        <v>598</v>
      </c>
      <c r="Z1368" t="s">
        <v>691</v>
      </c>
      <c r="AA1368" t="s">
        <v>832</v>
      </c>
    </row>
    <row r="1369" spans="1:27" ht="14.4" hidden="1" customHeight="1" x14ac:dyDescent="0.3">
      <c r="A1369" s="4" t="s">
        <v>0</v>
      </c>
      <c r="B1369" s="4" t="s">
        <v>17</v>
      </c>
      <c r="C1369" s="16" t="s">
        <v>18</v>
      </c>
      <c r="D1369" s="4">
        <v>10</v>
      </c>
      <c r="E1369" s="4" t="s">
        <v>745</v>
      </c>
      <c r="F1369" t="s">
        <v>169</v>
      </c>
      <c r="G1369" t="s">
        <v>85</v>
      </c>
      <c r="J1369" s="4" t="s">
        <v>88</v>
      </c>
      <c r="K1369" s="4" t="s">
        <v>20</v>
      </c>
      <c r="L1369" s="4" t="s">
        <v>742</v>
      </c>
      <c r="M1369" s="17">
        <v>30</v>
      </c>
      <c r="N1369" s="17">
        <v>718</v>
      </c>
      <c r="O1369" s="18" t="s">
        <v>88</v>
      </c>
      <c r="P1369" s="18">
        <v>718</v>
      </c>
      <c r="Q1369" s="18">
        <v>30</v>
      </c>
      <c r="R1369" s="18" t="s">
        <v>778</v>
      </c>
      <c r="S1369" s="18" t="s">
        <v>796</v>
      </c>
      <c r="T1369" s="18" t="s">
        <v>780</v>
      </c>
      <c r="U13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69" s="19">
        <f>IF(AUDITORIA[[#This Row],[CAT]]="",0,1)</f>
        <v>1</v>
      </c>
      <c r="W1369" s="20">
        <v>46197</v>
      </c>
      <c r="X1369" s="21" t="str">
        <f>UPPER(IF(AUDITORIA[[#This Row],[DATA VERIFICAÇÃO]]="","",TEXT(AUDITORIA[[#This Row],[DATA VERIFICAÇÃO]],"mmm")))</f>
        <v>JUN</v>
      </c>
      <c r="Y1369" t="s">
        <v>598</v>
      </c>
      <c r="Z1369" t="s">
        <v>691</v>
      </c>
      <c r="AA1369" t="s">
        <v>832</v>
      </c>
    </row>
    <row r="1370" spans="1:27" ht="14.4" hidden="1" customHeight="1" x14ac:dyDescent="0.3">
      <c r="A1370" s="4" t="s">
        <v>0</v>
      </c>
      <c r="B1370" s="4" t="s">
        <v>17</v>
      </c>
      <c r="C1370" s="16" t="s">
        <v>18</v>
      </c>
      <c r="D1370" s="4">
        <v>10</v>
      </c>
      <c r="E1370" s="4" t="s">
        <v>745</v>
      </c>
      <c r="F1370" t="s">
        <v>168</v>
      </c>
      <c r="G1370" t="s">
        <v>85</v>
      </c>
      <c r="J1370" s="4" t="s">
        <v>88</v>
      </c>
      <c r="K1370" s="4" t="s">
        <v>21</v>
      </c>
      <c r="L1370" s="4" t="s">
        <v>742</v>
      </c>
      <c r="M1370" s="17">
        <v>30</v>
      </c>
      <c r="N1370" s="17">
        <v>897</v>
      </c>
      <c r="O1370" s="18" t="s">
        <v>88</v>
      </c>
      <c r="P1370" s="18">
        <v>897</v>
      </c>
      <c r="Q1370" s="18">
        <v>30</v>
      </c>
      <c r="R1370" s="18" t="s">
        <v>778</v>
      </c>
      <c r="S1370" s="18" t="s">
        <v>787</v>
      </c>
      <c r="T1370" s="18" t="s">
        <v>781</v>
      </c>
      <c r="U13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70" s="19">
        <f>IF(AUDITORIA[[#This Row],[CAT]]="",0,1)</f>
        <v>1</v>
      </c>
      <c r="W1370" s="20">
        <v>46197</v>
      </c>
      <c r="X1370" s="21" t="str">
        <f>UPPER(IF(AUDITORIA[[#This Row],[DATA VERIFICAÇÃO]]="","",TEXT(AUDITORIA[[#This Row],[DATA VERIFICAÇÃO]],"mmm")))</f>
        <v>JUN</v>
      </c>
      <c r="Y1370" t="s">
        <v>598</v>
      </c>
      <c r="Z1370" t="s">
        <v>691</v>
      </c>
      <c r="AA1370" t="s">
        <v>832</v>
      </c>
    </row>
    <row r="1371" spans="1:27" ht="14.4" hidden="1" customHeight="1" x14ac:dyDescent="0.3">
      <c r="A1371" s="4" t="s">
        <v>0</v>
      </c>
      <c r="B1371" s="4" t="s">
        <v>17</v>
      </c>
      <c r="C1371" s="16" t="s">
        <v>18</v>
      </c>
      <c r="D1371" s="4">
        <v>10</v>
      </c>
      <c r="E1371" s="4" t="s">
        <v>745</v>
      </c>
      <c r="F1371" t="s">
        <v>167</v>
      </c>
      <c r="G1371" t="s">
        <v>85</v>
      </c>
      <c r="J1371" s="4" t="s">
        <v>88</v>
      </c>
      <c r="K1371" s="4" t="s">
        <v>20</v>
      </c>
      <c r="L1371" s="4" t="s">
        <v>742</v>
      </c>
      <c r="M1371" s="17">
        <v>30</v>
      </c>
      <c r="N1371" s="17">
        <v>721</v>
      </c>
      <c r="O1371" s="18" t="s">
        <v>88</v>
      </c>
      <c r="P1371" s="18">
        <v>721</v>
      </c>
      <c r="Q1371" s="18">
        <v>30</v>
      </c>
      <c r="R1371" s="18" t="s">
        <v>778</v>
      </c>
      <c r="S1371" s="18" t="s">
        <v>795</v>
      </c>
      <c r="T1371" s="18" t="s">
        <v>780</v>
      </c>
      <c r="U13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71" s="19">
        <f>IF(AUDITORIA[[#This Row],[CAT]]="",0,1)</f>
        <v>1</v>
      </c>
      <c r="W1371" s="20">
        <v>46197</v>
      </c>
      <c r="X1371" s="21" t="str">
        <f>UPPER(IF(AUDITORIA[[#This Row],[DATA VERIFICAÇÃO]]="","",TEXT(AUDITORIA[[#This Row],[DATA VERIFICAÇÃO]],"mmm")))</f>
        <v>JUN</v>
      </c>
      <c r="Y1371" t="s">
        <v>598</v>
      </c>
      <c r="Z1371" t="s">
        <v>691</v>
      </c>
      <c r="AA1371" t="s">
        <v>832</v>
      </c>
    </row>
    <row r="1372" spans="1:27" ht="14.4" hidden="1" customHeight="1" x14ac:dyDescent="0.3">
      <c r="A1372" s="4" t="s">
        <v>0</v>
      </c>
      <c r="B1372" s="4" t="s">
        <v>17</v>
      </c>
      <c r="C1372" s="16" t="s">
        <v>18</v>
      </c>
      <c r="D1372" s="4">
        <v>10</v>
      </c>
      <c r="E1372" s="4" t="s">
        <v>745</v>
      </c>
      <c r="F1372" t="s">
        <v>166</v>
      </c>
      <c r="G1372" t="s">
        <v>85</v>
      </c>
      <c r="J1372" s="4" t="s">
        <v>88</v>
      </c>
      <c r="K1372" s="4" t="s">
        <v>21</v>
      </c>
      <c r="L1372" s="4" t="s">
        <v>742</v>
      </c>
      <c r="M1372" s="17">
        <v>30</v>
      </c>
      <c r="N1372" s="17">
        <v>876</v>
      </c>
      <c r="O1372" s="18" t="s">
        <v>88</v>
      </c>
      <c r="P1372" s="18">
        <v>876</v>
      </c>
      <c r="Q1372" s="18">
        <v>30</v>
      </c>
      <c r="R1372" s="18" t="s">
        <v>778</v>
      </c>
      <c r="S1372" s="18" t="s">
        <v>784</v>
      </c>
      <c r="T1372" s="18" t="s">
        <v>780</v>
      </c>
      <c r="U13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72" s="19">
        <f>IF(AUDITORIA[[#This Row],[CAT]]="",0,1)</f>
        <v>1</v>
      </c>
      <c r="W1372" s="20">
        <v>46197</v>
      </c>
      <c r="X1372" s="21" t="str">
        <f>UPPER(IF(AUDITORIA[[#This Row],[DATA VERIFICAÇÃO]]="","",TEXT(AUDITORIA[[#This Row],[DATA VERIFICAÇÃO]],"mmm")))</f>
        <v>JUN</v>
      </c>
      <c r="Y1372" t="s">
        <v>598</v>
      </c>
      <c r="Z1372" t="s">
        <v>691</v>
      </c>
      <c r="AA1372" t="s">
        <v>832</v>
      </c>
    </row>
    <row r="1373" spans="1:27" ht="14.4" hidden="1" customHeight="1" x14ac:dyDescent="0.3">
      <c r="A1373" s="4" t="s">
        <v>0</v>
      </c>
      <c r="B1373" s="4" t="s">
        <v>17</v>
      </c>
      <c r="C1373" s="16" t="s">
        <v>18</v>
      </c>
      <c r="D1373" s="4">
        <v>10</v>
      </c>
      <c r="E1373" s="4" t="s">
        <v>745</v>
      </c>
      <c r="F1373" t="s">
        <v>165</v>
      </c>
      <c r="G1373" t="s">
        <v>85</v>
      </c>
      <c r="J1373" s="4" t="s">
        <v>88</v>
      </c>
      <c r="K1373" s="4" t="s">
        <v>20</v>
      </c>
      <c r="L1373" s="4" t="s">
        <v>742</v>
      </c>
      <c r="M1373" s="17">
        <v>30</v>
      </c>
      <c r="N1373" s="17">
        <v>728</v>
      </c>
      <c r="O1373" s="18" t="s">
        <v>88</v>
      </c>
      <c r="P1373" s="18">
        <v>728</v>
      </c>
      <c r="Q1373" s="18">
        <v>30</v>
      </c>
      <c r="R1373" s="18" t="s">
        <v>778</v>
      </c>
      <c r="S1373" s="18" t="s">
        <v>795</v>
      </c>
      <c r="T1373" s="18" t="s">
        <v>781</v>
      </c>
      <c r="U13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73" s="19">
        <f>IF(AUDITORIA[[#This Row],[CAT]]="",0,1)</f>
        <v>1</v>
      </c>
      <c r="W1373" s="20">
        <v>46197</v>
      </c>
      <c r="X1373" s="21" t="str">
        <f>UPPER(IF(AUDITORIA[[#This Row],[DATA VERIFICAÇÃO]]="","",TEXT(AUDITORIA[[#This Row],[DATA VERIFICAÇÃO]],"mmm")))</f>
        <v>JUN</v>
      </c>
      <c r="Y1373" t="s">
        <v>598</v>
      </c>
      <c r="Z1373" t="s">
        <v>691</v>
      </c>
      <c r="AA1373" t="s">
        <v>832</v>
      </c>
    </row>
    <row r="1374" spans="1:27" ht="14.4" hidden="1" customHeight="1" x14ac:dyDescent="0.3">
      <c r="A1374" s="4" t="s">
        <v>0</v>
      </c>
      <c r="B1374" s="4" t="s">
        <v>17</v>
      </c>
      <c r="C1374" s="16" t="s">
        <v>18</v>
      </c>
      <c r="D1374" s="4">
        <v>10</v>
      </c>
      <c r="E1374" s="4" t="s">
        <v>745</v>
      </c>
      <c r="F1374" t="s">
        <v>163</v>
      </c>
      <c r="G1374" t="s">
        <v>85</v>
      </c>
      <c r="J1374" s="4" t="s">
        <v>88</v>
      </c>
      <c r="K1374" s="4" t="s">
        <v>21</v>
      </c>
      <c r="L1374" s="4" t="s">
        <v>742</v>
      </c>
      <c r="M1374" s="17">
        <v>30</v>
      </c>
      <c r="N1374" s="17">
        <v>866</v>
      </c>
      <c r="O1374" s="18" t="s">
        <v>88</v>
      </c>
      <c r="P1374" s="18">
        <v>866</v>
      </c>
      <c r="Q1374" s="18">
        <v>30</v>
      </c>
      <c r="R1374" s="18" t="s">
        <v>778</v>
      </c>
      <c r="S1374" s="18" t="s">
        <v>784</v>
      </c>
      <c r="T1374" s="18" t="s">
        <v>781</v>
      </c>
      <c r="U13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74" s="19">
        <f>IF(AUDITORIA[[#This Row],[CAT]]="",0,1)</f>
        <v>1</v>
      </c>
      <c r="W1374" s="20">
        <v>46197</v>
      </c>
      <c r="X1374" s="21" t="str">
        <f>UPPER(IF(AUDITORIA[[#This Row],[DATA VERIFICAÇÃO]]="","",TEXT(AUDITORIA[[#This Row],[DATA VERIFICAÇÃO]],"mmm")))</f>
        <v>JUN</v>
      </c>
      <c r="Y1374" t="s">
        <v>598</v>
      </c>
      <c r="Z1374" t="s">
        <v>691</v>
      </c>
      <c r="AA1374" t="s">
        <v>832</v>
      </c>
    </row>
    <row r="1375" spans="1:27" ht="14.4" hidden="1" customHeight="1" x14ac:dyDescent="0.3">
      <c r="A1375" s="4" t="s">
        <v>0</v>
      </c>
      <c r="B1375" s="4" t="s">
        <v>17</v>
      </c>
      <c r="C1375" s="16" t="s">
        <v>18</v>
      </c>
      <c r="D1375" s="4">
        <v>10</v>
      </c>
      <c r="E1375" s="4" t="s">
        <v>745</v>
      </c>
      <c r="F1375" t="s">
        <v>164</v>
      </c>
      <c r="G1375" t="s">
        <v>85</v>
      </c>
      <c r="J1375" s="4" t="s">
        <v>88</v>
      </c>
      <c r="K1375" s="4" t="s">
        <v>20</v>
      </c>
      <c r="L1375" s="4" t="s">
        <v>742</v>
      </c>
      <c r="M1375" s="17">
        <v>30</v>
      </c>
      <c r="N1375" s="17">
        <v>710</v>
      </c>
      <c r="O1375" s="18" t="s">
        <v>88</v>
      </c>
      <c r="P1375" s="18">
        <v>710</v>
      </c>
      <c r="Q1375" s="18">
        <v>30</v>
      </c>
      <c r="R1375" s="18" t="s">
        <v>778</v>
      </c>
      <c r="S1375" s="18" t="s">
        <v>795</v>
      </c>
      <c r="T1375" s="18" t="s">
        <v>782</v>
      </c>
      <c r="U13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75" s="19">
        <f>IF(AUDITORIA[[#This Row],[CAT]]="",0,1)</f>
        <v>1</v>
      </c>
      <c r="W1375" s="20">
        <v>46197</v>
      </c>
      <c r="X1375" s="21" t="str">
        <f>UPPER(IF(AUDITORIA[[#This Row],[DATA VERIFICAÇÃO]]="","",TEXT(AUDITORIA[[#This Row],[DATA VERIFICAÇÃO]],"mmm")))</f>
        <v>JUN</v>
      </c>
      <c r="Y1375" t="s">
        <v>598</v>
      </c>
      <c r="Z1375" t="s">
        <v>691</v>
      </c>
      <c r="AA1375" t="s">
        <v>832</v>
      </c>
    </row>
    <row r="1376" spans="1:27" ht="14.4" hidden="1" customHeight="1" x14ac:dyDescent="0.3">
      <c r="A1376" s="4" t="s">
        <v>0</v>
      </c>
      <c r="B1376" s="4" t="s">
        <v>17</v>
      </c>
      <c r="C1376" s="16" t="s">
        <v>18</v>
      </c>
      <c r="D1376" s="4">
        <v>10</v>
      </c>
      <c r="E1376" s="4" t="s">
        <v>745</v>
      </c>
      <c r="F1376" t="s">
        <v>162</v>
      </c>
      <c r="G1376" t="s">
        <v>85</v>
      </c>
      <c r="J1376" s="4" t="s">
        <v>88</v>
      </c>
      <c r="K1376" s="4" t="s">
        <v>20</v>
      </c>
      <c r="L1376" s="4" t="s">
        <v>742</v>
      </c>
      <c r="M1376" s="17">
        <v>30</v>
      </c>
      <c r="N1376" s="17">
        <v>715</v>
      </c>
      <c r="O1376" s="18" t="s">
        <v>88</v>
      </c>
      <c r="P1376" s="18">
        <v>715</v>
      </c>
      <c r="Q1376" s="18">
        <v>30</v>
      </c>
      <c r="R1376" s="18" t="s">
        <v>778</v>
      </c>
      <c r="S1376" s="18" t="s">
        <v>795</v>
      </c>
      <c r="T1376" s="18" t="s">
        <v>794</v>
      </c>
      <c r="U13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76" s="19">
        <f>IF(AUDITORIA[[#This Row],[CAT]]="",0,1)</f>
        <v>1</v>
      </c>
      <c r="W1376" s="20">
        <v>46197</v>
      </c>
      <c r="X1376" s="21" t="str">
        <f>UPPER(IF(AUDITORIA[[#This Row],[DATA VERIFICAÇÃO]]="","",TEXT(AUDITORIA[[#This Row],[DATA VERIFICAÇÃO]],"mmm")))</f>
        <v>JUN</v>
      </c>
      <c r="Y1376" t="s">
        <v>598</v>
      </c>
      <c r="Z1376" t="s">
        <v>691</v>
      </c>
      <c r="AA1376" t="s">
        <v>832</v>
      </c>
    </row>
    <row r="1377" spans="1:27" ht="14.4" hidden="1" customHeight="1" x14ac:dyDescent="0.3">
      <c r="A1377" s="4" t="s">
        <v>0</v>
      </c>
      <c r="B1377" s="4" t="s">
        <v>17</v>
      </c>
      <c r="C1377" s="16" t="s">
        <v>18</v>
      </c>
      <c r="D1377" s="4">
        <v>10</v>
      </c>
      <c r="E1377" s="4" t="s">
        <v>745</v>
      </c>
      <c r="F1377" t="s">
        <v>161</v>
      </c>
      <c r="G1377" t="s">
        <v>85</v>
      </c>
      <c r="J1377" s="4" t="s">
        <v>88</v>
      </c>
      <c r="K1377" s="4" t="s">
        <v>21</v>
      </c>
      <c r="L1377" s="4" t="s">
        <v>742</v>
      </c>
      <c r="M1377" s="17">
        <v>30</v>
      </c>
      <c r="N1377" s="17">
        <v>876</v>
      </c>
      <c r="O1377" s="18" t="s">
        <v>88</v>
      </c>
      <c r="P1377" s="18">
        <v>876</v>
      </c>
      <c r="Q1377" s="18">
        <v>30</v>
      </c>
      <c r="R1377" s="18" t="s">
        <v>778</v>
      </c>
      <c r="S1377" s="18" t="s">
        <v>784</v>
      </c>
      <c r="T1377" s="18" t="s">
        <v>782</v>
      </c>
      <c r="U13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77" s="19">
        <f>IF(AUDITORIA[[#This Row],[CAT]]="",0,1)</f>
        <v>1</v>
      </c>
      <c r="W1377" s="20">
        <v>46197</v>
      </c>
      <c r="X1377" s="21" t="str">
        <f>UPPER(IF(AUDITORIA[[#This Row],[DATA VERIFICAÇÃO]]="","",TEXT(AUDITORIA[[#This Row],[DATA VERIFICAÇÃO]],"mmm")))</f>
        <v>JUN</v>
      </c>
      <c r="Y1377" t="s">
        <v>598</v>
      </c>
      <c r="Z1377" t="s">
        <v>691</v>
      </c>
      <c r="AA1377" t="s">
        <v>832</v>
      </c>
    </row>
    <row r="1378" spans="1:27" ht="14.4" hidden="1" customHeight="1" x14ac:dyDescent="0.3">
      <c r="A1378" s="4" t="s">
        <v>0</v>
      </c>
      <c r="B1378" s="4" t="s">
        <v>17</v>
      </c>
      <c r="C1378" s="16" t="s">
        <v>18</v>
      </c>
      <c r="D1378" s="4">
        <v>10</v>
      </c>
      <c r="E1378" s="4" t="s">
        <v>745</v>
      </c>
      <c r="F1378" t="s">
        <v>160</v>
      </c>
      <c r="G1378" t="s">
        <v>85</v>
      </c>
      <c r="J1378" s="4" t="s">
        <v>88</v>
      </c>
      <c r="K1378" s="4" t="s">
        <v>20</v>
      </c>
      <c r="L1378" s="4" t="s">
        <v>742</v>
      </c>
      <c r="M1378" s="17">
        <v>30</v>
      </c>
      <c r="N1378" s="17">
        <v>709</v>
      </c>
      <c r="O1378" s="18" t="s">
        <v>88</v>
      </c>
      <c r="P1378" s="18">
        <v>709</v>
      </c>
      <c r="Q1378" s="18">
        <v>30</v>
      </c>
      <c r="R1378" s="18" t="s">
        <v>778</v>
      </c>
      <c r="S1378" s="18" t="s">
        <v>793</v>
      </c>
      <c r="T1378" s="18" t="s">
        <v>780</v>
      </c>
      <c r="U13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78" s="19">
        <f>IF(AUDITORIA[[#This Row],[CAT]]="",0,1)</f>
        <v>1</v>
      </c>
      <c r="W1378" s="20">
        <v>46197</v>
      </c>
      <c r="X1378" s="21" t="str">
        <f>UPPER(IF(AUDITORIA[[#This Row],[DATA VERIFICAÇÃO]]="","",TEXT(AUDITORIA[[#This Row],[DATA VERIFICAÇÃO]],"mmm")))</f>
        <v>JUN</v>
      </c>
      <c r="Y1378" t="s">
        <v>598</v>
      </c>
      <c r="Z1378" t="s">
        <v>691</v>
      </c>
      <c r="AA1378" t="s">
        <v>832</v>
      </c>
    </row>
    <row r="1379" spans="1:27" ht="14.4" hidden="1" customHeight="1" x14ac:dyDescent="0.3">
      <c r="A1379" s="4" t="s">
        <v>0</v>
      </c>
      <c r="B1379" s="4" t="s">
        <v>17</v>
      </c>
      <c r="C1379" s="16" t="s">
        <v>18</v>
      </c>
      <c r="D1379" s="4">
        <v>10</v>
      </c>
      <c r="E1379" s="4" t="s">
        <v>745</v>
      </c>
      <c r="F1379" t="s">
        <v>158</v>
      </c>
      <c r="G1379" t="s">
        <v>85</v>
      </c>
      <c r="J1379" s="4" t="s">
        <v>88</v>
      </c>
      <c r="K1379" s="4" t="s">
        <v>21</v>
      </c>
      <c r="L1379" s="4" t="s">
        <v>742</v>
      </c>
      <c r="M1379" s="17">
        <v>30</v>
      </c>
      <c r="N1379" s="17">
        <v>884</v>
      </c>
      <c r="O1379" s="18" t="s">
        <v>88</v>
      </c>
      <c r="P1379" s="18">
        <v>884</v>
      </c>
      <c r="Q1379" s="18">
        <v>30</v>
      </c>
      <c r="R1379" s="18" t="s">
        <v>778</v>
      </c>
      <c r="S1379" s="18" t="s">
        <v>803</v>
      </c>
      <c r="T1379" s="18" t="s">
        <v>794</v>
      </c>
      <c r="U13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79" s="19">
        <f>IF(AUDITORIA[[#This Row],[CAT]]="",0,1)</f>
        <v>1</v>
      </c>
      <c r="W1379" s="20">
        <v>46197</v>
      </c>
      <c r="X1379" s="21" t="str">
        <f>UPPER(IF(AUDITORIA[[#This Row],[DATA VERIFICAÇÃO]]="","",TEXT(AUDITORIA[[#This Row],[DATA VERIFICAÇÃO]],"mmm")))</f>
        <v>JUN</v>
      </c>
      <c r="Y1379" t="s">
        <v>598</v>
      </c>
      <c r="Z1379" t="s">
        <v>691</v>
      </c>
      <c r="AA1379" t="s">
        <v>832</v>
      </c>
    </row>
    <row r="1380" spans="1:27" ht="14.4" hidden="1" customHeight="1" x14ac:dyDescent="0.3">
      <c r="A1380" s="4" t="s">
        <v>0</v>
      </c>
      <c r="B1380" s="4" t="s">
        <v>17</v>
      </c>
      <c r="C1380" s="16" t="s">
        <v>18</v>
      </c>
      <c r="D1380" s="4">
        <v>10</v>
      </c>
      <c r="E1380" s="4" t="s">
        <v>745</v>
      </c>
      <c r="F1380" t="s">
        <v>159</v>
      </c>
      <c r="G1380" t="s">
        <v>85</v>
      </c>
      <c r="J1380" s="4" t="s">
        <v>88</v>
      </c>
      <c r="K1380" s="4" t="s">
        <v>20</v>
      </c>
      <c r="L1380" s="4" t="s">
        <v>742</v>
      </c>
      <c r="M1380" s="17">
        <v>30</v>
      </c>
      <c r="N1380" s="17">
        <v>705</v>
      </c>
      <c r="O1380" s="18" t="s">
        <v>88</v>
      </c>
      <c r="P1380" s="18">
        <v>705</v>
      </c>
      <c r="Q1380" s="18">
        <v>30</v>
      </c>
      <c r="R1380" s="18" t="s">
        <v>778</v>
      </c>
      <c r="S1380" s="18" t="s">
        <v>793</v>
      </c>
      <c r="T1380" s="18" t="s">
        <v>781</v>
      </c>
      <c r="U13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80" s="19">
        <f>IF(AUDITORIA[[#This Row],[CAT]]="",0,1)</f>
        <v>1</v>
      </c>
      <c r="W1380" s="20">
        <v>46197</v>
      </c>
      <c r="X1380" s="21" t="str">
        <f>UPPER(IF(AUDITORIA[[#This Row],[DATA VERIFICAÇÃO]]="","",TEXT(AUDITORIA[[#This Row],[DATA VERIFICAÇÃO]],"mmm")))</f>
        <v>JUN</v>
      </c>
      <c r="Y1380" t="s">
        <v>598</v>
      </c>
      <c r="Z1380" t="s">
        <v>691</v>
      </c>
      <c r="AA1380" t="s">
        <v>832</v>
      </c>
    </row>
    <row r="1381" spans="1:27" ht="14.4" hidden="1" customHeight="1" x14ac:dyDescent="0.3">
      <c r="A1381" s="4" t="s">
        <v>0</v>
      </c>
      <c r="B1381" s="4" t="s">
        <v>17</v>
      </c>
      <c r="C1381" s="16" t="s">
        <v>18</v>
      </c>
      <c r="D1381" s="4">
        <v>10</v>
      </c>
      <c r="E1381" s="4" t="s">
        <v>745</v>
      </c>
      <c r="F1381" t="s">
        <v>157</v>
      </c>
      <c r="G1381" t="s">
        <v>85</v>
      </c>
      <c r="J1381" s="4" t="s">
        <v>88</v>
      </c>
      <c r="K1381" s="4" t="s">
        <v>20</v>
      </c>
      <c r="L1381" s="4" t="s">
        <v>742</v>
      </c>
      <c r="M1381" s="17">
        <v>30</v>
      </c>
      <c r="N1381" s="17">
        <v>702</v>
      </c>
      <c r="O1381" s="18" t="s">
        <v>88</v>
      </c>
      <c r="P1381" s="18">
        <v>702</v>
      </c>
      <c r="Q1381" s="18">
        <v>30</v>
      </c>
      <c r="R1381" s="18" t="s">
        <v>778</v>
      </c>
      <c r="S1381" s="18" t="s">
        <v>793</v>
      </c>
      <c r="T1381" s="18" t="s">
        <v>782</v>
      </c>
      <c r="U13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81" s="19">
        <f>IF(AUDITORIA[[#This Row],[CAT]]="",0,1)</f>
        <v>1</v>
      </c>
      <c r="W1381" s="20">
        <v>46197</v>
      </c>
      <c r="X1381" s="21" t="str">
        <f>UPPER(IF(AUDITORIA[[#This Row],[DATA VERIFICAÇÃO]]="","",TEXT(AUDITORIA[[#This Row],[DATA VERIFICAÇÃO]],"mmm")))</f>
        <v>JUN</v>
      </c>
      <c r="Y1381" t="s">
        <v>598</v>
      </c>
      <c r="Z1381" t="s">
        <v>691</v>
      </c>
      <c r="AA1381" t="s">
        <v>832</v>
      </c>
    </row>
    <row r="1382" spans="1:27" ht="14.4" hidden="1" customHeight="1" x14ac:dyDescent="0.3">
      <c r="A1382" s="4" t="s">
        <v>0</v>
      </c>
      <c r="B1382" s="4" t="s">
        <v>17</v>
      </c>
      <c r="C1382" s="16" t="s">
        <v>18</v>
      </c>
      <c r="D1382" s="4">
        <v>10</v>
      </c>
      <c r="E1382" s="4" t="s">
        <v>745</v>
      </c>
      <c r="F1382" t="s">
        <v>156</v>
      </c>
      <c r="G1382" t="s">
        <v>85</v>
      </c>
      <c r="J1382" s="4" t="s">
        <v>88</v>
      </c>
      <c r="K1382" s="4" t="s">
        <v>21</v>
      </c>
      <c r="L1382" s="4" t="s">
        <v>742</v>
      </c>
      <c r="M1382" s="17">
        <v>30</v>
      </c>
      <c r="N1382" s="17">
        <v>832</v>
      </c>
      <c r="O1382" s="18" t="s">
        <v>88</v>
      </c>
      <c r="P1382" s="18">
        <v>832</v>
      </c>
      <c r="Q1382" s="18">
        <v>30</v>
      </c>
      <c r="R1382" s="18" t="s">
        <v>778</v>
      </c>
      <c r="S1382" s="18" t="s">
        <v>803</v>
      </c>
      <c r="T1382" s="18" t="s">
        <v>782</v>
      </c>
      <c r="U13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82" s="19">
        <f>IF(AUDITORIA[[#This Row],[CAT]]="",0,1)</f>
        <v>1</v>
      </c>
      <c r="W1382" s="20">
        <v>46197</v>
      </c>
      <c r="X1382" s="21" t="str">
        <f>UPPER(IF(AUDITORIA[[#This Row],[DATA VERIFICAÇÃO]]="","",TEXT(AUDITORIA[[#This Row],[DATA VERIFICAÇÃO]],"mmm")))</f>
        <v>JUN</v>
      </c>
      <c r="Y1382" t="s">
        <v>598</v>
      </c>
      <c r="Z1382" t="s">
        <v>691</v>
      </c>
      <c r="AA1382" t="s">
        <v>832</v>
      </c>
    </row>
    <row r="1383" spans="1:27" ht="14.4" hidden="1" customHeight="1" x14ac:dyDescent="0.3">
      <c r="A1383" s="4" t="s">
        <v>0</v>
      </c>
      <c r="B1383" s="4" t="s">
        <v>17</v>
      </c>
      <c r="C1383" s="16" t="s">
        <v>18</v>
      </c>
      <c r="D1383" s="4">
        <v>10</v>
      </c>
      <c r="E1383" s="4" t="s">
        <v>745</v>
      </c>
      <c r="F1383" t="s">
        <v>155</v>
      </c>
      <c r="G1383" t="s">
        <v>85</v>
      </c>
      <c r="J1383" s="4" t="s">
        <v>88</v>
      </c>
      <c r="K1383" s="4" t="s">
        <v>20</v>
      </c>
      <c r="L1383" s="4" t="s">
        <v>742</v>
      </c>
      <c r="M1383" s="17">
        <v>30</v>
      </c>
      <c r="N1383" s="17">
        <v>694</v>
      </c>
      <c r="O1383" s="18" t="s">
        <v>88</v>
      </c>
      <c r="P1383" s="18">
        <v>694</v>
      </c>
      <c r="Q1383" s="18">
        <v>30</v>
      </c>
      <c r="R1383" s="18" t="s">
        <v>778</v>
      </c>
      <c r="S1383" s="18" t="s">
        <v>793</v>
      </c>
      <c r="T1383" s="18" t="s">
        <v>794</v>
      </c>
      <c r="U13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83" s="19">
        <f>IF(AUDITORIA[[#This Row],[CAT]]="",0,1)</f>
        <v>1</v>
      </c>
      <c r="W1383" s="20">
        <v>46197</v>
      </c>
      <c r="X1383" s="21" t="str">
        <f>UPPER(IF(AUDITORIA[[#This Row],[DATA VERIFICAÇÃO]]="","",TEXT(AUDITORIA[[#This Row],[DATA VERIFICAÇÃO]],"mmm")))</f>
        <v>JUN</v>
      </c>
      <c r="Y1383" t="s">
        <v>598</v>
      </c>
      <c r="Z1383" t="s">
        <v>691</v>
      </c>
      <c r="AA1383" t="s">
        <v>832</v>
      </c>
    </row>
    <row r="1384" spans="1:27" ht="14.4" hidden="1" customHeight="1" x14ac:dyDescent="0.3">
      <c r="A1384" s="4" t="s">
        <v>0</v>
      </c>
      <c r="B1384" s="4" t="s">
        <v>17</v>
      </c>
      <c r="C1384" s="16" t="s">
        <v>18</v>
      </c>
      <c r="D1384" s="4">
        <v>10</v>
      </c>
      <c r="E1384" s="4" t="s">
        <v>745</v>
      </c>
      <c r="F1384" t="s">
        <v>154</v>
      </c>
      <c r="G1384" t="s">
        <v>85</v>
      </c>
      <c r="J1384" s="4" t="s">
        <v>88</v>
      </c>
      <c r="K1384" s="4" t="s">
        <v>20</v>
      </c>
      <c r="L1384" s="4" t="s">
        <v>742</v>
      </c>
      <c r="M1384" s="17">
        <v>30</v>
      </c>
      <c r="N1384" s="17">
        <v>705</v>
      </c>
      <c r="O1384" s="18" t="s">
        <v>88</v>
      </c>
      <c r="P1384" s="18">
        <v>705</v>
      </c>
      <c r="Q1384" s="18">
        <v>30</v>
      </c>
      <c r="R1384" s="18" t="s">
        <v>778</v>
      </c>
      <c r="S1384" s="18" t="s">
        <v>805</v>
      </c>
      <c r="T1384" s="18" t="s">
        <v>781</v>
      </c>
      <c r="U13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84" s="19">
        <f>IF(AUDITORIA[[#This Row],[CAT]]="",0,1)</f>
        <v>1</v>
      </c>
      <c r="W1384" s="20">
        <v>46197</v>
      </c>
      <c r="X1384" s="21" t="str">
        <f>UPPER(IF(AUDITORIA[[#This Row],[DATA VERIFICAÇÃO]]="","",TEXT(AUDITORIA[[#This Row],[DATA VERIFICAÇÃO]],"mmm")))</f>
        <v>JUN</v>
      </c>
      <c r="Y1384" t="s">
        <v>598</v>
      </c>
      <c r="Z1384" t="s">
        <v>691</v>
      </c>
      <c r="AA1384" t="s">
        <v>832</v>
      </c>
    </row>
    <row r="1385" spans="1:27" ht="14.4" hidden="1" customHeight="1" x14ac:dyDescent="0.3">
      <c r="A1385" s="4" t="s">
        <v>0</v>
      </c>
      <c r="B1385" s="4" t="s">
        <v>17</v>
      </c>
      <c r="C1385" s="16" t="s">
        <v>18</v>
      </c>
      <c r="D1385" s="4">
        <v>10</v>
      </c>
      <c r="E1385" s="4" t="s">
        <v>745</v>
      </c>
      <c r="F1385" t="s">
        <v>152</v>
      </c>
      <c r="G1385" t="s">
        <v>85</v>
      </c>
      <c r="J1385" s="4" t="s">
        <v>88</v>
      </c>
      <c r="K1385" s="4" t="s">
        <v>20</v>
      </c>
      <c r="L1385" s="4" t="s">
        <v>742</v>
      </c>
      <c r="M1385" s="17">
        <v>30</v>
      </c>
      <c r="N1385" s="17">
        <v>708</v>
      </c>
      <c r="O1385" s="18" t="s">
        <v>88</v>
      </c>
      <c r="P1385" s="18">
        <v>708</v>
      </c>
      <c r="Q1385" s="18">
        <v>30</v>
      </c>
      <c r="R1385" s="18" t="s">
        <v>778</v>
      </c>
      <c r="S1385" s="18" t="s">
        <v>805</v>
      </c>
      <c r="T1385" s="18" t="s">
        <v>780</v>
      </c>
      <c r="U13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85" s="19">
        <f>IF(AUDITORIA[[#This Row],[CAT]]="",0,1)</f>
        <v>1</v>
      </c>
      <c r="W1385" s="20">
        <v>46197</v>
      </c>
      <c r="X1385" s="21" t="str">
        <f>UPPER(IF(AUDITORIA[[#This Row],[DATA VERIFICAÇÃO]]="","",TEXT(AUDITORIA[[#This Row],[DATA VERIFICAÇÃO]],"mmm")))</f>
        <v>JUN</v>
      </c>
      <c r="Y1385" t="s">
        <v>598</v>
      </c>
      <c r="Z1385" t="s">
        <v>691</v>
      </c>
      <c r="AA1385" t="s">
        <v>832</v>
      </c>
    </row>
    <row r="1386" spans="1:27" ht="14.4" hidden="1" customHeight="1" x14ac:dyDescent="0.3">
      <c r="A1386" s="4" t="s">
        <v>0</v>
      </c>
      <c r="B1386" s="4" t="s">
        <v>17</v>
      </c>
      <c r="C1386" s="16" t="s">
        <v>18</v>
      </c>
      <c r="D1386" s="4">
        <v>10</v>
      </c>
      <c r="E1386" s="4" t="s">
        <v>745</v>
      </c>
      <c r="F1386" t="s">
        <v>151</v>
      </c>
      <c r="G1386" t="s">
        <v>85</v>
      </c>
      <c r="J1386" s="4" t="s">
        <v>88</v>
      </c>
      <c r="K1386" s="4" t="s">
        <v>21</v>
      </c>
      <c r="L1386" s="4" t="s">
        <v>742</v>
      </c>
      <c r="M1386" s="17">
        <v>30</v>
      </c>
      <c r="N1386" s="17">
        <v>877</v>
      </c>
      <c r="O1386" s="18" t="s">
        <v>88</v>
      </c>
      <c r="P1386" s="18">
        <v>877</v>
      </c>
      <c r="Q1386" s="18">
        <v>30</v>
      </c>
      <c r="R1386" s="18" t="s">
        <v>778</v>
      </c>
      <c r="S1386" s="18" t="s">
        <v>803</v>
      </c>
      <c r="T1386" s="18" t="s">
        <v>781</v>
      </c>
      <c r="U13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86" s="19">
        <f>IF(AUDITORIA[[#This Row],[CAT]]="",0,1)</f>
        <v>1</v>
      </c>
      <c r="W1386" s="20">
        <v>46197</v>
      </c>
      <c r="X1386" s="21" t="str">
        <f>UPPER(IF(AUDITORIA[[#This Row],[DATA VERIFICAÇÃO]]="","",TEXT(AUDITORIA[[#This Row],[DATA VERIFICAÇÃO]],"mmm")))</f>
        <v>JUN</v>
      </c>
      <c r="Y1386" t="s">
        <v>598</v>
      </c>
      <c r="Z1386" t="s">
        <v>691</v>
      </c>
      <c r="AA1386" t="s">
        <v>832</v>
      </c>
    </row>
    <row r="1387" spans="1:27" ht="14.4" hidden="1" customHeight="1" x14ac:dyDescent="0.3">
      <c r="A1387" s="4" t="s">
        <v>0</v>
      </c>
      <c r="B1387" s="4" t="s">
        <v>17</v>
      </c>
      <c r="C1387" s="16" t="s">
        <v>18</v>
      </c>
      <c r="D1387" s="4">
        <v>10</v>
      </c>
      <c r="E1387" s="4" t="s">
        <v>745</v>
      </c>
      <c r="F1387" t="s">
        <v>150</v>
      </c>
      <c r="G1387" t="s">
        <v>85</v>
      </c>
      <c r="J1387" s="4" t="s">
        <v>88</v>
      </c>
      <c r="K1387" s="4" t="s">
        <v>20</v>
      </c>
      <c r="L1387" s="4" t="s">
        <v>742</v>
      </c>
      <c r="M1387" s="17">
        <v>30</v>
      </c>
      <c r="N1387" s="17">
        <v>713</v>
      </c>
      <c r="O1387" s="18" t="s">
        <v>88</v>
      </c>
      <c r="P1387" s="18">
        <v>713</v>
      </c>
      <c r="Q1387" s="18">
        <v>30</v>
      </c>
      <c r="R1387" s="18" t="s">
        <v>778</v>
      </c>
      <c r="S1387" s="18" t="s">
        <v>805</v>
      </c>
      <c r="T1387" s="18" t="s">
        <v>782</v>
      </c>
      <c r="U13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87" s="19">
        <f>IF(AUDITORIA[[#This Row],[CAT]]="",0,1)</f>
        <v>1</v>
      </c>
      <c r="W1387" s="20">
        <v>46197</v>
      </c>
      <c r="X1387" s="21" t="str">
        <f>UPPER(IF(AUDITORIA[[#This Row],[DATA VERIFICAÇÃO]]="","",TEXT(AUDITORIA[[#This Row],[DATA VERIFICAÇÃO]],"mmm")))</f>
        <v>JUN</v>
      </c>
      <c r="Y1387" t="s">
        <v>598</v>
      </c>
      <c r="Z1387" t="s">
        <v>691</v>
      </c>
      <c r="AA1387" t="s">
        <v>832</v>
      </c>
    </row>
    <row r="1388" spans="1:27" ht="14.4" hidden="1" customHeight="1" x14ac:dyDescent="0.3">
      <c r="A1388" s="4" t="s">
        <v>0</v>
      </c>
      <c r="B1388" s="4" t="s">
        <v>17</v>
      </c>
      <c r="C1388" s="16" t="s">
        <v>18</v>
      </c>
      <c r="D1388" s="4">
        <v>10</v>
      </c>
      <c r="E1388" s="4" t="s">
        <v>745</v>
      </c>
      <c r="F1388" t="s">
        <v>149</v>
      </c>
      <c r="G1388" t="s">
        <v>85</v>
      </c>
      <c r="J1388" s="4" t="s">
        <v>88</v>
      </c>
      <c r="K1388" s="4" t="s">
        <v>21</v>
      </c>
      <c r="L1388" s="4" t="s">
        <v>742</v>
      </c>
      <c r="M1388" s="17">
        <v>30</v>
      </c>
      <c r="N1388" s="17">
        <v>892</v>
      </c>
      <c r="O1388" s="18" t="s">
        <v>88</v>
      </c>
      <c r="P1388" s="18">
        <v>892</v>
      </c>
      <c r="Q1388" s="18">
        <v>30</v>
      </c>
      <c r="R1388" s="18" t="s">
        <v>778</v>
      </c>
      <c r="S1388" s="18" t="s">
        <v>808</v>
      </c>
      <c r="T1388" s="18" t="s">
        <v>780</v>
      </c>
      <c r="U13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88" s="19">
        <f>IF(AUDITORIA[[#This Row],[CAT]]="",0,1)</f>
        <v>1</v>
      </c>
      <c r="W1388" s="20">
        <v>46197</v>
      </c>
      <c r="X1388" s="21" t="str">
        <f>UPPER(IF(AUDITORIA[[#This Row],[DATA VERIFICAÇÃO]]="","",TEXT(AUDITORIA[[#This Row],[DATA VERIFICAÇÃO]],"mmm")))</f>
        <v>JUN</v>
      </c>
      <c r="Y1388" t="s">
        <v>598</v>
      </c>
      <c r="Z1388" t="s">
        <v>691</v>
      </c>
      <c r="AA1388" t="s">
        <v>832</v>
      </c>
    </row>
    <row r="1389" spans="1:27" ht="14.4" hidden="1" customHeight="1" x14ac:dyDescent="0.3">
      <c r="A1389" s="4" t="s">
        <v>0</v>
      </c>
      <c r="B1389" s="4" t="s">
        <v>17</v>
      </c>
      <c r="C1389" s="16" t="s">
        <v>18</v>
      </c>
      <c r="D1389" s="4">
        <v>10</v>
      </c>
      <c r="E1389" s="4" t="s">
        <v>745</v>
      </c>
      <c r="F1389" t="s">
        <v>148</v>
      </c>
      <c r="G1389" t="s">
        <v>85</v>
      </c>
      <c r="J1389" s="4" t="s">
        <v>88</v>
      </c>
      <c r="K1389" s="4" t="s">
        <v>20</v>
      </c>
      <c r="L1389" s="4" t="s">
        <v>742</v>
      </c>
      <c r="M1389" s="17">
        <v>30</v>
      </c>
      <c r="N1389" s="17">
        <v>718</v>
      </c>
      <c r="O1389" s="18" t="s">
        <v>88</v>
      </c>
      <c r="P1389" s="18">
        <v>718</v>
      </c>
      <c r="Q1389" s="18">
        <v>30</v>
      </c>
      <c r="R1389" s="18" t="s">
        <v>778</v>
      </c>
      <c r="S1389" s="18" t="s">
        <v>809</v>
      </c>
      <c r="T1389" s="18" t="s">
        <v>780</v>
      </c>
      <c r="U13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89" s="19">
        <f>IF(AUDITORIA[[#This Row],[CAT]]="",0,1)</f>
        <v>1</v>
      </c>
      <c r="W1389" s="20">
        <v>46197</v>
      </c>
      <c r="X1389" s="21" t="str">
        <f>UPPER(IF(AUDITORIA[[#This Row],[DATA VERIFICAÇÃO]]="","",TEXT(AUDITORIA[[#This Row],[DATA VERIFICAÇÃO]],"mmm")))</f>
        <v>JUN</v>
      </c>
      <c r="Y1389" t="s">
        <v>598</v>
      </c>
      <c r="Z1389" t="s">
        <v>691</v>
      </c>
      <c r="AA1389" t="s">
        <v>832</v>
      </c>
    </row>
    <row r="1390" spans="1:27" ht="14.4" hidden="1" customHeight="1" x14ac:dyDescent="0.3">
      <c r="A1390" s="4" t="s">
        <v>0</v>
      </c>
      <c r="B1390" s="4" t="s">
        <v>17</v>
      </c>
      <c r="C1390" s="16" t="s">
        <v>18</v>
      </c>
      <c r="D1390" s="4">
        <v>10</v>
      </c>
      <c r="E1390" s="4" t="s">
        <v>745</v>
      </c>
      <c r="F1390" t="s">
        <v>146</v>
      </c>
      <c r="G1390" t="s">
        <v>85</v>
      </c>
      <c r="J1390" s="4" t="s">
        <v>88</v>
      </c>
      <c r="K1390" s="4" t="s">
        <v>21</v>
      </c>
      <c r="L1390" s="4" t="s">
        <v>742</v>
      </c>
      <c r="M1390" s="17">
        <v>30</v>
      </c>
      <c r="N1390" s="17">
        <v>883</v>
      </c>
      <c r="O1390" s="18" t="s">
        <v>88</v>
      </c>
      <c r="P1390" s="18">
        <v>883</v>
      </c>
      <c r="Q1390" s="18">
        <v>30</v>
      </c>
      <c r="R1390" s="18" t="s">
        <v>778</v>
      </c>
      <c r="S1390" s="18" t="s">
        <v>808</v>
      </c>
      <c r="T1390" s="18" t="s">
        <v>781</v>
      </c>
      <c r="U13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90" s="19">
        <f>IF(AUDITORIA[[#This Row],[CAT]]="",0,1)</f>
        <v>1</v>
      </c>
      <c r="W1390" s="20">
        <v>46197</v>
      </c>
      <c r="X1390" s="21" t="str">
        <f>UPPER(IF(AUDITORIA[[#This Row],[DATA VERIFICAÇÃO]]="","",TEXT(AUDITORIA[[#This Row],[DATA VERIFICAÇÃO]],"mmm")))</f>
        <v>JUN</v>
      </c>
      <c r="Y1390" t="s">
        <v>598</v>
      </c>
      <c r="Z1390" t="s">
        <v>691</v>
      </c>
      <c r="AA1390" t="s">
        <v>832</v>
      </c>
    </row>
    <row r="1391" spans="1:27" ht="14.4" hidden="1" customHeight="1" x14ac:dyDescent="0.3">
      <c r="A1391" s="4" t="s">
        <v>0</v>
      </c>
      <c r="B1391" s="4" t="s">
        <v>17</v>
      </c>
      <c r="C1391" s="16" t="s">
        <v>18</v>
      </c>
      <c r="D1391" s="4">
        <v>10</v>
      </c>
      <c r="E1391" s="4" t="s">
        <v>745</v>
      </c>
      <c r="F1391" t="s">
        <v>147</v>
      </c>
      <c r="G1391" t="s">
        <v>85</v>
      </c>
      <c r="J1391" s="4" t="s">
        <v>88</v>
      </c>
      <c r="K1391" s="4" t="s">
        <v>20</v>
      </c>
      <c r="L1391" s="4" t="s">
        <v>742</v>
      </c>
      <c r="M1391" s="17">
        <v>30</v>
      </c>
      <c r="N1391" s="17">
        <v>710</v>
      </c>
      <c r="O1391" s="18" t="s">
        <v>88</v>
      </c>
      <c r="P1391" s="18">
        <v>710</v>
      </c>
      <c r="Q1391" s="18">
        <v>30</v>
      </c>
      <c r="R1391" s="18" t="s">
        <v>778</v>
      </c>
      <c r="S1391" s="18" t="s">
        <v>809</v>
      </c>
      <c r="T1391" s="18" t="s">
        <v>781</v>
      </c>
      <c r="U13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91" s="19">
        <f>IF(AUDITORIA[[#This Row],[CAT]]="",0,1)</f>
        <v>1</v>
      </c>
      <c r="W1391" s="20">
        <v>46197</v>
      </c>
      <c r="X1391" s="21" t="str">
        <f>UPPER(IF(AUDITORIA[[#This Row],[DATA VERIFICAÇÃO]]="","",TEXT(AUDITORIA[[#This Row],[DATA VERIFICAÇÃO]],"mmm")))</f>
        <v>JUN</v>
      </c>
      <c r="Y1391" t="s">
        <v>598</v>
      </c>
      <c r="Z1391" t="s">
        <v>691</v>
      </c>
      <c r="AA1391" t="s">
        <v>832</v>
      </c>
    </row>
    <row r="1392" spans="1:27" ht="14.4" hidden="1" customHeight="1" x14ac:dyDescent="0.3">
      <c r="A1392" s="4" t="s">
        <v>0</v>
      </c>
      <c r="B1392" s="4" t="s">
        <v>17</v>
      </c>
      <c r="C1392" s="16" t="s">
        <v>18</v>
      </c>
      <c r="D1392" s="4">
        <v>10</v>
      </c>
      <c r="E1392" s="4" t="s">
        <v>745</v>
      </c>
      <c r="F1392" t="s">
        <v>145</v>
      </c>
      <c r="G1392" t="s">
        <v>85</v>
      </c>
      <c r="J1392" s="4" t="s">
        <v>88</v>
      </c>
      <c r="K1392" s="4" t="s">
        <v>20</v>
      </c>
      <c r="L1392" s="4" t="s">
        <v>742</v>
      </c>
      <c r="M1392" s="17">
        <v>30</v>
      </c>
      <c r="N1392" s="17">
        <v>712</v>
      </c>
      <c r="O1392" s="18" t="s">
        <v>88</v>
      </c>
      <c r="P1392" s="18">
        <v>712</v>
      </c>
      <c r="Q1392" s="18">
        <v>30</v>
      </c>
      <c r="R1392" s="18" t="s">
        <v>778</v>
      </c>
      <c r="S1392" s="18" t="s">
        <v>809</v>
      </c>
      <c r="T1392" s="18" t="s">
        <v>782</v>
      </c>
      <c r="U13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92" s="19">
        <f>IF(AUDITORIA[[#This Row],[CAT]]="",0,1)</f>
        <v>1</v>
      </c>
      <c r="W1392" s="20">
        <v>46197</v>
      </c>
      <c r="X1392" s="21" t="str">
        <f>UPPER(IF(AUDITORIA[[#This Row],[DATA VERIFICAÇÃO]]="","",TEXT(AUDITORIA[[#This Row],[DATA VERIFICAÇÃO]],"mmm")))</f>
        <v>JUN</v>
      </c>
      <c r="Y1392" t="s">
        <v>598</v>
      </c>
      <c r="Z1392" t="s">
        <v>691</v>
      </c>
      <c r="AA1392" t="s">
        <v>832</v>
      </c>
    </row>
    <row r="1393" spans="1:27" ht="14.4" hidden="1" customHeight="1" x14ac:dyDescent="0.3">
      <c r="A1393" s="4" t="s">
        <v>0</v>
      </c>
      <c r="B1393" s="4" t="s">
        <v>17</v>
      </c>
      <c r="C1393" s="16" t="s">
        <v>18</v>
      </c>
      <c r="D1393" s="4">
        <v>10</v>
      </c>
      <c r="E1393" s="4" t="s">
        <v>745</v>
      </c>
      <c r="F1393" t="s">
        <v>144</v>
      </c>
      <c r="G1393" t="s">
        <v>85</v>
      </c>
      <c r="J1393" s="4" t="s">
        <v>88</v>
      </c>
      <c r="K1393" s="4" t="s">
        <v>21</v>
      </c>
      <c r="L1393" s="4" t="s">
        <v>742</v>
      </c>
      <c r="M1393" s="17">
        <v>30</v>
      </c>
      <c r="N1393" s="17">
        <v>883</v>
      </c>
      <c r="O1393" s="18" t="s">
        <v>88</v>
      </c>
      <c r="P1393" s="18">
        <v>883</v>
      </c>
      <c r="Q1393" s="18">
        <v>30</v>
      </c>
      <c r="R1393" s="18" t="s">
        <v>814</v>
      </c>
      <c r="S1393" s="18" t="s">
        <v>803</v>
      </c>
      <c r="T1393" s="18" t="s">
        <v>781</v>
      </c>
      <c r="U13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93" s="19">
        <f>IF(AUDITORIA[[#This Row],[CAT]]="",0,1)</f>
        <v>1</v>
      </c>
      <c r="W1393" s="20">
        <v>46197</v>
      </c>
      <c r="X1393" s="21" t="str">
        <f>UPPER(IF(AUDITORIA[[#This Row],[DATA VERIFICAÇÃO]]="","",TEXT(AUDITORIA[[#This Row],[DATA VERIFICAÇÃO]],"mmm")))</f>
        <v>JUN</v>
      </c>
      <c r="Y1393" t="s">
        <v>598</v>
      </c>
      <c r="Z1393" t="s">
        <v>691</v>
      </c>
      <c r="AA1393" t="s">
        <v>832</v>
      </c>
    </row>
    <row r="1394" spans="1:27" ht="14.4" hidden="1" customHeight="1" x14ac:dyDescent="0.3">
      <c r="A1394" s="4" t="s">
        <v>0</v>
      </c>
      <c r="B1394" s="4" t="s">
        <v>17</v>
      </c>
      <c r="C1394" s="16" t="s">
        <v>18</v>
      </c>
      <c r="D1394" s="4">
        <v>10</v>
      </c>
      <c r="E1394" s="4" t="s">
        <v>745</v>
      </c>
      <c r="F1394" t="s">
        <v>153</v>
      </c>
      <c r="G1394" t="s">
        <v>85</v>
      </c>
      <c r="J1394" s="4" t="s">
        <v>88</v>
      </c>
      <c r="K1394" s="4" t="s">
        <v>21</v>
      </c>
      <c r="L1394" s="4" t="s">
        <v>742</v>
      </c>
      <c r="M1394" s="17">
        <v>30</v>
      </c>
      <c r="N1394" s="17">
        <v>848</v>
      </c>
      <c r="O1394" s="18" t="s">
        <v>88</v>
      </c>
      <c r="P1394" s="18">
        <v>848</v>
      </c>
      <c r="Q1394" s="18">
        <v>30</v>
      </c>
      <c r="R1394" s="18" t="s">
        <v>778</v>
      </c>
      <c r="S1394" s="18" t="s">
        <v>826</v>
      </c>
      <c r="T1394" s="18" t="s">
        <v>794</v>
      </c>
      <c r="U13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94" s="19">
        <f>IF(AUDITORIA[[#This Row],[CAT]]="",0,1)</f>
        <v>1</v>
      </c>
      <c r="W1394" s="20">
        <v>46197</v>
      </c>
      <c r="X1394" s="21" t="str">
        <f>UPPER(IF(AUDITORIA[[#This Row],[DATA VERIFICAÇÃO]]="","",TEXT(AUDITORIA[[#This Row],[DATA VERIFICAÇÃO]],"mmm")))</f>
        <v>JUN</v>
      </c>
      <c r="Y1394" t="s">
        <v>598</v>
      </c>
      <c r="Z1394" t="s">
        <v>691</v>
      </c>
      <c r="AA1394" t="s">
        <v>832</v>
      </c>
    </row>
    <row r="1395" spans="1:27" ht="14.4" hidden="1" customHeight="1" x14ac:dyDescent="0.3">
      <c r="A1395" s="4" t="s">
        <v>0</v>
      </c>
      <c r="B1395" s="4" t="s">
        <v>17</v>
      </c>
      <c r="C1395" s="16" t="s">
        <v>18</v>
      </c>
      <c r="D1395" s="4">
        <v>10</v>
      </c>
      <c r="E1395" s="4" t="s">
        <v>745</v>
      </c>
      <c r="F1395" t="s">
        <v>143</v>
      </c>
      <c r="G1395" t="s">
        <v>85</v>
      </c>
      <c r="J1395" s="4" t="s">
        <v>88</v>
      </c>
      <c r="K1395" s="4" t="s">
        <v>20</v>
      </c>
      <c r="L1395" s="4" t="s">
        <v>742</v>
      </c>
      <c r="M1395" s="17">
        <v>30</v>
      </c>
      <c r="N1395" s="17">
        <v>713</v>
      </c>
      <c r="O1395" s="18" t="s">
        <v>88</v>
      </c>
      <c r="P1395" s="18">
        <v>713</v>
      </c>
      <c r="Q1395" s="18">
        <v>30</v>
      </c>
      <c r="R1395" s="18" t="s">
        <v>778</v>
      </c>
      <c r="S1395" s="18" t="s">
        <v>807</v>
      </c>
      <c r="T1395" s="18" t="s">
        <v>781</v>
      </c>
      <c r="U13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95" s="19">
        <f>IF(AUDITORIA[[#This Row],[CAT]]="",0,1)</f>
        <v>1</v>
      </c>
      <c r="W1395" s="20">
        <v>46197</v>
      </c>
      <c r="X1395" s="21" t="str">
        <f>UPPER(IF(AUDITORIA[[#This Row],[DATA VERIFICAÇÃO]]="","",TEXT(AUDITORIA[[#This Row],[DATA VERIFICAÇÃO]],"mmm")))</f>
        <v>JUN</v>
      </c>
      <c r="Y1395" t="s">
        <v>598</v>
      </c>
      <c r="Z1395" t="s">
        <v>691</v>
      </c>
      <c r="AA1395" t="s">
        <v>832</v>
      </c>
    </row>
    <row r="1396" spans="1:27" ht="14.4" hidden="1" customHeight="1" x14ac:dyDescent="0.3">
      <c r="A1396" s="4" t="s">
        <v>0</v>
      </c>
      <c r="B1396" s="4" t="s">
        <v>17</v>
      </c>
      <c r="C1396" s="16" t="s">
        <v>18</v>
      </c>
      <c r="D1396" s="4">
        <v>10</v>
      </c>
      <c r="E1396" s="4" t="s">
        <v>745</v>
      </c>
      <c r="F1396" t="s">
        <v>142</v>
      </c>
      <c r="G1396" t="s">
        <v>85</v>
      </c>
      <c r="J1396" s="4" t="s">
        <v>88</v>
      </c>
      <c r="K1396" s="4" t="s">
        <v>21</v>
      </c>
      <c r="L1396" s="4" t="s">
        <v>742</v>
      </c>
      <c r="M1396" s="17">
        <v>30</v>
      </c>
      <c r="N1396" s="17">
        <v>867</v>
      </c>
      <c r="O1396" s="18" t="s">
        <v>88</v>
      </c>
      <c r="P1396" s="18">
        <v>867</v>
      </c>
      <c r="Q1396" s="18">
        <v>30</v>
      </c>
      <c r="R1396" s="18" t="s">
        <v>778</v>
      </c>
      <c r="S1396" s="18" t="s">
        <v>813</v>
      </c>
      <c r="T1396" s="18" t="s">
        <v>780</v>
      </c>
      <c r="U13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96" s="19">
        <f>IF(AUDITORIA[[#This Row],[CAT]]="",0,1)</f>
        <v>1</v>
      </c>
      <c r="W1396" s="20">
        <v>46197</v>
      </c>
      <c r="X1396" s="21" t="str">
        <f>UPPER(IF(AUDITORIA[[#This Row],[DATA VERIFICAÇÃO]]="","",TEXT(AUDITORIA[[#This Row],[DATA VERIFICAÇÃO]],"mmm")))</f>
        <v>JUN</v>
      </c>
      <c r="Y1396" t="s">
        <v>598</v>
      </c>
      <c r="Z1396" t="s">
        <v>691</v>
      </c>
      <c r="AA1396" t="s">
        <v>832</v>
      </c>
    </row>
    <row r="1397" spans="1:27" ht="14.4" hidden="1" customHeight="1" x14ac:dyDescent="0.3">
      <c r="A1397" s="4" t="s">
        <v>0</v>
      </c>
      <c r="B1397" s="4" t="s">
        <v>17</v>
      </c>
      <c r="C1397" s="16" t="s">
        <v>18</v>
      </c>
      <c r="D1397" s="4">
        <v>10</v>
      </c>
      <c r="E1397" s="4" t="s">
        <v>745</v>
      </c>
      <c r="F1397" t="s">
        <v>141</v>
      </c>
      <c r="G1397" t="s">
        <v>85</v>
      </c>
      <c r="J1397" s="4" t="s">
        <v>88</v>
      </c>
      <c r="K1397" s="4" t="s">
        <v>20</v>
      </c>
      <c r="L1397" s="4" t="s">
        <v>742</v>
      </c>
      <c r="M1397" s="17">
        <v>30</v>
      </c>
      <c r="N1397" s="17">
        <v>712</v>
      </c>
      <c r="O1397" s="18" t="s">
        <v>88</v>
      </c>
      <c r="P1397" s="18">
        <v>712</v>
      </c>
      <c r="Q1397" s="18">
        <v>30</v>
      </c>
      <c r="R1397" s="18" t="s">
        <v>778</v>
      </c>
      <c r="S1397" s="18" t="s">
        <v>807</v>
      </c>
      <c r="T1397" s="18" t="s">
        <v>780</v>
      </c>
      <c r="U13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97" s="19">
        <f>IF(AUDITORIA[[#This Row],[CAT]]="",0,1)</f>
        <v>1</v>
      </c>
      <c r="W1397" s="20">
        <v>46197</v>
      </c>
      <c r="X1397" s="21" t="str">
        <f>UPPER(IF(AUDITORIA[[#This Row],[DATA VERIFICAÇÃO]]="","",TEXT(AUDITORIA[[#This Row],[DATA VERIFICAÇÃO]],"mmm")))</f>
        <v>JUN</v>
      </c>
      <c r="Y1397" t="s">
        <v>598</v>
      </c>
      <c r="Z1397" t="s">
        <v>691</v>
      </c>
      <c r="AA1397" t="s">
        <v>832</v>
      </c>
    </row>
    <row r="1398" spans="1:27" ht="14.4" hidden="1" customHeight="1" x14ac:dyDescent="0.3">
      <c r="A1398" s="4" t="s">
        <v>0</v>
      </c>
      <c r="B1398" s="4" t="s">
        <v>17</v>
      </c>
      <c r="C1398" s="16" t="s">
        <v>18</v>
      </c>
      <c r="D1398" s="4">
        <v>10</v>
      </c>
      <c r="E1398" s="4" t="s">
        <v>745</v>
      </c>
      <c r="F1398" t="s">
        <v>139</v>
      </c>
      <c r="G1398" t="s">
        <v>85</v>
      </c>
      <c r="J1398" s="4" t="s">
        <v>88</v>
      </c>
      <c r="K1398" s="4" t="s">
        <v>21</v>
      </c>
      <c r="L1398" s="4" t="s">
        <v>742</v>
      </c>
      <c r="M1398" s="17">
        <v>30</v>
      </c>
      <c r="N1398" s="17">
        <v>852</v>
      </c>
      <c r="O1398" s="18" t="s">
        <v>88</v>
      </c>
      <c r="P1398" s="18">
        <v>852</v>
      </c>
      <c r="Q1398" s="18">
        <v>30</v>
      </c>
      <c r="R1398" s="18" t="s">
        <v>778</v>
      </c>
      <c r="S1398" s="18" t="s">
        <v>813</v>
      </c>
      <c r="T1398" s="18" t="s">
        <v>781</v>
      </c>
      <c r="U13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98" s="19">
        <f>IF(AUDITORIA[[#This Row],[CAT]]="",0,1)</f>
        <v>1</v>
      </c>
      <c r="W1398" s="20">
        <v>46197</v>
      </c>
      <c r="X1398" s="21" t="str">
        <f>UPPER(IF(AUDITORIA[[#This Row],[DATA VERIFICAÇÃO]]="","",TEXT(AUDITORIA[[#This Row],[DATA VERIFICAÇÃO]],"mmm")))</f>
        <v>JUN</v>
      </c>
      <c r="Y1398" t="s">
        <v>598</v>
      </c>
      <c r="Z1398" t="s">
        <v>691</v>
      </c>
      <c r="AA1398" t="s">
        <v>832</v>
      </c>
    </row>
    <row r="1399" spans="1:27" ht="14.4" hidden="1" customHeight="1" x14ac:dyDescent="0.3">
      <c r="A1399" s="4" t="s">
        <v>0</v>
      </c>
      <c r="B1399" s="4" t="s">
        <v>17</v>
      </c>
      <c r="C1399" s="16" t="s">
        <v>18</v>
      </c>
      <c r="D1399" s="4">
        <v>10</v>
      </c>
      <c r="E1399" s="4" t="s">
        <v>745</v>
      </c>
      <c r="F1399" t="s">
        <v>140</v>
      </c>
      <c r="G1399" t="s">
        <v>85</v>
      </c>
      <c r="J1399" s="4" t="s">
        <v>88</v>
      </c>
      <c r="K1399" s="4" t="s">
        <v>20</v>
      </c>
      <c r="L1399" s="4" t="s">
        <v>742</v>
      </c>
      <c r="M1399" s="17">
        <v>30</v>
      </c>
      <c r="N1399" s="17">
        <v>710</v>
      </c>
      <c r="O1399" s="18" t="s">
        <v>88</v>
      </c>
      <c r="P1399" s="18">
        <v>710</v>
      </c>
      <c r="Q1399" s="18">
        <v>30</v>
      </c>
      <c r="R1399" s="18" t="s">
        <v>778</v>
      </c>
      <c r="S1399" s="18" t="s">
        <v>807</v>
      </c>
      <c r="T1399" s="18" t="s">
        <v>782</v>
      </c>
      <c r="U13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399" s="19">
        <f>IF(AUDITORIA[[#This Row],[CAT]]="",0,1)</f>
        <v>1</v>
      </c>
      <c r="W1399" s="20">
        <v>46197</v>
      </c>
      <c r="X1399" s="21" t="str">
        <f>UPPER(IF(AUDITORIA[[#This Row],[DATA VERIFICAÇÃO]]="","",TEXT(AUDITORIA[[#This Row],[DATA VERIFICAÇÃO]],"mmm")))</f>
        <v>JUN</v>
      </c>
      <c r="Y1399" t="s">
        <v>598</v>
      </c>
      <c r="Z1399" t="s">
        <v>691</v>
      </c>
      <c r="AA1399" t="s">
        <v>832</v>
      </c>
    </row>
    <row r="1400" spans="1:27" ht="14.4" hidden="1" customHeight="1" x14ac:dyDescent="0.3">
      <c r="A1400" s="4" t="s">
        <v>0</v>
      </c>
      <c r="B1400" s="4" t="s">
        <v>17</v>
      </c>
      <c r="C1400" s="16" t="s">
        <v>18</v>
      </c>
      <c r="D1400" s="4">
        <v>10</v>
      </c>
      <c r="E1400" s="4" t="s">
        <v>745</v>
      </c>
      <c r="F1400" t="s">
        <v>138</v>
      </c>
      <c r="G1400" t="s">
        <v>85</v>
      </c>
      <c r="J1400" s="4" t="s">
        <v>88</v>
      </c>
      <c r="K1400" s="4" t="s">
        <v>20</v>
      </c>
      <c r="L1400" s="4" t="s">
        <v>742</v>
      </c>
      <c r="M1400" s="17">
        <v>30</v>
      </c>
      <c r="N1400" s="17">
        <v>713</v>
      </c>
      <c r="O1400" s="18" t="s">
        <v>88</v>
      </c>
      <c r="P1400" s="18">
        <v>713</v>
      </c>
      <c r="Q1400" s="18">
        <v>30</v>
      </c>
      <c r="R1400" s="18" t="s">
        <v>778</v>
      </c>
      <c r="S1400" s="18" t="s">
        <v>806</v>
      </c>
      <c r="T1400" s="18" t="s">
        <v>781</v>
      </c>
      <c r="U14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00" s="19">
        <f>IF(AUDITORIA[[#This Row],[CAT]]="",0,1)</f>
        <v>1</v>
      </c>
      <c r="W1400" s="20">
        <v>46197</v>
      </c>
      <c r="X1400" s="21" t="str">
        <f>UPPER(IF(AUDITORIA[[#This Row],[DATA VERIFICAÇÃO]]="","",TEXT(AUDITORIA[[#This Row],[DATA VERIFICAÇÃO]],"mmm")))</f>
        <v>JUN</v>
      </c>
      <c r="Y1400" t="s">
        <v>598</v>
      </c>
      <c r="Z1400" t="s">
        <v>691</v>
      </c>
      <c r="AA1400" t="s">
        <v>832</v>
      </c>
    </row>
    <row r="1401" spans="1:27" ht="14.4" hidden="1" customHeight="1" x14ac:dyDescent="0.3">
      <c r="A1401" s="4" t="s">
        <v>0</v>
      </c>
      <c r="B1401" s="4" t="s">
        <v>17</v>
      </c>
      <c r="C1401" s="16" t="s">
        <v>18</v>
      </c>
      <c r="D1401" s="4">
        <v>10</v>
      </c>
      <c r="E1401" s="4" t="s">
        <v>745</v>
      </c>
      <c r="F1401" t="s">
        <v>137</v>
      </c>
      <c r="G1401" t="s">
        <v>85</v>
      </c>
      <c r="J1401" s="4" t="s">
        <v>88</v>
      </c>
      <c r="K1401" s="4" t="s">
        <v>21</v>
      </c>
      <c r="L1401" s="4" t="s">
        <v>742</v>
      </c>
      <c r="M1401" s="17">
        <v>30</v>
      </c>
      <c r="N1401" s="17">
        <v>879</v>
      </c>
      <c r="O1401" s="18" t="s">
        <v>88</v>
      </c>
      <c r="P1401" s="18">
        <v>879</v>
      </c>
      <c r="Q1401" s="18">
        <v>30</v>
      </c>
      <c r="R1401" s="18" t="s">
        <v>778</v>
      </c>
      <c r="S1401" s="18" t="s">
        <v>811</v>
      </c>
      <c r="T1401" s="18" t="s">
        <v>780</v>
      </c>
      <c r="U14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01" s="19">
        <f>IF(AUDITORIA[[#This Row],[CAT]]="",0,1)</f>
        <v>1</v>
      </c>
      <c r="W1401" s="20">
        <v>46197</v>
      </c>
      <c r="X1401" s="21" t="str">
        <f>UPPER(IF(AUDITORIA[[#This Row],[DATA VERIFICAÇÃO]]="","",TEXT(AUDITORIA[[#This Row],[DATA VERIFICAÇÃO]],"mmm")))</f>
        <v>JUN</v>
      </c>
      <c r="Y1401" t="s">
        <v>598</v>
      </c>
      <c r="Z1401" t="s">
        <v>691</v>
      </c>
      <c r="AA1401" t="s">
        <v>832</v>
      </c>
    </row>
    <row r="1402" spans="1:27" ht="14.4" hidden="1" customHeight="1" x14ac:dyDescent="0.3">
      <c r="A1402" s="4" t="s">
        <v>0</v>
      </c>
      <c r="B1402" s="4" t="s">
        <v>17</v>
      </c>
      <c r="C1402" s="16" t="s">
        <v>18</v>
      </c>
      <c r="D1402" s="4">
        <v>10</v>
      </c>
      <c r="E1402" s="4" t="s">
        <v>745</v>
      </c>
      <c r="F1402" t="s">
        <v>136</v>
      </c>
      <c r="G1402" t="s">
        <v>85</v>
      </c>
      <c r="J1402" s="4" t="s">
        <v>88</v>
      </c>
      <c r="K1402" s="4" t="s">
        <v>20</v>
      </c>
      <c r="L1402" s="4" t="s">
        <v>742</v>
      </c>
      <c r="M1402" s="17">
        <v>30</v>
      </c>
      <c r="N1402" s="17">
        <v>723</v>
      </c>
      <c r="O1402" s="18" t="s">
        <v>88</v>
      </c>
      <c r="P1402" s="18">
        <v>723</v>
      </c>
      <c r="Q1402" s="18">
        <v>30</v>
      </c>
      <c r="R1402" s="18" t="s">
        <v>778</v>
      </c>
      <c r="S1402" s="18" t="s">
        <v>806</v>
      </c>
      <c r="T1402" s="18" t="s">
        <v>780</v>
      </c>
      <c r="U14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02" s="19">
        <f>IF(AUDITORIA[[#This Row],[CAT]]="",0,1)</f>
        <v>1</v>
      </c>
      <c r="W1402" s="20">
        <v>46197</v>
      </c>
      <c r="X1402" s="21" t="str">
        <f>UPPER(IF(AUDITORIA[[#This Row],[DATA VERIFICAÇÃO]]="","",TEXT(AUDITORIA[[#This Row],[DATA VERIFICAÇÃO]],"mmm")))</f>
        <v>JUN</v>
      </c>
      <c r="Y1402" t="s">
        <v>598</v>
      </c>
      <c r="Z1402" t="s">
        <v>691</v>
      </c>
      <c r="AA1402" t="s">
        <v>832</v>
      </c>
    </row>
    <row r="1403" spans="1:27" ht="14.4" hidden="1" customHeight="1" x14ac:dyDescent="0.3">
      <c r="A1403" s="4" t="s">
        <v>0</v>
      </c>
      <c r="B1403" s="4" t="s">
        <v>17</v>
      </c>
      <c r="C1403" s="16" t="s">
        <v>18</v>
      </c>
      <c r="D1403" s="4">
        <v>10</v>
      </c>
      <c r="E1403" s="4" t="s">
        <v>745</v>
      </c>
      <c r="F1403" t="s">
        <v>135</v>
      </c>
      <c r="G1403" t="s">
        <v>85</v>
      </c>
      <c r="J1403" s="4" t="s">
        <v>88</v>
      </c>
      <c r="K1403" s="4" t="s">
        <v>21</v>
      </c>
      <c r="L1403" s="4" t="s">
        <v>742</v>
      </c>
      <c r="M1403" s="17">
        <v>30</v>
      </c>
      <c r="N1403" s="17">
        <v>861</v>
      </c>
      <c r="O1403" s="18" t="s">
        <v>88</v>
      </c>
      <c r="P1403" s="18">
        <v>861</v>
      </c>
      <c r="Q1403" s="18">
        <v>30</v>
      </c>
      <c r="R1403" s="18" t="s">
        <v>778</v>
      </c>
      <c r="S1403" s="18" t="s">
        <v>813</v>
      </c>
      <c r="T1403" s="18" t="s">
        <v>782</v>
      </c>
      <c r="U14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03" s="19">
        <f>IF(AUDITORIA[[#This Row],[CAT]]="",0,1)</f>
        <v>1</v>
      </c>
      <c r="W1403" s="20">
        <v>46197</v>
      </c>
      <c r="X1403" s="21" t="str">
        <f>UPPER(IF(AUDITORIA[[#This Row],[DATA VERIFICAÇÃO]]="","",TEXT(AUDITORIA[[#This Row],[DATA VERIFICAÇÃO]],"mmm")))</f>
        <v>JUN</v>
      </c>
      <c r="Y1403" t="s">
        <v>598</v>
      </c>
      <c r="Z1403" t="s">
        <v>691</v>
      </c>
      <c r="AA1403" t="s">
        <v>832</v>
      </c>
    </row>
    <row r="1404" spans="1:27" ht="14.4" hidden="1" customHeight="1" x14ac:dyDescent="0.3">
      <c r="A1404" s="4" t="s">
        <v>0</v>
      </c>
      <c r="B1404" s="4" t="s">
        <v>17</v>
      </c>
      <c r="C1404" s="16" t="s">
        <v>18</v>
      </c>
      <c r="D1404" s="4">
        <v>10</v>
      </c>
      <c r="E1404" s="4" t="s">
        <v>745</v>
      </c>
      <c r="F1404" t="s">
        <v>134</v>
      </c>
      <c r="G1404" t="s">
        <v>85</v>
      </c>
      <c r="J1404" s="4" t="s">
        <v>88</v>
      </c>
      <c r="K1404" s="4" t="s">
        <v>20</v>
      </c>
      <c r="L1404" s="4" t="s">
        <v>742</v>
      </c>
      <c r="M1404" s="17">
        <v>30</v>
      </c>
      <c r="N1404" s="17">
        <v>705</v>
      </c>
      <c r="O1404" s="18" t="s">
        <v>88</v>
      </c>
      <c r="P1404" s="18">
        <v>705</v>
      </c>
      <c r="Q1404" s="18">
        <v>30</v>
      </c>
      <c r="R1404" s="18" t="s">
        <v>778</v>
      </c>
      <c r="S1404" s="18" t="s">
        <v>806</v>
      </c>
      <c r="T1404" s="18" t="s">
        <v>782</v>
      </c>
      <c r="U14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04" s="19">
        <f>IF(AUDITORIA[[#This Row],[CAT]]="",0,1)</f>
        <v>1</v>
      </c>
      <c r="W1404" s="20">
        <v>46197</v>
      </c>
      <c r="X1404" s="21" t="str">
        <f>UPPER(IF(AUDITORIA[[#This Row],[DATA VERIFICAÇÃO]]="","",TEXT(AUDITORIA[[#This Row],[DATA VERIFICAÇÃO]],"mmm")))</f>
        <v>JUN</v>
      </c>
      <c r="Y1404" t="s">
        <v>598</v>
      </c>
      <c r="Z1404" t="s">
        <v>691</v>
      </c>
      <c r="AA1404" t="s">
        <v>832</v>
      </c>
    </row>
    <row r="1405" spans="1:27" ht="14.4" hidden="1" customHeight="1" x14ac:dyDescent="0.3">
      <c r="A1405" s="4" t="s">
        <v>0</v>
      </c>
      <c r="B1405" s="4" t="s">
        <v>17</v>
      </c>
      <c r="C1405" s="16" t="s">
        <v>18</v>
      </c>
      <c r="D1405" s="4">
        <v>10</v>
      </c>
      <c r="E1405" s="4" t="s">
        <v>745</v>
      </c>
      <c r="F1405" t="s">
        <v>130</v>
      </c>
      <c r="G1405" t="s">
        <v>85</v>
      </c>
      <c r="J1405" s="4" t="s">
        <v>88</v>
      </c>
      <c r="K1405" s="4" t="s">
        <v>21</v>
      </c>
      <c r="L1405" s="4" t="s">
        <v>742</v>
      </c>
      <c r="M1405" s="17">
        <v>30</v>
      </c>
      <c r="N1405" s="17">
        <v>853</v>
      </c>
      <c r="O1405" s="18" t="s">
        <v>88</v>
      </c>
      <c r="P1405" s="18">
        <v>853</v>
      </c>
      <c r="Q1405" s="18">
        <v>30</v>
      </c>
      <c r="R1405" s="18" t="s">
        <v>778</v>
      </c>
      <c r="S1405" s="18" t="s">
        <v>811</v>
      </c>
      <c r="T1405" s="18" t="s">
        <v>781</v>
      </c>
      <c r="U14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05" s="19">
        <f>IF(AUDITORIA[[#This Row],[CAT]]="",0,1)</f>
        <v>1</v>
      </c>
      <c r="W1405" s="20">
        <v>46197</v>
      </c>
      <c r="X1405" s="21" t="str">
        <f>UPPER(IF(AUDITORIA[[#This Row],[DATA VERIFICAÇÃO]]="","",TEXT(AUDITORIA[[#This Row],[DATA VERIFICAÇÃO]],"mmm")))</f>
        <v>JUN</v>
      </c>
      <c r="Y1405" t="s">
        <v>598</v>
      </c>
      <c r="Z1405" t="s">
        <v>691</v>
      </c>
      <c r="AA1405" t="s">
        <v>832</v>
      </c>
    </row>
    <row r="1406" spans="1:27" ht="14.4" hidden="1" customHeight="1" x14ac:dyDescent="0.3">
      <c r="A1406" s="4" t="s">
        <v>0</v>
      </c>
      <c r="B1406" s="4" t="s">
        <v>17</v>
      </c>
      <c r="C1406" s="16" t="s">
        <v>18</v>
      </c>
      <c r="D1406" s="4">
        <v>10</v>
      </c>
      <c r="E1406" s="4" t="s">
        <v>745</v>
      </c>
      <c r="F1406" t="s">
        <v>133</v>
      </c>
      <c r="G1406" t="s">
        <v>85</v>
      </c>
      <c r="J1406" s="4" t="s">
        <v>88</v>
      </c>
      <c r="K1406" s="4" t="s">
        <v>20</v>
      </c>
      <c r="L1406" s="4" t="s">
        <v>742</v>
      </c>
      <c r="M1406" s="17">
        <v>30</v>
      </c>
      <c r="N1406" s="17">
        <v>697</v>
      </c>
      <c r="O1406" s="18" t="s">
        <v>88</v>
      </c>
      <c r="P1406" s="18">
        <v>697</v>
      </c>
      <c r="Q1406" s="18">
        <v>30</v>
      </c>
      <c r="R1406" s="18" t="s">
        <v>778</v>
      </c>
      <c r="S1406" s="18" t="s">
        <v>812</v>
      </c>
      <c r="T1406" s="18" t="s">
        <v>780</v>
      </c>
      <c r="U14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06" s="19">
        <f>IF(AUDITORIA[[#This Row],[CAT]]="",0,1)</f>
        <v>1</v>
      </c>
      <c r="W1406" s="20">
        <v>46197</v>
      </c>
      <c r="X1406" s="21" t="str">
        <f>UPPER(IF(AUDITORIA[[#This Row],[DATA VERIFICAÇÃO]]="","",TEXT(AUDITORIA[[#This Row],[DATA VERIFICAÇÃO]],"mmm")))</f>
        <v>JUN</v>
      </c>
      <c r="Y1406" t="s">
        <v>598</v>
      </c>
      <c r="Z1406" t="s">
        <v>691</v>
      </c>
      <c r="AA1406" t="s">
        <v>832</v>
      </c>
    </row>
    <row r="1407" spans="1:27" ht="14.4" hidden="1" customHeight="1" x14ac:dyDescent="0.3">
      <c r="A1407" s="4" t="s">
        <v>0</v>
      </c>
      <c r="B1407" s="4" t="s">
        <v>17</v>
      </c>
      <c r="C1407" s="16" t="s">
        <v>18</v>
      </c>
      <c r="D1407" s="4">
        <v>10</v>
      </c>
      <c r="E1407" s="4" t="s">
        <v>745</v>
      </c>
      <c r="F1407" t="s">
        <v>132</v>
      </c>
      <c r="G1407" t="s">
        <v>85</v>
      </c>
      <c r="J1407" s="4" t="s">
        <v>88</v>
      </c>
      <c r="K1407" s="4" t="s">
        <v>20</v>
      </c>
      <c r="L1407" s="4" t="s">
        <v>742</v>
      </c>
      <c r="M1407" s="17">
        <v>30</v>
      </c>
      <c r="N1407" s="17">
        <v>708</v>
      </c>
      <c r="O1407" s="18" t="s">
        <v>88</v>
      </c>
      <c r="P1407" s="18">
        <v>708</v>
      </c>
      <c r="Q1407" s="18">
        <v>30</v>
      </c>
      <c r="R1407" s="18" t="s">
        <v>778</v>
      </c>
      <c r="S1407" s="18" t="s">
        <v>812</v>
      </c>
      <c r="T1407" s="18" t="s">
        <v>781</v>
      </c>
      <c r="U14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07" s="19">
        <f>IF(AUDITORIA[[#This Row],[CAT]]="",0,1)</f>
        <v>1</v>
      </c>
      <c r="W1407" s="20">
        <v>46197</v>
      </c>
      <c r="X1407" s="21" t="str">
        <f>UPPER(IF(AUDITORIA[[#This Row],[DATA VERIFICAÇÃO]]="","",TEXT(AUDITORIA[[#This Row],[DATA VERIFICAÇÃO]],"mmm")))</f>
        <v>JUN</v>
      </c>
      <c r="Y1407" t="s">
        <v>598</v>
      </c>
      <c r="Z1407" t="s">
        <v>691</v>
      </c>
      <c r="AA1407" t="s">
        <v>832</v>
      </c>
    </row>
    <row r="1408" spans="1:27" ht="14.4" hidden="1" customHeight="1" x14ac:dyDescent="0.3">
      <c r="A1408" s="4" t="s">
        <v>0</v>
      </c>
      <c r="B1408" s="4" t="s">
        <v>17</v>
      </c>
      <c r="C1408" s="16" t="s">
        <v>18</v>
      </c>
      <c r="D1408" s="4">
        <v>10</v>
      </c>
      <c r="E1408" s="4" t="s">
        <v>745</v>
      </c>
      <c r="F1408" t="s">
        <v>131</v>
      </c>
      <c r="G1408" t="s">
        <v>85</v>
      </c>
      <c r="J1408" s="4" t="s">
        <v>88</v>
      </c>
      <c r="K1408" s="4" t="s">
        <v>20</v>
      </c>
      <c r="L1408" s="4" t="s">
        <v>742</v>
      </c>
      <c r="M1408" s="17">
        <v>30</v>
      </c>
      <c r="N1408" s="17">
        <v>683</v>
      </c>
      <c r="O1408" s="18" t="s">
        <v>88</v>
      </c>
      <c r="P1408" s="18">
        <v>683</v>
      </c>
      <c r="Q1408" s="18">
        <v>30</v>
      </c>
      <c r="R1408" s="18" t="s">
        <v>814</v>
      </c>
      <c r="S1408" s="18" t="s">
        <v>801</v>
      </c>
      <c r="T1408" s="18" t="s">
        <v>781</v>
      </c>
      <c r="U14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08" s="19">
        <f>IF(AUDITORIA[[#This Row],[CAT]]="",0,1)</f>
        <v>1</v>
      </c>
      <c r="W1408" s="20">
        <v>46197</v>
      </c>
      <c r="X1408" s="21" t="str">
        <f>UPPER(IF(AUDITORIA[[#This Row],[DATA VERIFICAÇÃO]]="","",TEXT(AUDITORIA[[#This Row],[DATA VERIFICAÇÃO]],"mmm")))</f>
        <v>JUN</v>
      </c>
      <c r="Y1408" t="s">
        <v>598</v>
      </c>
      <c r="Z1408" t="s">
        <v>691</v>
      </c>
      <c r="AA1408" t="s">
        <v>832</v>
      </c>
    </row>
    <row r="1409" spans="1:27" ht="14.4" hidden="1" customHeight="1" x14ac:dyDescent="0.3">
      <c r="A1409" s="4" t="s">
        <v>0</v>
      </c>
      <c r="B1409" s="4" t="s">
        <v>17</v>
      </c>
      <c r="C1409" s="16" t="s">
        <v>18</v>
      </c>
      <c r="D1409" s="4">
        <v>10</v>
      </c>
      <c r="E1409" s="4" t="s">
        <v>745</v>
      </c>
      <c r="F1409" t="s">
        <v>129</v>
      </c>
      <c r="G1409" t="s">
        <v>85</v>
      </c>
      <c r="J1409" s="4" t="s">
        <v>88</v>
      </c>
      <c r="K1409" s="4" t="s">
        <v>20</v>
      </c>
      <c r="L1409" s="4" t="s">
        <v>742</v>
      </c>
      <c r="M1409" s="17">
        <v>30</v>
      </c>
      <c r="N1409" s="17">
        <v>690</v>
      </c>
      <c r="O1409" s="18" t="s">
        <v>88</v>
      </c>
      <c r="P1409" s="18">
        <v>690</v>
      </c>
      <c r="Q1409" s="18">
        <v>30</v>
      </c>
      <c r="R1409" s="18" t="s">
        <v>778</v>
      </c>
      <c r="S1409" s="18" t="s">
        <v>810</v>
      </c>
      <c r="T1409" s="18" t="s">
        <v>780</v>
      </c>
      <c r="U14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09" s="19">
        <f>IF(AUDITORIA[[#This Row],[CAT]]="",0,1)</f>
        <v>1</v>
      </c>
      <c r="W1409" s="20">
        <v>46197</v>
      </c>
      <c r="X1409" s="21" t="str">
        <f>UPPER(IF(AUDITORIA[[#This Row],[DATA VERIFICAÇÃO]]="","",TEXT(AUDITORIA[[#This Row],[DATA VERIFICAÇÃO]],"mmm")))</f>
        <v>JUN</v>
      </c>
      <c r="Y1409" t="s">
        <v>598</v>
      </c>
      <c r="Z1409" t="s">
        <v>691</v>
      </c>
      <c r="AA1409" t="s">
        <v>832</v>
      </c>
    </row>
    <row r="1410" spans="1:27" ht="14.4" hidden="1" customHeight="1" x14ac:dyDescent="0.3">
      <c r="A1410" s="4" t="s">
        <v>0</v>
      </c>
      <c r="B1410" s="4" t="s">
        <v>17</v>
      </c>
      <c r="C1410" s="16" t="s">
        <v>18</v>
      </c>
      <c r="D1410" s="4">
        <v>10</v>
      </c>
      <c r="E1410" s="4" t="s">
        <v>745</v>
      </c>
      <c r="F1410" t="s">
        <v>126</v>
      </c>
      <c r="G1410" t="s">
        <v>85</v>
      </c>
      <c r="J1410" s="4" t="s">
        <v>88</v>
      </c>
      <c r="K1410" s="4" t="s">
        <v>21</v>
      </c>
      <c r="L1410" s="4" t="s">
        <v>742</v>
      </c>
      <c r="M1410" s="17">
        <v>26</v>
      </c>
      <c r="N1410" s="17">
        <v>820</v>
      </c>
      <c r="O1410" s="18" t="s">
        <v>88</v>
      </c>
      <c r="P1410" s="18">
        <v>820</v>
      </c>
      <c r="Q1410" s="18">
        <v>26</v>
      </c>
      <c r="R1410" s="18" t="s">
        <v>778</v>
      </c>
      <c r="S1410" s="18" t="s">
        <v>811</v>
      </c>
      <c r="T1410" s="18" t="s">
        <v>782</v>
      </c>
      <c r="U14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10" s="19">
        <f>IF(AUDITORIA[[#This Row],[CAT]]="",0,1)</f>
        <v>1</v>
      </c>
      <c r="W1410" s="20">
        <v>46197</v>
      </c>
      <c r="X1410" s="21" t="str">
        <f>UPPER(IF(AUDITORIA[[#This Row],[DATA VERIFICAÇÃO]]="","",TEXT(AUDITORIA[[#This Row],[DATA VERIFICAÇÃO]],"mmm")))</f>
        <v>JUN</v>
      </c>
      <c r="Y1410" t="s">
        <v>598</v>
      </c>
      <c r="Z1410" t="s">
        <v>691</v>
      </c>
      <c r="AA1410" t="s">
        <v>832</v>
      </c>
    </row>
    <row r="1411" spans="1:27" ht="14.4" hidden="1" customHeight="1" x14ac:dyDescent="0.3">
      <c r="A1411" s="4" t="s">
        <v>0</v>
      </c>
      <c r="B1411" s="4" t="s">
        <v>17</v>
      </c>
      <c r="C1411" s="16" t="s">
        <v>18</v>
      </c>
      <c r="D1411" s="4">
        <v>10</v>
      </c>
      <c r="E1411" s="4" t="s">
        <v>745</v>
      </c>
      <c r="F1411" t="s">
        <v>128</v>
      </c>
      <c r="G1411" t="s">
        <v>85</v>
      </c>
      <c r="J1411" s="4" t="s">
        <v>88</v>
      </c>
      <c r="K1411" s="4" t="s">
        <v>20</v>
      </c>
      <c r="L1411" s="4" t="s">
        <v>742</v>
      </c>
      <c r="M1411" s="17">
        <v>30</v>
      </c>
      <c r="N1411" s="17">
        <v>704</v>
      </c>
      <c r="O1411" s="18" t="s">
        <v>88</v>
      </c>
      <c r="P1411" s="18">
        <v>704</v>
      </c>
      <c r="Q1411" s="18">
        <v>30</v>
      </c>
      <c r="R1411" s="18" t="s">
        <v>778</v>
      </c>
      <c r="S1411" s="18" t="s">
        <v>810</v>
      </c>
      <c r="T1411" s="18" t="s">
        <v>781</v>
      </c>
      <c r="U14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11" s="19">
        <f>IF(AUDITORIA[[#This Row],[CAT]]="",0,1)</f>
        <v>1</v>
      </c>
      <c r="W1411" s="20">
        <v>46197</v>
      </c>
      <c r="X1411" s="21" t="str">
        <f>UPPER(IF(AUDITORIA[[#This Row],[DATA VERIFICAÇÃO]]="","",TEXT(AUDITORIA[[#This Row],[DATA VERIFICAÇÃO]],"mmm")))</f>
        <v>JUN</v>
      </c>
      <c r="Y1411" t="s">
        <v>598</v>
      </c>
      <c r="Z1411" t="s">
        <v>691</v>
      </c>
      <c r="AA1411" t="s">
        <v>832</v>
      </c>
    </row>
    <row r="1412" spans="1:27" ht="14.4" hidden="1" customHeight="1" x14ac:dyDescent="0.3">
      <c r="A1412" s="4" t="s">
        <v>0</v>
      </c>
      <c r="B1412" s="4" t="s">
        <v>17</v>
      </c>
      <c r="C1412" s="16" t="s">
        <v>18</v>
      </c>
      <c r="D1412" s="4">
        <v>10</v>
      </c>
      <c r="E1412" s="4" t="s">
        <v>745</v>
      </c>
      <c r="F1412" t="s">
        <v>127</v>
      </c>
      <c r="G1412" t="s">
        <v>85</v>
      </c>
      <c r="J1412" s="4" t="s">
        <v>88</v>
      </c>
      <c r="K1412" s="4" t="s">
        <v>20</v>
      </c>
      <c r="L1412" s="4" t="s">
        <v>742</v>
      </c>
      <c r="M1412" s="17">
        <v>22</v>
      </c>
      <c r="N1412" s="17">
        <v>705</v>
      </c>
      <c r="O1412" s="18" t="s">
        <v>88</v>
      </c>
      <c r="P1412" s="18">
        <v>705</v>
      </c>
      <c r="Q1412" s="18">
        <v>22</v>
      </c>
      <c r="R1412" s="18" t="s">
        <v>778</v>
      </c>
      <c r="S1412" s="18" t="s">
        <v>810</v>
      </c>
      <c r="T1412" s="18" t="s">
        <v>782</v>
      </c>
      <c r="U14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12" s="19">
        <f>IF(AUDITORIA[[#This Row],[CAT]]="",0,1)</f>
        <v>1</v>
      </c>
      <c r="W1412" s="20">
        <v>46197</v>
      </c>
      <c r="X1412" s="21" t="str">
        <f>UPPER(IF(AUDITORIA[[#This Row],[DATA VERIFICAÇÃO]]="","",TEXT(AUDITORIA[[#This Row],[DATA VERIFICAÇÃO]],"mmm")))</f>
        <v>JUN</v>
      </c>
      <c r="Y1412" t="s">
        <v>598</v>
      </c>
      <c r="Z1412" t="s">
        <v>691</v>
      </c>
      <c r="AA1412" t="s">
        <v>832</v>
      </c>
    </row>
    <row r="1413" spans="1:27" ht="14.4" hidden="1" customHeight="1" x14ac:dyDescent="0.3">
      <c r="A1413" s="4" t="s">
        <v>0</v>
      </c>
      <c r="B1413" s="4" t="s">
        <v>17</v>
      </c>
      <c r="C1413" s="16" t="s">
        <v>18</v>
      </c>
      <c r="D1413" s="4">
        <v>10</v>
      </c>
      <c r="E1413" s="4" t="s">
        <v>745</v>
      </c>
      <c r="F1413" t="s">
        <v>125</v>
      </c>
      <c r="G1413" t="s">
        <v>835</v>
      </c>
      <c r="J1413" s="4" t="s">
        <v>31</v>
      </c>
      <c r="K1413" s="4" t="s">
        <v>21</v>
      </c>
      <c r="L1413" s="4" t="s">
        <v>742</v>
      </c>
      <c r="M1413" s="17">
        <v>24</v>
      </c>
      <c r="N1413" s="17">
        <v>1045</v>
      </c>
      <c r="O1413" s="18" t="s">
        <v>31</v>
      </c>
      <c r="P1413" s="18">
        <v>1045</v>
      </c>
      <c r="Q1413" s="18">
        <v>24</v>
      </c>
      <c r="R1413" s="18" t="s">
        <v>778</v>
      </c>
      <c r="S1413" s="18" t="s">
        <v>791</v>
      </c>
      <c r="T1413" s="18" t="s">
        <v>780</v>
      </c>
      <c r="U14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13" s="19">
        <f>IF(AUDITORIA[[#This Row],[CAT]]="",0,1)</f>
        <v>1</v>
      </c>
      <c r="W1413" s="20">
        <v>46197</v>
      </c>
      <c r="X1413" s="21" t="str">
        <f>UPPER(IF(AUDITORIA[[#This Row],[DATA VERIFICAÇÃO]]="","",TEXT(AUDITORIA[[#This Row],[DATA VERIFICAÇÃO]],"mmm")))</f>
        <v>JUN</v>
      </c>
      <c r="Y1413" t="s">
        <v>598</v>
      </c>
      <c r="Z1413" t="s">
        <v>691</v>
      </c>
      <c r="AA1413" t="s">
        <v>832</v>
      </c>
    </row>
    <row r="1414" spans="1:27" ht="14.4" hidden="1" customHeight="1" x14ac:dyDescent="0.3">
      <c r="A1414" s="4" t="s">
        <v>0</v>
      </c>
      <c r="B1414" s="4" t="s">
        <v>17</v>
      </c>
      <c r="C1414" s="16" t="s">
        <v>18</v>
      </c>
      <c r="D1414" s="4">
        <v>10</v>
      </c>
      <c r="E1414" s="4" t="s">
        <v>745</v>
      </c>
      <c r="F1414" t="s">
        <v>124</v>
      </c>
      <c r="G1414" t="s">
        <v>835</v>
      </c>
      <c r="J1414" s="4" t="s">
        <v>31</v>
      </c>
      <c r="K1414" s="4" t="s">
        <v>21</v>
      </c>
      <c r="L1414" s="4" t="s">
        <v>742</v>
      </c>
      <c r="M1414" s="17">
        <v>24</v>
      </c>
      <c r="N1414" s="17">
        <v>1075</v>
      </c>
      <c r="O1414" s="18" t="s">
        <v>31</v>
      </c>
      <c r="P1414" s="18">
        <v>1075</v>
      </c>
      <c r="Q1414" s="18">
        <v>24</v>
      </c>
      <c r="R1414" s="18" t="s">
        <v>778</v>
      </c>
      <c r="S1414" s="18" t="s">
        <v>792</v>
      </c>
      <c r="T1414" s="18" t="s">
        <v>781</v>
      </c>
      <c r="U14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14" s="19">
        <f>IF(AUDITORIA[[#This Row],[CAT]]="",0,1)</f>
        <v>1</v>
      </c>
      <c r="W1414" s="20">
        <v>46197</v>
      </c>
      <c r="X1414" s="21" t="str">
        <f>UPPER(IF(AUDITORIA[[#This Row],[DATA VERIFICAÇÃO]]="","",TEXT(AUDITORIA[[#This Row],[DATA VERIFICAÇÃO]],"mmm")))</f>
        <v>JUN</v>
      </c>
      <c r="Y1414" t="s">
        <v>598</v>
      </c>
      <c r="Z1414" t="s">
        <v>691</v>
      </c>
      <c r="AA1414" t="s">
        <v>832</v>
      </c>
    </row>
    <row r="1415" spans="1:27" ht="14.4" hidden="1" customHeight="1" x14ac:dyDescent="0.3">
      <c r="A1415" s="4" t="s">
        <v>0</v>
      </c>
      <c r="B1415" s="4" t="s">
        <v>17</v>
      </c>
      <c r="C1415" s="16" t="s">
        <v>18</v>
      </c>
      <c r="D1415" s="4">
        <v>10</v>
      </c>
      <c r="E1415" s="4" t="s">
        <v>745</v>
      </c>
      <c r="F1415" t="s">
        <v>122</v>
      </c>
      <c r="G1415" t="s">
        <v>835</v>
      </c>
      <c r="J1415" s="4" t="s">
        <v>31</v>
      </c>
      <c r="K1415" s="4" t="s">
        <v>20</v>
      </c>
      <c r="L1415" s="4" t="s">
        <v>742</v>
      </c>
      <c r="M1415" s="17">
        <v>30</v>
      </c>
      <c r="N1415" s="17">
        <v>828</v>
      </c>
      <c r="O1415" s="18" t="s">
        <v>31</v>
      </c>
      <c r="P1415" s="18">
        <v>828</v>
      </c>
      <c r="Q1415" s="18">
        <v>30</v>
      </c>
      <c r="R1415" s="18" t="s">
        <v>817</v>
      </c>
      <c r="S1415" s="18" t="s">
        <v>813</v>
      </c>
      <c r="T1415" s="18" t="s">
        <v>781</v>
      </c>
      <c r="U14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15" s="19">
        <f>IF(AUDITORIA[[#This Row],[CAT]]="",0,1)</f>
        <v>1</v>
      </c>
      <c r="W1415" s="20">
        <v>46197</v>
      </c>
      <c r="X1415" s="21" t="str">
        <f>UPPER(IF(AUDITORIA[[#This Row],[DATA VERIFICAÇÃO]]="","",TEXT(AUDITORIA[[#This Row],[DATA VERIFICAÇÃO]],"mmm")))</f>
        <v>JUN</v>
      </c>
      <c r="Y1415" t="s">
        <v>598</v>
      </c>
      <c r="Z1415" t="s">
        <v>691</v>
      </c>
      <c r="AA1415" t="s">
        <v>832</v>
      </c>
    </row>
    <row r="1416" spans="1:27" ht="14.4" hidden="1" customHeight="1" x14ac:dyDescent="0.3">
      <c r="A1416" s="4" t="s">
        <v>0</v>
      </c>
      <c r="B1416" s="4" t="s">
        <v>17</v>
      </c>
      <c r="C1416" s="16" t="s">
        <v>18</v>
      </c>
      <c r="D1416" s="4">
        <v>10</v>
      </c>
      <c r="E1416" s="4" t="s">
        <v>745</v>
      </c>
      <c r="F1416" t="s">
        <v>123</v>
      </c>
      <c r="G1416" t="s">
        <v>835</v>
      </c>
      <c r="J1416" s="4" t="s">
        <v>19</v>
      </c>
      <c r="K1416" s="4" t="s">
        <v>21</v>
      </c>
      <c r="L1416" s="4" t="s">
        <v>742</v>
      </c>
      <c r="M1416" s="17">
        <v>24</v>
      </c>
      <c r="N1416" s="17">
        <v>1061</v>
      </c>
      <c r="O1416" s="18" t="s">
        <v>19</v>
      </c>
      <c r="P1416" s="18">
        <v>1061</v>
      </c>
      <c r="Q1416" s="18">
        <v>24</v>
      </c>
      <c r="R1416" s="18" t="s">
        <v>778</v>
      </c>
      <c r="S1416" s="18" t="s">
        <v>792</v>
      </c>
      <c r="T1416" s="18" t="s">
        <v>780</v>
      </c>
      <c r="U14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16" s="19">
        <f>IF(AUDITORIA[[#This Row],[CAT]]="",0,1)</f>
        <v>1</v>
      </c>
      <c r="W1416" s="20">
        <v>46197</v>
      </c>
      <c r="X1416" s="21" t="str">
        <f>UPPER(IF(AUDITORIA[[#This Row],[DATA VERIFICAÇÃO]]="","",TEXT(AUDITORIA[[#This Row],[DATA VERIFICAÇÃO]],"mmm")))</f>
        <v>JUN</v>
      </c>
      <c r="Y1416" t="s">
        <v>598</v>
      </c>
      <c r="Z1416" t="s">
        <v>691</v>
      </c>
      <c r="AA1416" t="s">
        <v>832</v>
      </c>
    </row>
    <row r="1417" spans="1:27" ht="14.4" hidden="1" customHeight="1" x14ac:dyDescent="0.3">
      <c r="A1417" s="4" t="s">
        <v>0</v>
      </c>
      <c r="B1417" s="4" t="s">
        <v>17</v>
      </c>
      <c r="C1417" s="16" t="s">
        <v>18</v>
      </c>
      <c r="D1417" s="4">
        <v>10</v>
      </c>
      <c r="E1417" s="4" t="s">
        <v>745</v>
      </c>
      <c r="F1417" t="s">
        <v>121</v>
      </c>
      <c r="G1417" t="s">
        <v>835</v>
      </c>
      <c r="J1417" s="4" t="s">
        <v>19</v>
      </c>
      <c r="K1417" s="4" t="s">
        <v>21</v>
      </c>
      <c r="L1417" s="4" t="s">
        <v>742</v>
      </c>
      <c r="M1417" s="17">
        <v>27</v>
      </c>
      <c r="N1417" s="17">
        <v>995</v>
      </c>
      <c r="O1417" s="18" t="s">
        <v>19</v>
      </c>
      <c r="P1417" s="18">
        <v>995</v>
      </c>
      <c r="Q1417" s="18">
        <v>27</v>
      </c>
      <c r="R1417" s="18" t="s">
        <v>814</v>
      </c>
      <c r="S1417" s="18" t="s">
        <v>802</v>
      </c>
      <c r="T1417" s="18" t="s">
        <v>781</v>
      </c>
      <c r="U14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17" s="19">
        <f>IF(AUDITORIA[[#This Row],[CAT]]="",0,1)</f>
        <v>1</v>
      </c>
      <c r="W1417" s="20">
        <v>46197</v>
      </c>
      <c r="X1417" s="21" t="str">
        <f>UPPER(IF(AUDITORIA[[#This Row],[DATA VERIFICAÇÃO]]="","",TEXT(AUDITORIA[[#This Row],[DATA VERIFICAÇÃO]],"mmm")))</f>
        <v>JUN</v>
      </c>
      <c r="Y1417" t="s">
        <v>598</v>
      </c>
      <c r="Z1417" t="s">
        <v>691</v>
      </c>
      <c r="AA1417" t="s">
        <v>832</v>
      </c>
    </row>
    <row r="1418" spans="1:27" ht="14.4" hidden="1" customHeight="1" x14ac:dyDescent="0.3">
      <c r="A1418" s="4" t="s">
        <v>0</v>
      </c>
      <c r="B1418" s="4" t="s">
        <v>17</v>
      </c>
      <c r="C1418" s="16" t="s">
        <v>18</v>
      </c>
      <c r="D1418" s="4">
        <v>10</v>
      </c>
      <c r="E1418" s="4" t="s">
        <v>745</v>
      </c>
      <c r="F1418" t="s">
        <v>117</v>
      </c>
      <c r="G1418" t="s">
        <v>835</v>
      </c>
      <c r="J1418" s="4" t="s">
        <v>19</v>
      </c>
      <c r="K1418" s="4" t="s">
        <v>20</v>
      </c>
      <c r="L1418" s="4" t="s">
        <v>742</v>
      </c>
      <c r="M1418" s="17">
        <v>30</v>
      </c>
      <c r="N1418" s="17">
        <v>804</v>
      </c>
      <c r="O1418" s="18" t="s">
        <v>19</v>
      </c>
      <c r="P1418" s="18">
        <v>804</v>
      </c>
      <c r="Q1418" s="18">
        <v>30</v>
      </c>
      <c r="R1418" s="18" t="s">
        <v>817</v>
      </c>
      <c r="S1418" s="18" t="s">
        <v>813</v>
      </c>
      <c r="T1418" s="18" t="s">
        <v>780</v>
      </c>
      <c r="U14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18" s="19">
        <f>IF(AUDITORIA[[#This Row],[CAT]]="",0,1)</f>
        <v>1</v>
      </c>
      <c r="W1418" s="20">
        <v>46197</v>
      </c>
      <c r="X1418" s="21" t="str">
        <f>UPPER(IF(AUDITORIA[[#This Row],[DATA VERIFICAÇÃO]]="","",TEXT(AUDITORIA[[#This Row],[DATA VERIFICAÇÃO]],"mmm")))</f>
        <v>JUN</v>
      </c>
      <c r="Y1418" t="s">
        <v>598</v>
      </c>
      <c r="Z1418" t="s">
        <v>691</v>
      </c>
      <c r="AA1418" t="s">
        <v>832</v>
      </c>
    </row>
    <row r="1419" spans="1:27" ht="14.4" hidden="1" customHeight="1" x14ac:dyDescent="0.3">
      <c r="A1419" s="4" t="s">
        <v>0</v>
      </c>
      <c r="B1419" s="4" t="s">
        <v>17</v>
      </c>
      <c r="C1419" s="16" t="s">
        <v>18</v>
      </c>
      <c r="D1419" s="4">
        <v>10</v>
      </c>
      <c r="E1419" s="4" t="s">
        <v>745</v>
      </c>
      <c r="F1419" t="s">
        <v>120</v>
      </c>
      <c r="G1419" t="s">
        <v>835</v>
      </c>
      <c r="J1419" s="4" t="s">
        <v>19</v>
      </c>
      <c r="K1419" s="4" t="s">
        <v>21</v>
      </c>
      <c r="L1419" s="4" t="s">
        <v>742</v>
      </c>
      <c r="M1419" s="17">
        <v>24</v>
      </c>
      <c r="N1419" s="17">
        <v>1049</v>
      </c>
      <c r="O1419" s="18" t="s">
        <v>19</v>
      </c>
      <c r="P1419" s="18">
        <v>1049</v>
      </c>
      <c r="Q1419" s="18">
        <v>24</v>
      </c>
      <c r="R1419" s="18" t="s">
        <v>814</v>
      </c>
      <c r="S1419" s="18" t="s">
        <v>802</v>
      </c>
      <c r="T1419" s="18" t="s">
        <v>780</v>
      </c>
      <c r="U14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19" s="19">
        <f>IF(AUDITORIA[[#This Row],[CAT]]="",0,1)</f>
        <v>1</v>
      </c>
      <c r="W1419" s="20">
        <v>46197</v>
      </c>
      <c r="X1419" s="21" t="str">
        <f>UPPER(IF(AUDITORIA[[#This Row],[DATA VERIFICAÇÃO]]="","",TEXT(AUDITORIA[[#This Row],[DATA VERIFICAÇÃO]],"mmm")))</f>
        <v>JUN</v>
      </c>
      <c r="Y1419" t="s">
        <v>598</v>
      </c>
      <c r="Z1419" t="s">
        <v>691</v>
      </c>
      <c r="AA1419" t="s">
        <v>832</v>
      </c>
    </row>
    <row r="1420" spans="1:27" ht="14.4" hidden="1" customHeight="1" x14ac:dyDescent="0.3">
      <c r="A1420" s="4" t="s">
        <v>0</v>
      </c>
      <c r="B1420" s="4" t="s">
        <v>17</v>
      </c>
      <c r="C1420" s="16" t="s">
        <v>18</v>
      </c>
      <c r="D1420" s="4">
        <v>10</v>
      </c>
      <c r="E1420" s="4" t="s">
        <v>745</v>
      </c>
      <c r="F1420" t="s">
        <v>119</v>
      </c>
      <c r="G1420" t="s">
        <v>835</v>
      </c>
      <c r="J1420" s="4" t="s">
        <v>19</v>
      </c>
      <c r="K1420" s="4" t="s">
        <v>21</v>
      </c>
      <c r="L1420" s="4" t="s">
        <v>742</v>
      </c>
      <c r="M1420" s="17">
        <v>24</v>
      </c>
      <c r="N1420" s="17">
        <v>1050</v>
      </c>
      <c r="O1420" s="18" t="s">
        <v>19</v>
      </c>
      <c r="P1420" s="18">
        <v>1050</v>
      </c>
      <c r="Q1420" s="18">
        <v>24</v>
      </c>
      <c r="R1420" s="18" t="s">
        <v>778</v>
      </c>
      <c r="S1420" s="18" t="s">
        <v>792</v>
      </c>
      <c r="T1420" s="18" t="s">
        <v>782</v>
      </c>
      <c r="U14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20" s="19">
        <f>IF(AUDITORIA[[#This Row],[CAT]]="",0,1)</f>
        <v>1</v>
      </c>
      <c r="W1420" s="20">
        <v>46197</v>
      </c>
      <c r="X1420" s="21" t="str">
        <f>UPPER(IF(AUDITORIA[[#This Row],[DATA VERIFICAÇÃO]]="","",TEXT(AUDITORIA[[#This Row],[DATA VERIFICAÇÃO]],"mmm")))</f>
        <v>JUN</v>
      </c>
      <c r="Y1420" t="s">
        <v>598</v>
      </c>
      <c r="Z1420" t="s">
        <v>691</v>
      </c>
      <c r="AA1420" t="s">
        <v>832</v>
      </c>
    </row>
    <row r="1421" spans="1:27" ht="14.4" hidden="1" customHeight="1" x14ac:dyDescent="0.3">
      <c r="A1421" s="4" t="s">
        <v>0</v>
      </c>
      <c r="B1421" s="4" t="s">
        <v>17</v>
      </c>
      <c r="C1421" s="16" t="s">
        <v>18</v>
      </c>
      <c r="D1421" s="4">
        <v>10</v>
      </c>
      <c r="E1421" s="4" t="s">
        <v>745</v>
      </c>
      <c r="F1421" t="s">
        <v>116</v>
      </c>
      <c r="G1421" t="s">
        <v>835</v>
      </c>
      <c r="J1421" s="4" t="s">
        <v>19</v>
      </c>
      <c r="K1421" s="4" t="s">
        <v>21</v>
      </c>
      <c r="L1421" s="4" t="s">
        <v>742</v>
      </c>
      <c r="M1421" s="17">
        <v>24</v>
      </c>
      <c r="N1421" s="17">
        <v>1032</v>
      </c>
      <c r="O1421" s="18" t="s">
        <v>19</v>
      </c>
      <c r="P1421" s="18">
        <v>1032</v>
      </c>
      <c r="Q1421" s="18">
        <v>24</v>
      </c>
      <c r="R1421" s="18" t="s">
        <v>778</v>
      </c>
      <c r="S1421" s="18" t="s">
        <v>790</v>
      </c>
      <c r="T1421" s="18" t="s">
        <v>781</v>
      </c>
      <c r="U14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21" s="19">
        <f>IF(AUDITORIA[[#This Row],[CAT]]="",0,1)</f>
        <v>1</v>
      </c>
      <c r="W1421" s="20">
        <v>46197</v>
      </c>
      <c r="X1421" s="21" t="str">
        <f>UPPER(IF(AUDITORIA[[#This Row],[DATA VERIFICAÇÃO]]="","",TEXT(AUDITORIA[[#This Row],[DATA VERIFICAÇÃO]],"mmm")))</f>
        <v>JUN</v>
      </c>
      <c r="Y1421" t="s">
        <v>598</v>
      </c>
      <c r="Z1421" t="s">
        <v>691</v>
      </c>
      <c r="AA1421" t="s">
        <v>832</v>
      </c>
    </row>
    <row r="1422" spans="1:27" ht="14.4" hidden="1" customHeight="1" x14ac:dyDescent="0.3">
      <c r="A1422" s="4" t="s">
        <v>0</v>
      </c>
      <c r="B1422" s="4" t="s">
        <v>17</v>
      </c>
      <c r="C1422" s="16" t="s">
        <v>18</v>
      </c>
      <c r="D1422" s="4">
        <v>10</v>
      </c>
      <c r="E1422" s="4" t="s">
        <v>745</v>
      </c>
      <c r="F1422" t="s">
        <v>111</v>
      </c>
      <c r="G1422" t="s">
        <v>835</v>
      </c>
      <c r="J1422" s="4" t="s">
        <v>19</v>
      </c>
      <c r="K1422" s="4" t="s">
        <v>20</v>
      </c>
      <c r="L1422" s="4" t="s">
        <v>742</v>
      </c>
      <c r="M1422" s="17">
        <v>30</v>
      </c>
      <c r="N1422" s="17">
        <v>823</v>
      </c>
      <c r="O1422" s="18" t="s">
        <v>19</v>
      </c>
      <c r="P1422" s="18">
        <v>823</v>
      </c>
      <c r="Q1422" s="18">
        <v>30</v>
      </c>
      <c r="R1422" s="18" t="s">
        <v>817</v>
      </c>
      <c r="S1422" s="18" t="s">
        <v>813</v>
      </c>
      <c r="T1422" s="18" t="s">
        <v>782</v>
      </c>
      <c r="U14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22" s="19">
        <f>IF(AUDITORIA[[#This Row],[CAT]]="",0,1)</f>
        <v>1</v>
      </c>
      <c r="W1422" s="20">
        <v>46197</v>
      </c>
      <c r="X1422" s="21" t="str">
        <f>UPPER(IF(AUDITORIA[[#This Row],[DATA VERIFICAÇÃO]]="","",TEXT(AUDITORIA[[#This Row],[DATA VERIFICAÇÃO]],"mmm")))</f>
        <v>JUN</v>
      </c>
      <c r="Y1422" t="s">
        <v>598</v>
      </c>
      <c r="Z1422" t="s">
        <v>691</v>
      </c>
      <c r="AA1422" t="s">
        <v>832</v>
      </c>
    </row>
    <row r="1423" spans="1:27" ht="14.4" hidden="1" customHeight="1" x14ac:dyDescent="0.3">
      <c r="A1423" s="4" t="s">
        <v>0</v>
      </c>
      <c r="B1423" s="4" t="s">
        <v>17</v>
      </c>
      <c r="C1423" s="16" t="s">
        <v>18</v>
      </c>
      <c r="D1423" s="4">
        <v>10</v>
      </c>
      <c r="E1423" s="4" t="s">
        <v>745</v>
      </c>
      <c r="F1423" t="s">
        <v>115</v>
      </c>
      <c r="G1423" t="s">
        <v>835</v>
      </c>
      <c r="J1423" s="4" t="s">
        <v>19</v>
      </c>
      <c r="K1423" s="4" t="s">
        <v>21</v>
      </c>
      <c r="L1423" s="4" t="s">
        <v>742</v>
      </c>
      <c r="M1423" s="17">
        <v>24</v>
      </c>
      <c r="N1423" s="17">
        <v>1048</v>
      </c>
      <c r="O1423" s="18" t="s">
        <v>19</v>
      </c>
      <c r="P1423" s="18">
        <v>1048</v>
      </c>
      <c r="Q1423" s="18">
        <v>24</v>
      </c>
      <c r="R1423" s="18" t="s">
        <v>778</v>
      </c>
      <c r="S1423" s="18" t="s">
        <v>790</v>
      </c>
      <c r="T1423" s="18" t="s">
        <v>782</v>
      </c>
      <c r="U14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23" s="19">
        <f>IF(AUDITORIA[[#This Row],[CAT]]="",0,1)</f>
        <v>1</v>
      </c>
      <c r="W1423" s="20">
        <v>46197</v>
      </c>
      <c r="X1423" s="21" t="str">
        <f>UPPER(IF(AUDITORIA[[#This Row],[DATA VERIFICAÇÃO]]="","",TEXT(AUDITORIA[[#This Row],[DATA VERIFICAÇÃO]],"mmm")))</f>
        <v>JUN</v>
      </c>
      <c r="Y1423" t="s">
        <v>598</v>
      </c>
      <c r="Z1423" t="s">
        <v>691</v>
      </c>
      <c r="AA1423" t="s">
        <v>832</v>
      </c>
    </row>
    <row r="1424" spans="1:27" ht="14.4" hidden="1" customHeight="1" x14ac:dyDescent="0.3">
      <c r="A1424" s="4" t="s">
        <v>0</v>
      </c>
      <c r="B1424" s="4" t="s">
        <v>17</v>
      </c>
      <c r="C1424" s="16" t="s">
        <v>18</v>
      </c>
      <c r="D1424" s="4">
        <v>10</v>
      </c>
      <c r="E1424" s="4" t="s">
        <v>745</v>
      </c>
      <c r="F1424" t="s">
        <v>114</v>
      </c>
      <c r="G1424" t="s">
        <v>835</v>
      </c>
      <c r="J1424" s="4" t="s">
        <v>19</v>
      </c>
      <c r="K1424" s="4" t="s">
        <v>21</v>
      </c>
      <c r="L1424" s="4" t="s">
        <v>742</v>
      </c>
      <c r="M1424" s="17">
        <v>24</v>
      </c>
      <c r="N1424" s="17">
        <v>1064</v>
      </c>
      <c r="O1424" s="18" t="s">
        <v>19</v>
      </c>
      <c r="P1424" s="18">
        <v>1064</v>
      </c>
      <c r="Q1424" s="18">
        <v>24</v>
      </c>
      <c r="R1424" s="18" t="s">
        <v>778</v>
      </c>
      <c r="S1424" s="18" t="s">
        <v>789</v>
      </c>
      <c r="T1424" s="18" t="s">
        <v>780</v>
      </c>
      <c r="U14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24" s="19">
        <f>IF(AUDITORIA[[#This Row],[CAT]]="",0,1)</f>
        <v>1</v>
      </c>
      <c r="W1424" s="20">
        <v>46197</v>
      </c>
      <c r="X1424" s="21" t="str">
        <f>UPPER(IF(AUDITORIA[[#This Row],[DATA VERIFICAÇÃO]]="","",TEXT(AUDITORIA[[#This Row],[DATA VERIFICAÇÃO]],"mmm")))</f>
        <v>JUN</v>
      </c>
      <c r="Y1424" t="s">
        <v>598</v>
      </c>
      <c r="Z1424" t="s">
        <v>691</v>
      </c>
      <c r="AA1424" t="s">
        <v>832</v>
      </c>
    </row>
    <row r="1425" spans="1:27" ht="14.4" hidden="1" customHeight="1" x14ac:dyDescent="0.3">
      <c r="A1425" s="4" t="s">
        <v>0</v>
      </c>
      <c r="B1425" s="4" t="s">
        <v>17</v>
      </c>
      <c r="C1425" s="16" t="s">
        <v>18</v>
      </c>
      <c r="D1425" s="4">
        <v>10</v>
      </c>
      <c r="E1425" s="4" t="s">
        <v>745</v>
      </c>
      <c r="F1425" t="s">
        <v>113</v>
      </c>
      <c r="G1425" t="s">
        <v>835</v>
      </c>
      <c r="J1425" s="4" t="s">
        <v>19</v>
      </c>
      <c r="K1425" s="4" t="s">
        <v>21</v>
      </c>
      <c r="L1425" s="4" t="s">
        <v>742</v>
      </c>
      <c r="M1425" s="17">
        <v>24</v>
      </c>
      <c r="N1425" s="17">
        <v>1078</v>
      </c>
      <c r="O1425" s="18" t="s">
        <v>19</v>
      </c>
      <c r="P1425" s="18">
        <v>1078</v>
      </c>
      <c r="Q1425" s="18">
        <v>24</v>
      </c>
      <c r="R1425" s="18" t="s">
        <v>778</v>
      </c>
      <c r="S1425" s="18" t="s">
        <v>789</v>
      </c>
      <c r="T1425" s="18" t="s">
        <v>781</v>
      </c>
      <c r="U14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25" s="19">
        <f>IF(AUDITORIA[[#This Row],[CAT]]="",0,1)</f>
        <v>1</v>
      </c>
      <c r="W1425" s="20">
        <v>46197</v>
      </c>
      <c r="X1425" s="21" t="str">
        <f>UPPER(IF(AUDITORIA[[#This Row],[DATA VERIFICAÇÃO]]="","",TEXT(AUDITORIA[[#This Row],[DATA VERIFICAÇÃO]],"mmm")))</f>
        <v>JUN</v>
      </c>
      <c r="Y1425" t="s">
        <v>598</v>
      </c>
      <c r="Z1425" t="s">
        <v>691</v>
      </c>
      <c r="AA1425" t="s">
        <v>832</v>
      </c>
    </row>
    <row r="1426" spans="1:27" ht="14.4" hidden="1" customHeight="1" x14ac:dyDescent="0.3">
      <c r="A1426" s="4" t="s">
        <v>0</v>
      </c>
      <c r="B1426" s="4" t="s">
        <v>17</v>
      </c>
      <c r="C1426" s="16" t="s">
        <v>18</v>
      </c>
      <c r="D1426" s="4">
        <v>10</v>
      </c>
      <c r="E1426" s="4" t="s">
        <v>745</v>
      </c>
      <c r="F1426" t="s">
        <v>112</v>
      </c>
      <c r="G1426" t="s">
        <v>835</v>
      </c>
      <c r="J1426" s="4" t="s">
        <v>19</v>
      </c>
      <c r="K1426" s="4" t="s">
        <v>21</v>
      </c>
      <c r="L1426" s="4" t="s">
        <v>742</v>
      </c>
      <c r="M1426" s="17">
        <v>24</v>
      </c>
      <c r="N1426" s="17">
        <v>1073</v>
      </c>
      <c r="O1426" s="18" t="s">
        <v>19</v>
      </c>
      <c r="P1426" s="18">
        <v>1073</v>
      </c>
      <c r="Q1426" s="18">
        <v>24</v>
      </c>
      <c r="R1426" s="18" t="s">
        <v>778</v>
      </c>
      <c r="S1426" s="18" t="s">
        <v>789</v>
      </c>
      <c r="T1426" s="18" t="s">
        <v>782</v>
      </c>
      <c r="U14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26" s="19">
        <f>IF(AUDITORIA[[#This Row],[CAT]]="",0,1)</f>
        <v>1</v>
      </c>
      <c r="W1426" s="20">
        <v>46197</v>
      </c>
      <c r="X1426" s="21" t="str">
        <f>UPPER(IF(AUDITORIA[[#This Row],[DATA VERIFICAÇÃO]]="","",TEXT(AUDITORIA[[#This Row],[DATA VERIFICAÇÃO]],"mmm")))</f>
        <v>JUN</v>
      </c>
      <c r="Y1426" t="s">
        <v>598</v>
      </c>
      <c r="Z1426" t="s">
        <v>691</v>
      </c>
      <c r="AA1426" t="s">
        <v>832</v>
      </c>
    </row>
    <row r="1427" spans="1:27" ht="14.4" hidden="1" customHeight="1" x14ac:dyDescent="0.3">
      <c r="A1427" s="4" t="s">
        <v>0</v>
      </c>
      <c r="B1427" s="4" t="s">
        <v>17</v>
      </c>
      <c r="C1427" s="16" t="s">
        <v>18</v>
      </c>
      <c r="D1427" s="4">
        <v>10</v>
      </c>
      <c r="E1427" s="4" t="s">
        <v>745</v>
      </c>
      <c r="F1427" t="s">
        <v>110</v>
      </c>
      <c r="G1427" t="s">
        <v>835</v>
      </c>
      <c r="J1427" s="4" t="s">
        <v>19</v>
      </c>
      <c r="K1427" s="4" t="s">
        <v>21</v>
      </c>
      <c r="L1427" s="4" t="s">
        <v>742</v>
      </c>
      <c r="M1427" s="17">
        <v>24</v>
      </c>
      <c r="N1427" s="17">
        <v>1065</v>
      </c>
      <c r="O1427" s="18" t="s">
        <v>19</v>
      </c>
      <c r="P1427" s="18">
        <v>1065</v>
      </c>
      <c r="Q1427" s="18">
        <v>24</v>
      </c>
      <c r="R1427" s="18" t="s">
        <v>778</v>
      </c>
      <c r="S1427" s="18" t="s">
        <v>783</v>
      </c>
      <c r="T1427" s="18" t="s">
        <v>781</v>
      </c>
      <c r="U14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27" s="19">
        <f>IF(AUDITORIA[[#This Row],[CAT]]="",0,1)</f>
        <v>1</v>
      </c>
      <c r="W1427" s="20">
        <v>46197</v>
      </c>
      <c r="X1427" s="21" t="str">
        <f>UPPER(IF(AUDITORIA[[#This Row],[DATA VERIFICAÇÃO]]="","",TEXT(AUDITORIA[[#This Row],[DATA VERIFICAÇÃO]],"mmm")))</f>
        <v>JUN</v>
      </c>
      <c r="Y1427" t="s">
        <v>598</v>
      </c>
      <c r="Z1427" t="s">
        <v>691</v>
      </c>
      <c r="AA1427" t="s">
        <v>832</v>
      </c>
    </row>
    <row r="1428" spans="1:27" ht="14.4" hidden="1" customHeight="1" x14ac:dyDescent="0.3">
      <c r="A1428" s="4" t="s">
        <v>0</v>
      </c>
      <c r="B1428" s="4" t="s">
        <v>17</v>
      </c>
      <c r="C1428" s="16" t="s">
        <v>18</v>
      </c>
      <c r="D1428" s="4">
        <v>10</v>
      </c>
      <c r="E1428" s="4" t="s">
        <v>745</v>
      </c>
      <c r="F1428" t="s">
        <v>109</v>
      </c>
      <c r="G1428" t="s">
        <v>835</v>
      </c>
      <c r="J1428" s="4" t="s">
        <v>19</v>
      </c>
      <c r="K1428" s="4" t="s">
        <v>20</v>
      </c>
      <c r="L1428" s="4" t="s">
        <v>742</v>
      </c>
      <c r="M1428" s="17">
        <v>20</v>
      </c>
      <c r="N1428" s="17">
        <v>817</v>
      </c>
      <c r="O1428" s="18" t="s">
        <v>19</v>
      </c>
      <c r="P1428" s="18">
        <v>817</v>
      </c>
      <c r="Q1428" s="18">
        <v>20</v>
      </c>
      <c r="R1428" s="18" t="s">
        <v>817</v>
      </c>
      <c r="S1428" s="18" t="s">
        <v>806</v>
      </c>
      <c r="T1428" s="18" t="s">
        <v>780</v>
      </c>
      <c r="U14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28" s="19">
        <f>IF(AUDITORIA[[#This Row],[CAT]]="",0,1)</f>
        <v>1</v>
      </c>
      <c r="W1428" s="20">
        <v>46197</v>
      </c>
      <c r="X1428" s="21" t="str">
        <f>UPPER(IF(AUDITORIA[[#This Row],[DATA VERIFICAÇÃO]]="","",TEXT(AUDITORIA[[#This Row],[DATA VERIFICAÇÃO]],"mmm")))</f>
        <v>JUN</v>
      </c>
      <c r="Y1428" t="s">
        <v>598</v>
      </c>
      <c r="Z1428" t="s">
        <v>691</v>
      </c>
      <c r="AA1428" t="s">
        <v>832</v>
      </c>
    </row>
    <row r="1429" spans="1:27" ht="14.4" hidden="1" customHeight="1" x14ac:dyDescent="0.3">
      <c r="A1429" s="4" t="s">
        <v>0</v>
      </c>
      <c r="B1429" s="4" t="s">
        <v>17</v>
      </c>
      <c r="C1429" s="16" t="s">
        <v>18</v>
      </c>
      <c r="D1429" s="4">
        <v>10</v>
      </c>
      <c r="E1429" s="4" t="s">
        <v>745</v>
      </c>
      <c r="F1429" t="s">
        <v>105</v>
      </c>
      <c r="G1429" t="s">
        <v>835</v>
      </c>
      <c r="J1429" s="4" t="s">
        <v>19</v>
      </c>
      <c r="K1429" s="4" t="s">
        <v>21</v>
      </c>
      <c r="L1429" s="4" t="s">
        <v>742</v>
      </c>
      <c r="M1429" s="17">
        <v>23</v>
      </c>
      <c r="N1429" s="17">
        <v>1077</v>
      </c>
      <c r="O1429" s="18" t="s">
        <v>19</v>
      </c>
      <c r="P1429" s="18">
        <v>1077</v>
      </c>
      <c r="Q1429" s="18">
        <v>23</v>
      </c>
      <c r="R1429" s="18" t="s">
        <v>778</v>
      </c>
      <c r="S1429" s="18" t="s">
        <v>783</v>
      </c>
      <c r="T1429" s="18" t="s">
        <v>780</v>
      </c>
      <c r="U14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29" s="19">
        <f>IF(AUDITORIA[[#This Row],[CAT]]="",0,1)</f>
        <v>1</v>
      </c>
      <c r="W1429" s="20">
        <v>46197</v>
      </c>
      <c r="X1429" s="21" t="str">
        <f>UPPER(IF(AUDITORIA[[#This Row],[DATA VERIFICAÇÃO]]="","",TEXT(AUDITORIA[[#This Row],[DATA VERIFICAÇÃO]],"mmm")))</f>
        <v>JUN</v>
      </c>
      <c r="Y1429" t="s">
        <v>598</v>
      </c>
      <c r="Z1429" t="s">
        <v>691</v>
      </c>
      <c r="AA1429" t="s">
        <v>832</v>
      </c>
    </row>
    <row r="1430" spans="1:27" ht="14.4" hidden="1" customHeight="1" x14ac:dyDescent="0.3">
      <c r="A1430" s="4" t="s">
        <v>0</v>
      </c>
      <c r="B1430" s="4" t="s">
        <v>17</v>
      </c>
      <c r="C1430" s="16" t="s">
        <v>18</v>
      </c>
      <c r="D1430" s="4">
        <v>10</v>
      </c>
      <c r="E1430" s="4" t="s">
        <v>745</v>
      </c>
      <c r="F1430" t="s">
        <v>104</v>
      </c>
      <c r="G1430" t="s">
        <v>85</v>
      </c>
      <c r="J1430" s="4" t="s">
        <v>88</v>
      </c>
      <c r="K1430" s="4" t="s">
        <v>20</v>
      </c>
      <c r="L1430" s="4" t="s">
        <v>742</v>
      </c>
      <c r="M1430" s="17">
        <v>30</v>
      </c>
      <c r="N1430" s="17">
        <v>735</v>
      </c>
      <c r="O1430" s="18" t="s">
        <v>88</v>
      </c>
      <c r="P1430" s="18">
        <v>735</v>
      </c>
      <c r="Q1430" s="18">
        <v>30</v>
      </c>
      <c r="R1430" s="18" t="s">
        <v>778</v>
      </c>
      <c r="S1430" s="18" t="s">
        <v>779</v>
      </c>
      <c r="T1430" s="18" t="s">
        <v>781</v>
      </c>
      <c r="U14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30" s="19">
        <f>IF(AUDITORIA[[#This Row],[CAT]]="",0,1)</f>
        <v>1</v>
      </c>
      <c r="W1430" s="20">
        <v>46197</v>
      </c>
      <c r="X1430" s="21" t="str">
        <f>UPPER(IF(AUDITORIA[[#This Row],[DATA VERIFICAÇÃO]]="","",TEXT(AUDITORIA[[#This Row],[DATA VERIFICAÇÃO]],"mmm")))</f>
        <v>JUN</v>
      </c>
      <c r="Y1430" t="s">
        <v>598</v>
      </c>
      <c r="Z1430" t="s">
        <v>691</v>
      </c>
      <c r="AA1430" t="s">
        <v>832</v>
      </c>
    </row>
    <row r="1431" spans="1:27" ht="14.4" hidden="1" customHeight="1" x14ac:dyDescent="0.3">
      <c r="A1431" s="4" t="s">
        <v>0</v>
      </c>
      <c r="B1431" s="4" t="s">
        <v>17</v>
      </c>
      <c r="C1431" s="16" t="s">
        <v>18</v>
      </c>
      <c r="D1431" s="4">
        <v>10</v>
      </c>
      <c r="E1431" s="4" t="s">
        <v>745</v>
      </c>
      <c r="F1431" t="s">
        <v>103</v>
      </c>
      <c r="G1431" t="s">
        <v>85</v>
      </c>
      <c r="J1431" s="4" t="s">
        <v>88</v>
      </c>
      <c r="K1431" s="4" t="s">
        <v>21</v>
      </c>
      <c r="L1431" s="4" t="s">
        <v>742</v>
      </c>
      <c r="M1431" s="17">
        <v>30</v>
      </c>
      <c r="N1431" s="17">
        <v>878</v>
      </c>
      <c r="O1431" s="18" t="s">
        <v>88</v>
      </c>
      <c r="P1431" s="18">
        <v>878</v>
      </c>
      <c r="Q1431" s="18">
        <v>30</v>
      </c>
      <c r="R1431" s="18" t="s">
        <v>814</v>
      </c>
      <c r="S1431" s="18" t="s">
        <v>803</v>
      </c>
      <c r="T1431" s="18" t="s">
        <v>780</v>
      </c>
      <c r="U14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31" s="19">
        <f>IF(AUDITORIA[[#This Row],[CAT]]="",0,1)</f>
        <v>1</v>
      </c>
      <c r="W1431" s="20">
        <v>46197</v>
      </c>
      <c r="X1431" s="21" t="str">
        <f>UPPER(IF(AUDITORIA[[#This Row],[DATA VERIFICAÇÃO]]="","",TEXT(AUDITORIA[[#This Row],[DATA VERIFICAÇÃO]],"mmm")))</f>
        <v>JUN</v>
      </c>
      <c r="Y1431" t="s">
        <v>598</v>
      </c>
      <c r="Z1431" t="s">
        <v>691</v>
      </c>
      <c r="AA1431" t="s">
        <v>832</v>
      </c>
    </row>
    <row r="1432" spans="1:27" ht="14.4" hidden="1" customHeight="1" x14ac:dyDescent="0.3">
      <c r="A1432" s="4" t="s">
        <v>0</v>
      </c>
      <c r="B1432" s="4" t="s">
        <v>17</v>
      </c>
      <c r="C1432" s="16" t="s">
        <v>18</v>
      </c>
      <c r="D1432" s="4">
        <v>10</v>
      </c>
      <c r="E1432" s="4" t="s">
        <v>745</v>
      </c>
      <c r="F1432" t="s">
        <v>102</v>
      </c>
      <c r="G1432" t="s">
        <v>85</v>
      </c>
      <c r="J1432" s="4" t="s">
        <v>88</v>
      </c>
      <c r="K1432" s="4" t="s">
        <v>20</v>
      </c>
      <c r="L1432" s="4" t="s">
        <v>742</v>
      </c>
      <c r="M1432" s="17">
        <v>30</v>
      </c>
      <c r="N1432" s="17">
        <v>732</v>
      </c>
      <c r="O1432" s="18" t="s">
        <v>88</v>
      </c>
      <c r="P1432" s="18">
        <v>732</v>
      </c>
      <c r="Q1432" s="18">
        <v>30</v>
      </c>
      <c r="R1432" s="18" t="s">
        <v>778</v>
      </c>
      <c r="S1432" s="18" t="s">
        <v>779</v>
      </c>
      <c r="T1432" s="18" t="s">
        <v>780</v>
      </c>
      <c r="U14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32" s="19">
        <f>IF(AUDITORIA[[#This Row],[CAT]]="",0,1)</f>
        <v>1</v>
      </c>
      <c r="W1432" s="20">
        <v>46197</v>
      </c>
      <c r="X1432" s="21" t="str">
        <f>UPPER(IF(AUDITORIA[[#This Row],[DATA VERIFICAÇÃO]]="","",TEXT(AUDITORIA[[#This Row],[DATA VERIFICAÇÃO]],"mmm")))</f>
        <v>JUN</v>
      </c>
      <c r="Y1432" t="s">
        <v>598</v>
      </c>
      <c r="Z1432" t="s">
        <v>691</v>
      </c>
      <c r="AA1432" t="s">
        <v>832</v>
      </c>
    </row>
    <row r="1433" spans="1:27" ht="14.4" hidden="1" customHeight="1" x14ac:dyDescent="0.3">
      <c r="A1433" s="4" t="s">
        <v>0</v>
      </c>
      <c r="B1433" s="4" t="s">
        <v>17</v>
      </c>
      <c r="C1433" s="16" t="s">
        <v>18</v>
      </c>
      <c r="D1433" s="4">
        <v>10</v>
      </c>
      <c r="E1433" s="4" t="s">
        <v>745</v>
      </c>
      <c r="F1433" t="s">
        <v>101</v>
      </c>
      <c r="G1433" t="s">
        <v>85</v>
      </c>
      <c r="J1433" s="4" t="s">
        <v>88</v>
      </c>
      <c r="K1433" s="4" t="s">
        <v>21</v>
      </c>
      <c r="L1433" s="4" t="s">
        <v>742</v>
      </c>
      <c r="M1433" s="17">
        <v>30</v>
      </c>
      <c r="N1433" s="17">
        <v>859</v>
      </c>
      <c r="O1433" s="18" t="s">
        <v>88</v>
      </c>
      <c r="P1433" s="18">
        <v>859</v>
      </c>
      <c r="Q1433" s="18">
        <v>30</v>
      </c>
      <c r="R1433" s="18" t="s">
        <v>778</v>
      </c>
      <c r="S1433" s="18" t="s">
        <v>787</v>
      </c>
      <c r="T1433" s="18" t="s">
        <v>780</v>
      </c>
      <c r="U14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33" s="19">
        <f>IF(AUDITORIA[[#This Row],[CAT]]="",0,1)</f>
        <v>1</v>
      </c>
      <c r="W1433" s="20">
        <v>46197</v>
      </c>
      <c r="X1433" s="21" t="str">
        <f>UPPER(IF(AUDITORIA[[#This Row],[DATA VERIFICAÇÃO]]="","",TEXT(AUDITORIA[[#This Row],[DATA VERIFICAÇÃO]],"mmm")))</f>
        <v>JUN</v>
      </c>
      <c r="Y1433" t="s">
        <v>598</v>
      </c>
      <c r="Z1433" t="s">
        <v>691</v>
      </c>
      <c r="AA1433" t="s">
        <v>832</v>
      </c>
    </row>
    <row r="1434" spans="1:27" ht="14.4" hidden="1" customHeight="1" x14ac:dyDescent="0.3">
      <c r="A1434" s="4" t="s">
        <v>0</v>
      </c>
      <c r="B1434" s="4" t="s">
        <v>17</v>
      </c>
      <c r="C1434" s="16" t="s">
        <v>18</v>
      </c>
      <c r="D1434" s="4">
        <v>10</v>
      </c>
      <c r="E1434" s="4" t="s">
        <v>745</v>
      </c>
      <c r="F1434" t="s">
        <v>100</v>
      </c>
      <c r="G1434" t="s">
        <v>85</v>
      </c>
      <c r="J1434" s="4" t="s">
        <v>88</v>
      </c>
      <c r="K1434" s="4" t="s">
        <v>20</v>
      </c>
      <c r="L1434" s="4" t="s">
        <v>742</v>
      </c>
      <c r="M1434" s="17">
        <v>30</v>
      </c>
      <c r="N1434" s="17">
        <v>716</v>
      </c>
      <c r="O1434" s="18" t="s">
        <v>88</v>
      </c>
      <c r="P1434" s="18">
        <v>716</v>
      </c>
      <c r="Q1434" s="18">
        <v>30</v>
      </c>
      <c r="R1434" s="18" t="s">
        <v>778</v>
      </c>
      <c r="S1434" s="18" t="s">
        <v>788</v>
      </c>
      <c r="T1434" s="18" t="s">
        <v>780</v>
      </c>
      <c r="U14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34" s="19">
        <f>IF(AUDITORIA[[#This Row],[CAT]]="",0,1)</f>
        <v>1</v>
      </c>
      <c r="W1434" s="20">
        <v>46197</v>
      </c>
      <c r="X1434" s="21" t="str">
        <f>UPPER(IF(AUDITORIA[[#This Row],[DATA VERIFICAÇÃO]]="","",TEXT(AUDITORIA[[#This Row],[DATA VERIFICAÇÃO]],"mmm")))</f>
        <v>JUN</v>
      </c>
      <c r="Y1434" t="s">
        <v>598</v>
      </c>
      <c r="Z1434" t="s">
        <v>691</v>
      </c>
      <c r="AA1434" t="s">
        <v>832</v>
      </c>
    </row>
    <row r="1435" spans="1:27" ht="14.4" hidden="1" customHeight="1" x14ac:dyDescent="0.3">
      <c r="A1435" s="4" t="s">
        <v>0</v>
      </c>
      <c r="B1435" s="4" t="s">
        <v>17</v>
      </c>
      <c r="C1435" s="16" t="s">
        <v>18</v>
      </c>
      <c r="D1435" s="4">
        <v>10</v>
      </c>
      <c r="E1435" s="4" t="s">
        <v>745</v>
      </c>
      <c r="F1435" t="s">
        <v>98</v>
      </c>
      <c r="G1435" t="s">
        <v>85</v>
      </c>
      <c r="J1435" s="4" t="s">
        <v>88</v>
      </c>
      <c r="K1435" s="4" t="s">
        <v>21</v>
      </c>
      <c r="L1435" s="4" t="s">
        <v>742</v>
      </c>
      <c r="M1435" s="17">
        <v>30</v>
      </c>
      <c r="N1435" s="17">
        <v>879</v>
      </c>
      <c r="O1435" s="18" t="s">
        <v>88</v>
      </c>
      <c r="P1435" s="18">
        <v>879</v>
      </c>
      <c r="Q1435" s="18">
        <v>30</v>
      </c>
      <c r="R1435" s="18" t="s">
        <v>814</v>
      </c>
      <c r="S1435" s="18" t="s">
        <v>802</v>
      </c>
      <c r="T1435" s="18" t="s">
        <v>782</v>
      </c>
      <c r="U14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35" s="19">
        <f>IF(AUDITORIA[[#This Row],[CAT]]="",0,1)</f>
        <v>1</v>
      </c>
      <c r="W1435" s="20">
        <v>46197</v>
      </c>
      <c r="X1435" s="21" t="str">
        <f>UPPER(IF(AUDITORIA[[#This Row],[DATA VERIFICAÇÃO]]="","",TEXT(AUDITORIA[[#This Row],[DATA VERIFICAÇÃO]],"mmm")))</f>
        <v>JUN</v>
      </c>
      <c r="Y1435" t="s">
        <v>598</v>
      </c>
      <c r="Z1435" t="s">
        <v>691</v>
      </c>
      <c r="AA1435" t="s">
        <v>832</v>
      </c>
    </row>
    <row r="1436" spans="1:27" ht="14.4" hidden="1" customHeight="1" x14ac:dyDescent="0.3">
      <c r="A1436" s="4" t="s">
        <v>0</v>
      </c>
      <c r="B1436" s="4" t="s">
        <v>17</v>
      </c>
      <c r="C1436" s="16" t="s">
        <v>18</v>
      </c>
      <c r="D1436" s="4">
        <v>10</v>
      </c>
      <c r="E1436" s="4" t="s">
        <v>745</v>
      </c>
      <c r="F1436" t="s">
        <v>99</v>
      </c>
      <c r="G1436" t="s">
        <v>85</v>
      </c>
      <c r="J1436" s="4" t="s">
        <v>88</v>
      </c>
      <c r="K1436" s="4" t="s">
        <v>20</v>
      </c>
      <c r="L1436" s="4" t="s">
        <v>742</v>
      </c>
      <c r="M1436" s="17">
        <v>30</v>
      </c>
      <c r="N1436" s="17">
        <v>741</v>
      </c>
      <c r="O1436" s="18" t="s">
        <v>88</v>
      </c>
      <c r="P1436" s="18">
        <v>741</v>
      </c>
      <c r="Q1436" s="18">
        <v>30</v>
      </c>
      <c r="R1436" s="18" t="s">
        <v>778</v>
      </c>
      <c r="S1436" s="18" t="s">
        <v>788</v>
      </c>
      <c r="T1436" s="18" t="s">
        <v>781</v>
      </c>
      <c r="U14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36" s="19">
        <f>IF(AUDITORIA[[#This Row],[CAT]]="",0,1)</f>
        <v>1</v>
      </c>
      <c r="W1436" s="20">
        <v>46197</v>
      </c>
      <c r="X1436" s="21" t="str">
        <f>UPPER(IF(AUDITORIA[[#This Row],[DATA VERIFICAÇÃO]]="","",TEXT(AUDITORIA[[#This Row],[DATA VERIFICAÇÃO]],"mmm")))</f>
        <v>JUN</v>
      </c>
      <c r="Y1436" t="s">
        <v>598</v>
      </c>
      <c r="Z1436" t="s">
        <v>691</v>
      </c>
      <c r="AA1436" t="s">
        <v>832</v>
      </c>
    </row>
    <row r="1437" spans="1:27" ht="14.4" hidden="1" customHeight="1" x14ac:dyDescent="0.3">
      <c r="A1437" s="4" t="s">
        <v>0</v>
      </c>
      <c r="B1437" s="4" t="s">
        <v>17</v>
      </c>
      <c r="C1437" s="16" t="s">
        <v>18</v>
      </c>
      <c r="D1437" s="4">
        <v>10</v>
      </c>
      <c r="E1437" s="4" t="s">
        <v>745</v>
      </c>
      <c r="F1437" t="s">
        <v>97</v>
      </c>
      <c r="G1437" t="s">
        <v>85</v>
      </c>
      <c r="J1437" s="4" t="s">
        <v>88</v>
      </c>
      <c r="K1437" s="4" t="s">
        <v>20</v>
      </c>
      <c r="L1437" s="4" t="s">
        <v>742</v>
      </c>
      <c r="M1437" s="17">
        <v>30</v>
      </c>
      <c r="N1437" s="17">
        <v>732</v>
      </c>
      <c r="O1437" s="18" t="s">
        <v>88</v>
      </c>
      <c r="P1437" s="18">
        <v>732</v>
      </c>
      <c r="Q1437" s="18">
        <v>30</v>
      </c>
      <c r="R1437" s="18" t="s">
        <v>778</v>
      </c>
      <c r="S1437" s="18" t="s">
        <v>788</v>
      </c>
      <c r="T1437" s="18" t="s">
        <v>782</v>
      </c>
      <c r="U14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37" s="19">
        <f>IF(AUDITORIA[[#This Row],[CAT]]="",0,1)</f>
        <v>1</v>
      </c>
      <c r="W1437" s="20">
        <v>46197</v>
      </c>
      <c r="X1437" s="21" t="str">
        <f>UPPER(IF(AUDITORIA[[#This Row],[DATA VERIFICAÇÃO]]="","",TEXT(AUDITORIA[[#This Row],[DATA VERIFICAÇÃO]],"mmm")))</f>
        <v>JUN</v>
      </c>
      <c r="Y1437" t="s">
        <v>598</v>
      </c>
      <c r="Z1437" t="s">
        <v>691</v>
      </c>
      <c r="AA1437" t="s">
        <v>832</v>
      </c>
    </row>
    <row r="1438" spans="1:27" ht="14.4" hidden="1" customHeight="1" x14ac:dyDescent="0.3">
      <c r="A1438" s="4" t="s">
        <v>0</v>
      </c>
      <c r="B1438" s="4" t="s">
        <v>17</v>
      </c>
      <c r="C1438" s="16" t="s">
        <v>18</v>
      </c>
      <c r="D1438" s="4">
        <v>10</v>
      </c>
      <c r="E1438" s="4" t="s">
        <v>745</v>
      </c>
      <c r="F1438" t="s">
        <v>96</v>
      </c>
      <c r="G1438" t="s">
        <v>85</v>
      </c>
      <c r="J1438" s="4" t="s">
        <v>88</v>
      </c>
      <c r="K1438" s="4" t="s">
        <v>21</v>
      </c>
      <c r="L1438" s="4" t="s">
        <v>742</v>
      </c>
      <c r="M1438" s="17">
        <v>30</v>
      </c>
      <c r="N1438" s="17">
        <v>872</v>
      </c>
      <c r="O1438" s="18" t="s">
        <v>88</v>
      </c>
      <c r="P1438" s="18">
        <v>872</v>
      </c>
      <c r="Q1438" s="18">
        <v>30</v>
      </c>
      <c r="R1438" s="18" t="s">
        <v>778</v>
      </c>
      <c r="S1438" s="18" t="s">
        <v>785</v>
      </c>
      <c r="T1438" s="18" t="s">
        <v>781</v>
      </c>
      <c r="U14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38" s="19">
        <f>IF(AUDITORIA[[#This Row],[CAT]]="",0,1)</f>
        <v>1</v>
      </c>
      <c r="W1438" s="20">
        <v>46197</v>
      </c>
      <c r="X1438" s="21" t="str">
        <f>UPPER(IF(AUDITORIA[[#This Row],[DATA VERIFICAÇÃO]]="","",TEXT(AUDITORIA[[#This Row],[DATA VERIFICAÇÃO]],"mmm")))</f>
        <v>JUN</v>
      </c>
      <c r="Y1438" t="s">
        <v>598</v>
      </c>
      <c r="Z1438" t="s">
        <v>691</v>
      </c>
      <c r="AA1438" t="s">
        <v>832</v>
      </c>
    </row>
    <row r="1439" spans="1:27" ht="14.4" hidden="1" customHeight="1" x14ac:dyDescent="0.3">
      <c r="A1439" s="4" t="s">
        <v>0</v>
      </c>
      <c r="B1439" s="4" t="s">
        <v>17</v>
      </c>
      <c r="C1439" s="16" t="s">
        <v>18</v>
      </c>
      <c r="D1439" s="4">
        <v>10</v>
      </c>
      <c r="E1439" s="4" t="s">
        <v>745</v>
      </c>
      <c r="F1439" t="s">
        <v>94</v>
      </c>
      <c r="G1439" t="s">
        <v>85</v>
      </c>
      <c r="J1439" s="4" t="s">
        <v>88</v>
      </c>
      <c r="K1439" s="4" t="s">
        <v>20</v>
      </c>
      <c r="L1439" s="4" t="s">
        <v>742</v>
      </c>
      <c r="M1439" s="17">
        <v>30</v>
      </c>
      <c r="N1439" s="17">
        <v>742</v>
      </c>
      <c r="O1439" s="18" t="s">
        <v>88</v>
      </c>
      <c r="P1439" s="18">
        <v>742</v>
      </c>
      <c r="Q1439" s="18">
        <v>30</v>
      </c>
      <c r="R1439" s="18" t="s">
        <v>814</v>
      </c>
      <c r="S1439" s="18" t="s">
        <v>801</v>
      </c>
      <c r="T1439" s="18" t="s">
        <v>780</v>
      </c>
      <c r="U14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39" s="19">
        <f>IF(AUDITORIA[[#This Row],[CAT]]="",0,1)</f>
        <v>1</v>
      </c>
      <c r="W1439" s="20">
        <v>46197</v>
      </c>
      <c r="X1439" s="21" t="str">
        <f>UPPER(IF(AUDITORIA[[#This Row],[DATA VERIFICAÇÃO]]="","",TEXT(AUDITORIA[[#This Row],[DATA VERIFICAÇÃO]],"mmm")))</f>
        <v>JUN</v>
      </c>
      <c r="Y1439" t="s">
        <v>598</v>
      </c>
      <c r="Z1439" t="s">
        <v>691</v>
      </c>
      <c r="AA1439" t="s">
        <v>832</v>
      </c>
    </row>
    <row r="1440" spans="1:27" ht="14.4" hidden="1" customHeight="1" x14ac:dyDescent="0.3">
      <c r="A1440" s="4" t="s">
        <v>0</v>
      </c>
      <c r="B1440" s="4" t="s">
        <v>17</v>
      </c>
      <c r="C1440" s="16" t="s">
        <v>18</v>
      </c>
      <c r="D1440" s="4">
        <v>10</v>
      </c>
      <c r="E1440" s="4" t="s">
        <v>745</v>
      </c>
      <c r="F1440" t="s">
        <v>95</v>
      </c>
      <c r="G1440" t="s">
        <v>85</v>
      </c>
      <c r="J1440" s="4" t="s">
        <v>88</v>
      </c>
      <c r="K1440" s="4" t="s">
        <v>21</v>
      </c>
      <c r="L1440" s="4" t="s">
        <v>742</v>
      </c>
      <c r="M1440" s="17">
        <v>30</v>
      </c>
      <c r="N1440" s="17">
        <v>876</v>
      </c>
      <c r="O1440" s="18" t="s">
        <v>88</v>
      </c>
      <c r="P1440" s="18">
        <v>876</v>
      </c>
      <c r="Q1440" s="18">
        <v>30</v>
      </c>
      <c r="R1440" s="18" t="s">
        <v>778</v>
      </c>
      <c r="S1440" s="18" t="s">
        <v>785</v>
      </c>
      <c r="T1440" s="18" t="s">
        <v>780</v>
      </c>
      <c r="U14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40" s="19">
        <f>IF(AUDITORIA[[#This Row],[CAT]]="",0,1)</f>
        <v>1</v>
      </c>
      <c r="W1440" s="20">
        <v>46197</v>
      </c>
      <c r="X1440" s="21" t="str">
        <f>UPPER(IF(AUDITORIA[[#This Row],[DATA VERIFICAÇÃO]]="","",TEXT(AUDITORIA[[#This Row],[DATA VERIFICAÇÃO]],"mmm")))</f>
        <v>JUN</v>
      </c>
      <c r="Y1440" t="s">
        <v>598</v>
      </c>
      <c r="Z1440" t="s">
        <v>691</v>
      </c>
      <c r="AA1440" t="s">
        <v>832</v>
      </c>
    </row>
    <row r="1441" spans="1:27" ht="14.4" hidden="1" customHeight="1" x14ac:dyDescent="0.3">
      <c r="A1441" s="4" t="s">
        <v>0</v>
      </c>
      <c r="B1441" s="4" t="s">
        <v>17</v>
      </c>
      <c r="C1441" s="16" t="s">
        <v>18</v>
      </c>
      <c r="D1441" s="4">
        <v>10</v>
      </c>
      <c r="E1441" s="4" t="s">
        <v>745</v>
      </c>
      <c r="F1441" t="s">
        <v>93</v>
      </c>
      <c r="G1441" t="s">
        <v>85</v>
      </c>
      <c r="J1441" s="4" t="s">
        <v>88</v>
      </c>
      <c r="K1441" s="4" t="s">
        <v>21</v>
      </c>
      <c r="L1441" s="4" t="s">
        <v>742</v>
      </c>
      <c r="M1441" s="17">
        <v>30</v>
      </c>
      <c r="N1441" s="17">
        <v>872</v>
      </c>
      <c r="O1441" s="18" t="s">
        <v>88</v>
      </c>
      <c r="P1441" s="18">
        <v>872</v>
      </c>
      <c r="Q1441" s="18">
        <v>30</v>
      </c>
      <c r="R1441" s="18" t="s">
        <v>814</v>
      </c>
      <c r="S1441" s="18" t="s">
        <v>802</v>
      </c>
      <c r="T1441" s="18" t="s">
        <v>794</v>
      </c>
      <c r="U14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41" s="19">
        <f>IF(AUDITORIA[[#This Row],[CAT]]="",0,1)</f>
        <v>1</v>
      </c>
      <c r="W1441" s="20">
        <v>46197</v>
      </c>
      <c r="X1441" s="21" t="str">
        <f>UPPER(IF(AUDITORIA[[#This Row],[DATA VERIFICAÇÃO]]="","",TEXT(AUDITORIA[[#This Row],[DATA VERIFICAÇÃO]],"mmm")))</f>
        <v>JUN</v>
      </c>
      <c r="Y1441" t="s">
        <v>598</v>
      </c>
      <c r="Z1441" t="s">
        <v>691</v>
      </c>
      <c r="AA1441" t="s">
        <v>832</v>
      </c>
    </row>
    <row r="1442" spans="1:27" ht="14.4" hidden="1" customHeight="1" x14ac:dyDescent="0.3">
      <c r="A1442" s="4" t="s">
        <v>0</v>
      </c>
      <c r="B1442" s="4" t="s">
        <v>17</v>
      </c>
      <c r="C1442" s="16" t="s">
        <v>18</v>
      </c>
      <c r="D1442" s="4">
        <v>10</v>
      </c>
      <c r="E1442" s="4" t="s">
        <v>745</v>
      </c>
      <c r="F1442" t="s">
        <v>92</v>
      </c>
      <c r="G1442" t="s">
        <v>85</v>
      </c>
      <c r="J1442" s="4" t="s">
        <v>88</v>
      </c>
      <c r="K1442" s="4" t="s">
        <v>20</v>
      </c>
      <c r="L1442" s="4" t="s">
        <v>742</v>
      </c>
      <c r="M1442" s="17">
        <v>30</v>
      </c>
      <c r="N1442" s="17">
        <v>734</v>
      </c>
      <c r="O1442" s="18" t="s">
        <v>88</v>
      </c>
      <c r="P1442" s="18">
        <v>734</v>
      </c>
      <c r="Q1442" s="18">
        <v>30</v>
      </c>
      <c r="R1442" s="18" t="s">
        <v>778</v>
      </c>
      <c r="S1442" s="18" t="s">
        <v>786</v>
      </c>
      <c r="T1442" s="18" t="s">
        <v>781</v>
      </c>
      <c r="U14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42" s="19">
        <f>IF(AUDITORIA[[#This Row],[CAT]]="",0,1)</f>
        <v>1</v>
      </c>
      <c r="W1442" s="20">
        <v>46197</v>
      </c>
      <c r="X1442" s="21" t="str">
        <f>UPPER(IF(AUDITORIA[[#This Row],[DATA VERIFICAÇÃO]]="","",TEXT(AUDITORIA[[#This Row],[DATA VERIFICAÇÃO]],"mmm")))</f>
        <v>JUN</v>
      </c>
      <c r="Y1442" t="s">
        <v>598</v>
      </c>
      <c r="Z1442" t="s">
        <v>691</v>
      </c>
      <c r="AA1442" t="s">
        <v>832</v>
      </c>
    </row>
    <row r="1443" spans="1:27" ht="14.4" hidden="1" customHeight="1" x14ac:dyDescent="0.3">
      <c r="A1443" s="4" t="s">
        <v>0</v>
      </c>
      <c r="B1443" s="4" t="s">
        <v>17</v>
      </c>
      <c r="C1443" s="16" t="s">
        <v>18</v>
      </c>
      <c r="D1443" s="4">
        <v>10</v>
      </c>
      <c r="E1443" s="4" t="s">
        <v>745</v>
      </c>
      <c r="F1443" t="s">
        <v>90</v>
      </c>
      <c r="G1443" t="s">
        <v>85</v>
      </c>
      <c r="J1443" s="4" t="s">
        <v>88</v>
      </c>
      <c r="K1443" s="4" t="s">
        <v>21</v>
      </c>
      <c r="L1443" s="4" t="s">
        <v>742</v>
      </c>
      <c r="M1443" s="17">
        <v>30</v>
      </c>
      <c r="N1443" s="17">
        <v>871</v>
      </c>
      <c r="O1443" s="18" t="s">
        <v>88</v>
      </c>
      <c r="P1443" s="18">
        <v>871</v>
      </c>
      <c r="Q1443" s="18">
        <v>30</v>
      </c>
      <c r="R1443" s="18" t="s">
        <v>814</v>
      </c>
      <c r="S1443" s="18" t="s">
        <v>806</v>
      </c>
      <c r="T1443" s="18" t="s">
        <v>781</v>
      </c>
      <c r="U14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43" s="19">
        <f>IF(AUDITORIA[[#This Row],[CAT]]="",0,1)</f>
        <v>1</v>
      </c>
      <c r="W1443" s="20">
        <v>46197</v>
      </c>
      <c r="X1443" s="21" t="str">
        <f>UPPER(IF(AUDITORIA[[#This Row],[DATA VERIFICAÇÃO]]="","",TEXT(AUDITORIA[[#This Row],[DATA VERIFICAÇÃO]],"mmm")))</f>
        <v>JUN</v>
      </c>
      <c r="Y1443" t="s">
        <v>598</v>
      </c>
      <c r="Z1443" t="s">
        <v>691</v>
      </c>
      <c r="AA1443" t="s">
        <v>832</v>
      </c>
    </row>
    <row r="1444" spans="1:27" ht="14.4" hidden="1" customHeight="1" x14ac:dyDescent="0.3">
      <c r="A1444" s="4" t="s">
        <v>0</v>
      </c>
      <c r="B1444" s="4" t="s">
        <v>17</v>
      </c>
      <c r="C1444" s="16" t="s">
        <v>18</v>
      </c>
      <c r="D1444" s="4">
        <v>10</v>
      </c>
      <c r="E1444" s="4" t="s">
        <v>745</v>
      </c>
      <c r="F1444" t="s">
        <v>91</v>
      </c>
      <c r="G1444" t="s">
        <v>85</v>
      </c>
      <c r="J1444" s="4" t="s">
        <v>88</v>
      </c>
      <c r="K1444" s="4" t="s">
        <v>20</v>
      </c>
      <c r="L1444" s="4" t="s">
        <v>742</v>
      </c>
      <c r="M1444" s="17">
        <v>30</v>
      </c>
      <c r="N1444" s="17">
        <v>738</v>
      </c>
      <c r="O1444" s="18" t="s">
        <v>88</v>
      </c>
      <c r="P1444" s="18">
        <v>738</v>
      </c>
      <c r="Q1444" s="18">
        <v>30</v>
      </c>
      <c r="R1444" s="18" t="s">
        <v>778</v>
      </c>
      <c r="S1444" s="18" t="s">
        <v>779</v>
      </c>
      <c r="T1444" s="18" t="s">
        <v>782</v>
      </c>
      <c r="U14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44" s="19">
        <f>IF(AUDITORIA[[#This Row],[CAT]]="",0,1)</f>
        <v>1</v>
      </c>
      <c r="W1444" s="20">
        <v>46197</v>
      </c>
      <c r="X1444" s="21" t="str">
        <f>UPPER(IF(AUDITORIA[[#This Row],[DATA VERIFICAÇÃO]]="","",TEXT(AUDITORIA[[#This Row],[DATA VERIFICAÇÃO]],"mmm")))</f>
        <v>JUN</v>
      </c>
      <c r="Y1444" t="s">
        <v>598</v>
      </c>
      <c r="Z1444" t="s">
        <v>691</v>
      </c>
      <c r="AA1444" t="s">
        <v>832</v>
      </c>
    </row>
    <row r="1445" spans="1:27" ht="14.4" hidden="1" customHeight="1" x14ac:dyDescent="0.3">
      <c r="A1445" s="4" t="s">
        <v>0</v>
      </c>
      <c r="B1445" s="4" t="s">
        <v>17</v>
      </c>
      <c r="C1445" s="16" t="s">
        <v>18</v>
      </c>
      <c r="D1445" s="4">
        <v>10</v>
      </c>
      <c r="E1445" s="4" t="s">
        <v>745</v>
      </c>
      <c r="F1445" t="s">
        <v>89</v>
      </c>
      <c r="G1445" t="s">
        <v>85</v>
      </c>
      <c r="J1445" s="4" t="s">
        <v>88</v>
      </c>
      <c r="K1445" s="4" t="s">
        <v>21</v>
      </c>
      <c r="L1445" s="4" t="s">
        <v>742</v>
      </c>
      <c r="M1445" s="17">
        <v>23</v>
      </c>
      <c r="N1445" s="17">
        <v>870</v>
      </c>
      <c r="O1445" s="18" t="s">
        <v>88</v>
      </c>
      <c r="P1445" s="18">
        <v>870</v>
      </c>
      <c r="Q1445" s="18">
        <v>23</v>
      </c>
      <c r="R1445" s="18" t="s">
        <v>814</v>
      </c>
      <c r="S1445" s="18" t="s">
        <v>806</v>
      </c>
      <c r="T1445" s="18" t="s">
        <v>780</v>
      </c>
      <c r="U14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45" s="19">
        <f>IF(AUDITORIA[[#This Row],[CAT]]="",0,1)</f>
        <v>1</v>
      </c>
      <c r="W1445" s="20">
        <v>46197</v>
      </c>
      <c r="X1445" s="21" t="str">
        <f>UPPER(IF(AUDITORIA[[#This Row],[DATA VERIFICAÇÃO]]="","",TEXT(AUDITORIA[[#This Row],[DATA VERIFICAÇÃO]],"mmm")))</f>
        <v>JUN</v>
      </c>
      <c r="Y1445" t="s">
        <v>598</v>
      </c>
      <c r="Z1445" t="s">
        <v>691</v>
      </c>
      <c r="AA1445" t="s">
        <v>832</v>
      </c>
    </row>
    <row r="1446" spans="1:27" ht="14.4" hidden="1" customHeight="1" x14ac:dyDescent="0.3">
      <c r="A1446" s="4" t="s">
        <v>0</v>
      </c>
      <c r="B1446" s="4" t="s">
        <v>17</v>
      </c>
      <c r="C1446" s="16" t="s">
        <v>18</v>
      </c>
      <c r="D1446" s="4">
        <v>10</v>
      </c>
      <c r="E1446" s="4" t="s">
        <v>745</v>
      </c>
      <c r="F1446" t="s">
        <v>84</v>
      </c>
      <c r="G1446" t="s">
        <v>85</v>
      </c>
      <c r="J1446" s="4" t="s">
        <v>88</v>
      </c>
      <c r="K1446" s="4" t="s">
        <v>20</v>
      </c>
      <c r="L1446" s="4" t="s">
        <v>742</v>
      </c>
      <c r="M1446" s="17">
        <v>24</v>
      </c>
      <c r="N1446" s="17">
        <v>743</v>
      </c>
      <c r="O1446" s="18" t="s">
        <v>88</v>
      </c>
      <c r="P1446" s="18">
        <v>743</v>
      </c>
      <c r="Q1446" s="18">
        <v>24</v>
      </c>
      <c r="R1446" s="18" t="s">
        <v>778</v>
      </c>
      <c r="S1446" s="18" t="s">
        <v>786</v>
      </c>
      <c r="T1446" s="18" t="s">
        <v>780</v>
      </c>
      <c r="U14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46" s="19">
        <f>IF(AUDITORIA[[#This Row],[CAT]]="",0,1)</f>
        <v>1</v>
      </c>
      <c r="W1446" s="20">
        <v>46197</v>
      </c>
      <c r="X1446" s="21" t="str">
        <f>UPPER(IF(AUDITORIA[[#This Row],[DATA VERIFICAÇÃO]]="","",TEXT(AUDITORIA[[#This Row],[DATA VERIFICAÇÃO]],"mmm")))</f>
        <v>JUN</v>
      </c>
      <c r="Y1446" t="s">
        <v>598</v>
      </c>
      <c r="Z1446" t="s">
        <v>691</v>
      </c>
      <c r="AA1446" t="s">
        <v>832</v>
      </c>
    </row>
    <row r="1447" spans="1:27" ht="14.4" hidden="1" customHeight="1" x14ac:dyDescent="0.3">
      <c r="A1447" s="4" t="s">
        <v>0</v>
      </c>
      <c r="B1447" s="4" t="s">
        <v>17</v>
      </c>
      <c r="C1447" s="16" t="s">
        <v>18</v>
      </c>
      <c r="D1447" s="4">
        <v>10</v>
      </c>
      <c r="E1447" s="4" t="s">
        <v>745</v>
      </c>
      <c r="F1447" t="s">
        <v>82</v>
      </c>
      <c r="G1447" t="s">
        <v>836</v>
      </c>
      <c r="J1447" s="4" t="s">
        <v>55</v>
      </c>
      <c r="K1447" s="4" t="s">
        <v>21</v>
      </c>
      <c r="L1447" s="4" t="s">
        <v>742</v>
      </c>
      <c r="M1447" s="17">
        <v>27</v>
      </c>
      <c r="N1447" s="17">
        <v>954</v>
      </c>
      <c r="O1447" s="18" t="s">
        <v>55</v>
      </c>
      <c r="P1447" s="18">
        <v>954</v>
      </c>
      <c r="Q1447" s="18">
        <v>27</v>
      </c>
      <c r="R1447" s="18" t="s">
        <v>814</v>
      </c>
      <c r="S1447" s="18" t="s">
        <v>800</v>
      </c>
      <c r="T1447" s="18" t="s">
        <v>780</v>
      </c>
      <c r="U14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47" s="19">
        <f>IF(AUDITORIA[[#This Row],[CAT]]="",0,1)</f>
        <v>1</v>
      </c>
      <c r="W1447" s="20">
        <v>46197</v>
      </c>
      <c r="X1447" s="21" t="str">
        <f>UPPER(IF(AUDITORIA[[#This Row],[DATA VERIFICAÇÃO]]="","",TEXT(AUDITORIA[[#This Row],[DATA VERIFICAÇÃO]],"mmm")))</f>
        <v>JUN</v>
      </c>
      <c r="Y1447" t="s">
        <v>598</v>
      </c>
      <c r="Z1447" t="s">
        <v>691</v>
      </c>
      <c r="AA1447" t="s">
        <v>832</v>
      </c>
    </row>
    <row r="1448" spans="1:27" ht="14.4" hidden="1" customHeight="1" x14ac:dyDescent="0.3">
      <c r="A1448" s="4" t="s">
        <v>0</v>
      </c>
      <c r="B1448" s="4" t="s">
        <v>17</v>
      </c>
      <c r="C1448" s="16" t="s">
        <v>18</v>
      </c>
      <c r="D1448" s="4">
        <v>10</v>
      </c>
      <c r="E1448" s="4" t="s">
        <v>745</v>
      </c>
      <c r="F1448" t="s">
        <v>83</v>
      </c>
      <c r="G1448" t="s">
        <v>836</v>
      </c>
      <c r="J1448" s="4" t="s">
        <v>55</v>
      </c>
      <c r="K1448" s="4" t="s">
        <v>20</v>
      </c>
      <c r="L1448" s="4" t="s">
        <v>742</v>
      </c>
      <c r="M1448" s="17">
        <v>30</v>
      </c>
      <c r="N1448" s="17">
        <v>765</v>
      </c>
      <c r="O1448" s="18" t="s">
        <v>55</v>
      </c>
      <c r="P1448" s="18">
        <v>765</v>
      </c>
      <c r="Q1448" s="18">
        <v>30</v>
      </c>
      <c r="R1448" s="18" t="s">
        <v>814</v>
      </c>
      <c r="S1448" s="18" t="s">
        <v>807</v>
      </c>
      <c r="T1448" s="18" t="s">
        <v>780</v>
      </c>
      <c r="U14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48" s="19">
        <f>IF(AUDITORIA[[#This Row],[CAT]]="",0,1)</f>
        <v>1</v>
      </c>
      <c r="W1448" s="20">
        <v>46197</v>
      </c>
      <c r="X1448" s="21" t="str">
        <f>UPPER(IF(AUDITORIA[[#This Row],[DATA VERIFICAÇÃO]]="","",TEXT(AUDITORIA[[#This Row],[DATA VERIFICAÇÃO]],"mmm")))</f>
        <v>JUN</v>
      </c>
      <c r="Y1448" t="s">
        <v>598</v>
      </c>
      <c r="Z1448" t="s">
        <v>691</v>
      </c>
      <c r="AA1448" t="s">
        <v>832</v>
      </c>
    </row>
    <row r="1449" spans="1:27" ht="14.4" hidden="1" customHeight="1" x14ac:dyDescent="0.3">
      <c r="A1449" s="4" t="s">
        <v>0</v>
      </c>
      <c r="B1449" s="4" t="s">
        <v>17</v>
      </c>
      <c r="C1449" s="16" t="s">
        <v>18</v>
      </c>
      <c r="D1449" s="4">
        <v>10</v>
      </c>
      <c r="E1449" s="4" t="s">
        <v>745</v>
      </c>
      <c r="F1449" t="s">
        <v>81</v>
      </c>
      <c r="G1449" t="s">
        <v>836</v>
      </c>
      <c r="J1449" s="4" t="s">
        <v>55</v>
      </c>
      <c r="K1449" s="4" t="s">
        <v>20</v>
      </c>
      <c r="L1449" s="4" t="s">
        <v>742</v>
      </c>
      <c r="M1449" s="17">
        <v>30</v>
      </c>
      <c r="N1449" s="17">
        <v>771</v>
      </c>
      <c r="O1449" s="18" t="s">
        <v>55</v>
      </c>
      <c r="P1449" s="18">
        <v>771</v>
      </c>
      <c r="Q1449" s="18">
        <v>30</v>
      </c>
      <c r="R1449" s="18" t="s">
        <v>814</v>
      </c>
      <c r="S1449" s="18" t="s">
        <v>807</v>
      </c>
      <c r="T1449" s="18" t="s">
        <v>781</v>
      </c>
      <c r="U14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49" s="19">
        <f>IF(AUDITORIA[[#This Row],[CAT]]="",0,1)</f>
        <v>1</v>
      </c>
      <c r="W1449" s="20">
        <v>46197</v>
      </c>
      <c r="X1449" s="21" t="str">
        <f>UPPER(IF(AUDITORIA[[#This Row],[DATA VERIFICAÇÃO]]="","",TEXT(AUDITORIA[[#This Row],[DATA VERIFICAÇÃO]],"mmm")))</f>
        <v>JUN</v>
      </c>
      <c r="Y1449" t="s">
        <v>598</v>
      </c>
      <c r="Z1449" t="s">
        <v>691</v>
      </c>
      <c r="AA1449" t="s">
        <v>832</v>
      </c>
    </row>
    <row r="1450" spans="1:27" ht="14.4" hidden="1" customHeight="1" x14ac:dyDescent="0.3">
      <c r="A1450" s="4" t="s">
        <v>0</v>
      </c>
      <c r="B1450" s="4" t="s">
        <v>17</v>
      </c>
      <c r="C1450" s="16" t="s">
        <v>18</v>
      </c>
      <c r="D1450" s="4">
        <v>10</v>
      </c>
      <c r="E1450" s="4" t="s">
        <v>745</v>
      </c>
      <c r="F1450" t="s">
        <v>79</v>
      </c>
      <c r="G1450" t="s">
        <v>836</v>
      </c>
      <c r="J1450" s="4" t="s">
        <v>55</v>
      </c>
      <c r="K1450" s="4" t="s">
        <v>21</v>
      </c>
      <c r="L1450" s="4" t="s">
        <v>742</v>
      </c>
      <c r="M1450" s="17">
        <v>27</v>
      </c>
      <c r="N1450" s="17">
        <v>972</v>
      </c>
      <c r="O1450" s="18" t="s">
        <v>55</v>
      </c>
      <c r="P1450" s="18">
        <v>972</v>
      </c>
      <c r="Q1450" s="18">
        <v>27</v>
      </c>
      <c r="R1450" s="18" t="s">
        <v>814</v>
      </c>
      <c r="S1450" s="18" t="s">
        <v>808</v>
      </c>
      <c r="T1450" s="18" t="s">
        <v>780</v>
      </c>
      <c r="U14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50" s="19">
        <f>IF(AUDITORIA[[#This Row],[CAT]]="",0,1)</f>
        <v>1</v>
      </c>
      <c r="W1450" s="20">
        <v>46197</v>
      </c>
      <c r="X1450" s="21" t="str">
        <f>UPPER(IF(AUDITORIA[[#This Row],[DATA VERIFICAÇÃO]]="","",TEXT(AUDITORIA[[#This Row],[DATA VERIFICAÇÃO]],"mmm")))</f>
        <v>JUN</v>
      </c>
      <c r="Y1450" t="s">
        <v>598</v>
      </c>
      <c r="Z1450" t="s">
        <v>691</v>
      </c>
      <c r="AA1450" t="s">
        <v>832</v>
      </c>
    </row>
    <row r="1451" spans="1:27" ht="14.4" hidden="1" customHeight="1" x14ac:dyDescent="0.3">
      <c r="A1451" s="4" t="s">
        <v>0</v>
      </c>
      <c r="B1451" s="4" t="s">
        <v>17</v>
      </c>
      <c r="C1451" s="16" t="s">
        <v>18</v>
      </c>
      <c r="D1451" s="4">
        <v>10</v>
      </c>
      <c r="E1451" s="4" t="s">
        <v>745</v>
      </c>
      <c r="F1451" t="s">
        <v>80</v>
      </c>
      <c r="G1451" t="s">
        <v>836</v>
      </c>
      <c r="J1451" s="4" t="s">
        <v>55</v>
      </c>
      <c r="K1451" s="4" t="s">
        <v>20</v>
      </c>
      <c r="L1451" s="4" t="s">
        <v>742</v>
      </c>
      <c r="M1451" s="17">
        <v>30</v>
      </c>
      <c r="N1451" s="17">
        <v>780</v>
      </c>
      <c r="O1451" s="18" t="s">
        <v>55</v>
      </c>
      <c r="P1451" s="18">
        <v>780</v>
      </c>
      <c r="Q1451" s="18">
        <v>30</v>
      </c>
      <c r="R1451" s="18" t="s">
        <v>814</v>
      </c>
      <c r="S1451" s="18" t="s">
        <v>806</v>
      </c>
      <c r="T1451" s="18" t="s">
        <v>782</v>
      </c>
      <c r="U14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51" s="19">
        <f>IF(AUDITORIA[[#This Row],[CAT]]="",0,1)</f>
        <v>1</v>
      </c>
      <c r="W1451" s="20">
        <v>46197</v>
      </c>
      <c r="X1451" s="21" t="str">
        <f>UPPER(IF(AUDITORIA[[#This Row],[DATA VERIFICAÇÃO]]="","",TEXT(AUDITORIA[[#This Row],[DATA VERIFICAÇÃO]],"mmm")))</f>
        <v>JUN</v>
      </c>
      <c r="Y1451" t="s">
        <v>598</v>
      </c>
      <c r="Z1451" t="s">
        <v>691</v>
      </c>
      <c r="AA1451" t="s">
        <v>832</v>
      </c>
    </row>
    <row r="1452" spans="1:27" ht="14.4" hidden="1" customHeight="1" x14ac:dyDescent="0.3">
      <c r="A1452" s="4" t="s">
        <v>0</v>
      </c>
      <c r="B1452" s="4" t="s">
        <v>17</v>
      </c>
      <c r="C1452" s="16" t="s">
        <v>18</v>
      </c>
      <c r="D1452" s="4">
        <v>10</v>
      </c>
      <c r="E1452" s="4" t="s">
        <v>745</v>
      </c>
      <c r="F1452" t="s">
        <v>78</v>
      </c>
      <c r="G1452" t="s">
        <v>836</v>
      </c>
      <c r="J1452" s="4" t="s">
        <v>55</v>
      </c>
      <c r="K1452" s="4" t="s">
        <v>20</v>
      </c>
      <c r="L1452" s="4" t="s">
        <v>742</v>
      </c>
      <c r="M1452" s="17">
        <v>10</v>
      </c>
      <c r="N1452" s="17">
        <v>767</v>
      </c>
      <c r="O1452" s="18" t="s">
        <v>55</v>
      </c>
      <c r="P1452" s="18">
        <v>767</v>
      </c>
      <c r="Q1452" s="18">
        <v>10</v>
      </c>
      <c r="R1452" s="18" t="s">
        <v>814</v>
      </c>
      <c r="S1452" s="18" t="s">
        <v>797</v>
      </c>
      <c r="T1452" s="18" t="s">
        <v>781</v>
      </c>
      <c r="U14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52" s="19">
        <f>IF(AUDITORIA[[#This Row],[CAT]]="",0,1)</f>
        <v>1</v>
      </c>
      <c r="W1452" s="20">
        <v>46197</v>
      </c>
      <c r="X1452" s="21" t="str">
        <f>UPPER(IF(AUDITORIA[[#This Row],[DATA VERIFICAÇÃO]]="","",TEXT(AUDITORIA[[#This Row],[DATA VERIFICAÇÃO]],"mmm")))</f>
        <v>JUN</v>
      </c>
      <c r="Y1452" t="s">
        <v>598</v>
      </c>
      <c r="Z1452" t="s">
        <v>691</v>
      </c>
      <c r="AA1452" t="s">
        <v>832</v>
      </c>
    </row>
    <row r="1453" spans="1:27" ht="14.4" hidden="1" customHeight="1" x14ac:dyDescent="0.3">
      <c r="A1453" s="4" t="s">
        <v>0</v>
      </c>
      <c r="B1453" s="4" t="s">
        <v>17</v>
      </c>
      <c r="C1453" s="16" t="s">
        <v>18</v>
      </c>
      <c r="D1453" s="4">
        <v>10</v>
      </c>
      <c r="E1453" s="4" t="s">
        <v>745</v>
      </c>
      <c r="F1453" t="s">
        <v>74</v>
      </c>
      <c r="G1453" t="s">
        <v>836</v>
      </c>
      <c r="J1453" s="4" t="s">
        <v>55</v>
      </c>
      <c r="K1453" s="4" t="s">
        <v>21</v>
      </c>
      <c r="L1453" s="4" t="s">
        <v>742</v>
      </c>
      <c r="M1453" s="17">
        <v>6</v>
      </c>
      <c r="N1453" s="17">
        <v>941</v>
      </c>
      <c r="O1453" s="18" t="s">
        <v>55</v>
      </c>
      <c r="P1453" s="18">
        <v>941</v>
      </c>
      <c r="Q1453" s="18">
        <v>6</v>
      </c>
      <c r="R1453" s="18" t="s">
        <v>814</v>
      </c>
      <c r="S1453" s="18" t="s">
        <v>798</v>
      </c>
      <c r="T1453" s="18" t="s">
        <v>794</v>
      </c>
      <c r="U14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53" s="19">
        <f>IF(AUDITORIA[[#This Row],[CAT]]="",0,1)</f>
        <v>1</v>
      </c>
      <c r="W1453" s="20">
        <v>46197</v>
      </c>
      <c r="X1453" s="21" t="str">
        <f>UPPER(IF(AUDITORIA[[#This Row],[DATA VERIFICAÇÃO]]="","",TEXT(AUDITORIA[[#This Row],[DATA VERIFICAÇÃO]],"mmm")))</f>
        <v>JUN</v>
      </c>
      <c r="Y1453" t="s">
        <v>598</v>
      </c>
      <c r="Z1453" t="s">
        <v>691</v>
      </c>
      <c r="AA1453" t="s">
        <v>832</v>
      </c>
    </row>
    <row r="1454" spans="1:27" ht="14.4" hidden="1" customHeight="1" x14ac:dyDescent="0.3">
      <c r="A1454" s="4" t="s">
        <v>0</v>
      </c>
      <c r="B1454" s="4" t="s">
        <v>17</v>
      </c>
      <c r="C1454" s="16" t="s">
        <v>18</v>
      </c>
      <c r="D1454" s="4">
        <v>10</v>
      </c>
      <c r="E1454" s="4" t="s">
        <v>745</v>
      </c>
      <c r="F1454" t="s">
        <v>77</v>
      </c>
      <c r="G1454" t="s">
        <v>836</v>
      </c>
      <c r="J1454" s="4" t="s">
        <v>55</v>
      </c>
      <c r="K1454" s="4" t="s">
        <v>21</v>
      </c>
      <c r="L1454" s="4" t="s">
        <v>742</v>
      </c>
      <c r="M1454" s="17">
        <v>30</v>
      </c>
      <c r="N1454" s="17">
        <v>895</v>
      </c>
      <c r="O1454" s="18" t="s">
        <v>55</v>
      </c>
      <c r="P1454" s="18">
        <v>895</v>
      </c>
      <c r="Q1454" s="18">
        <v>30</v>
      </c>
      <c r="R1454" s="18" t="s">
        <v>814</v>
      </c>
      <c r="S1454" s="18" t="s">
        <v>804</v>
      </c>
      <c r="T1454" s="18" t="s">
        <v>782</v>
      </c>
      <c r="U14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54" s="19">
        <f>IF(AUDITORIA[[#This Row],[CAT]]="",0,1)</f>
        <v>1</v>
      </c>
      <c r="W1454" s="20">
        <v>46197</v>
      </c>
      <c r="X1454" s="21" t="str">
        <f>UPPER(IF(AUDITORIA[[#This Row],[DATA VERIFICAÇÃO]]="","",TEXT(AUDITORIA[[#This Row],[DATA VERIFICAÇÃO]],"mmm")))</f>
        <v>JUN</v>
      </c>
      <c r="Y1454" t="s">
        <v>598</v>
      </c>
      <c r="Z1454" t="s">
        <v>691</v>
      </c>
      <c r="AA1454" t="s">
        <v>832</v>
      </c>
    </row>
    <row r="1455" spans="1:27" ht="14.4" hidden="1" customHeight="1" x14ac:dyDescent="0.3">
      <c r="A1455" s="4" t="s">
        <v>0</v>
      </c>
      <c r="B1455" s="4" t="s">
        <v>17</v>
      </c>
      <c r="C1455" s="16" t="s">
        <v>18</v>
      </c>
      <c r="D1455" s="4">
        <v>10</v>
      </c>
      <c r="E1455" s="4" t="s">
        <v>745</v>
      </c>
      <c r="F1455" t="s">
        <v>76</v>
      </c>
      <c r="G1455" t="s">
        <v>836</v>
      </c>
      <c r="J1455" s="4" t="s">
        <v>55</v>
      </c>
      <c r="K1455" s="4" t="s">
        <v>20</v>
      </c>
      <c r="L1455" s="4" t="s">
        <v>742</v>
      </c>
      <c r="M1455" s="17">
        <v>30</v>
      </c>
      <c r="N1455" s="17">
        <v>695</v>
      </c>
      <c r="O1455" s="18" t="s">
        <v>55</v>
      </c>
      <c r="P1455" s="18">
        <v>695</v>
      </c>
      <c r="Q1455" s="18">
        <v>30</v>
      </c>
      <c r="R1455" s="18" t="s">
        <v>814</v>
      </c>
      <c r="S1455" s="18" t="s">
        <v>807</v>
      </c>
      <c r="T1455" s="18" t="s">
        <v>782</v>
      </c>
      <c r="U14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55" s="19">
        <f>IF(AUDITORIA[[#This Row],[CAT]]="",0,1)</f>
        <v>1</v>
      </c>
      <c r="W1455" s="20">
        <v>46197</v>
      </c>
      <c r="X1455" s="21" t="str">
        <f>UPPER(IF(AUDITORIA[[#This Row],[DATA VERIFICAÇÃO]]="","",TEXT(AUDITORIA[[#This Row],[DATA VERIFICAÇÃO]],"mmm")))</f>
        <v>JUN</v>
      </c>
      <c r="Y1455" t="s">
        <v>598</v>
      </c>
      <c r="Z1455" t="s">
        <v>691</v>
      </c>
      <c r="AA1455" t="s">
        <v>832</v>
      </c>
    </row>
    <row r="1456" spans="1:27" ht="14.4" hidden="1" customHeight="1" x14ac:dyDescent="0.3">
      <c r="A1456" s="4" t="s">
        <v>0</v>
      </c>
      <c r="B1456" s="4" t="s">
        <v>17</v>
      </c>
      <c r="C1456" s="16" t="s">
        <v>18</v>
      </c>
      <c r="D1456" s="4">
        <v>10</v>
      </c>
      <c r="E1456" s="4" t="s">
        <v>745</v>
      </c>
      <c r="F1456" t="s">
        <v>75</v>
      </c>
      <c r="G1456" t="s">
        <v>836</v>
      </c>
      <c r="J1456" s="4" t="s">
        <v>55</v>
      </c>
      <c r="K1456" s="4" t="s">
        <v>21</v>
      </c>
      <c r="L1456" s="4" t="s">
        <v>742</v>
      </c>
      <c r="M1456" s="17">
        <v>30</v>
      </c>
      <c r="N1456" s="17">
        <v>879</v>
      </c>
      <c r="O1456" s="18" t="s">
        <v>55</v>
      </c>
      <c r="P1456" s="18">
        <v>879</v>
      </c>
      <c r="Q1456" s="18">
        <v>30</v>
      </c>
      <c r="R1456" s="18" t="s">
        <v>814</v>
      </c>
      <c r="S1456" s="18" t="s">
        <v>809</v>
      </c>
      <c r="T1456" s="18" t="s">
        <v>780</v>
      </c>
      <c r="U14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56" s="19">
        <f>IF(AUDITORIA[[#This Row],[CAT]]="",0,1)</f>
        <v>1</v>
      </c>
      <c r="W1456" s="20">
        <v>46197</v>
      </c>
      <c r="X1456" s="21" t="str">
        <f>UPPER(IF(AUDITORIA[[#This Row],[DATA VERIFICAÇÃO]]="","",TEXT(AUDITORIA[[#This Row],[DATA VERIFICAÇÃO]],"mmm")))</f>
        <v>JUN</v>
      </c>
      <c r="Y1456" t="s">
        <v>598</v>
      </c>
      <c r="Z1456" t="s">
        <v>691</v>
      </c>
      <c r="AA1456" t="s">
        <v>832</v>
      </c>
    </row>
    <row r="1457" spans="1:27" ht="14.4" hidden="1" customHeight="1" x14ac:dyDescent="0.3">
      <c r="A1457" s="4" t="s">
        <v>0</v>
      </c>
      <c r="B1457" s="4" t="s">
        <v>17</v>
      </c>
      <c r="C1457" s="16" t="s">
        <v>18</v>
      </c>
      <c r="D1457" s="4">
        <v>10</v>
      </c>
      <c r="E1457" s="4" t="s">
        <v>745</v>
      </c>
      <c r="F1457" t="s">
        <v>71</v>
      </c>
      <c r="G1457" t="s">
        <v>836</v>
      </c>
      <c r="J1457" s="4" t="s">
        <v>55</v>
      </c>
      <c r="K1457" s="4" t="s">
        <v>20</v>
      </c>
      <c r="L1457" s="4" t="s">
        <v>742</v>
      </c>
      <c r="M1457" s="17">
        <v>30</v>
      </c>
      <c r="N1457" s="17">
        <v>694</v>
      </c>
      <c r="O1457" s="18" t="s">
        <v>55</v>
      </c>
      <c r="P1457" s="18">
        <v>694</v>
      </c>
      <c r="Q1457" s="18">
        <v>30</v>
      </c>
      <c r="R1457" s="18" t="s">
        <v>814</v>
      </c>
      <c r="S1457" s="18" t="s">
        <v>804</v>
      </c>
      <c r="T1457" s="18" t="s">
        <v>781</v>
      </c>
      <c r="U14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57" s="19">
        <f>IF(AUDITORIA[[#This Row],[CAT]]="",0,1)</f>
        <v>1</v>
      </c>
      <c r="W1457" s="20">
        <v>46197</v>
      </c>
      <c r="X1457" s="21" t="str">
        <f>UPPER(IF(AUDITORIA[[#This Row],[DATA VERIFICAÇÃO]]="","",TEXT(AUDITORIA[[#This Row],[DATA VERIFICAÇÃO]],"mmm")))</f>
        <v>JUN</v>
      </c>
      <c r="Y1457" t="s">
        <v>598</v>
      </c>
      <c r="Z1457" t="s">
        <v>691</v>
      </c>
      <c r="AA1457" t="s">
        <v>832</v>
      </c>
    </row>
    <row r="1458" spans="1:27" ht="14.4" hidden="1" customHeight="1" x14ac:dyDescent="0.3">
      <c r="A1458" s="4" t="s">
        <v>0</v>
      </c>
      <c r="B1458" s="4" t="s">
        <v>17</v>
      </c>
      <c r="C1458" s="16" t="s">
        <v>18</v>
      </c>
      <c r="D1458" s="4">
        <v>10</v>
      </c>
      <c r="E1458" s="4" t="s">
        <v>745</v>
      </c>
      <c r="F1458" t="s">
        <v>73</v>
      </c>
      <c r="G1458" t="s">
        <v>836</v>
      </c>
      <c r="J1458" s="4" t="s">
        <v>55</v>
      </c>
      <c r="K1458" s="4" t="s">
        <v>21</v>
      </c>
      <c r="L1458" s="4" t="s">
        <v>742</v>
      </c>
      <c r="M1458" s="17">
        <v>30</v>
      </c>
      <c r="N1458" s="17">
        <v>882</v>
      </c>
      <c r="O1458" s="18" t="s">
        <v>55</v>
      </c>
      <c r="P1458" s="18">
        <v>882</v>
      </c>
      <c r="Q1458" s="18">
        <v>30</v>
      </c>
      <c r="R1458" s="18" t="s">
        <v>778</v>
      </c>
      <c r="S1458" s="18" t="s">
        <v>783</v>
      </c>
      <c r="T1458" s="18" t="s">
        <v>782</v>
      </c>
      <c r="U14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58" s="19">
        <f>IF(AUDITORIA[[#This Row],[CAT]]="",0,1)</f>
        <v>1</v>
      </c>
      <c r="W1458" s="20">
        <v>46197</v>
      </c>
      <c r="X1458" s="21" t="str">
        <f>UPPER(IF(AUDITORIA[[#This Row],[DATA VERIFICAÇÃO]]="","",TEXT(AUDITORIA[[#This Row],[DATA VERIFICAÇÃO]],"mmm")))</f>
        <v>JUN</v>
      </c>
      <c r="Y1458" t="s">
        <v>598</v>
      </c>
      <c r="Z1458" t="s">
        <v>691</v>
      </c>
      <c r="AA1458" t="s">
        <v>832</v>
      </c>
    </row>
    <row r="1459" spans="1:27" ht="14.4" hidden="1" customHeight="1" x14ac:dyDescent="0.3">
      <c r="A1459" s="4" t="s">
        <v>0</v>
      </c>
      <c r="B1459" s="4" t="s">
        <v>17</v>
      </c>
      <c r="C1459" s="16" t="s">
        <v>18</v>
      </c>
      <c r="D1459" s="4">
        <v>10</v>
      </c>
      <c r="E1459" s="4" t="s">
        <v>745</v>
      </c>
      <c r="F1459" t="s">
        <v>72</v>
      </c>
      <c r="G1459" t="s">
        <v>836</v>
      </c>
      <c r="J1459" s="4" t="s">
        <v>55</v>
      </c>
      <c r="K1459" s="4" t="s">
        <v>21</v>
      </c>
      <c r="L1459" s="4" t="s">
        <v>742</v>
      </c>
      <c r="M1459" s="17">
        <v>27</v>
      </c>
      <c r="N1459" s="17">
        <v>921</v>
      </c>
      <c r="O1459" s="18" t="s">
        <v>55</v>
      </c>
      <c r="P1459" s="18">
        <v>921</v>
      </c>
      <c r="Q1459" s="18">
        <v>27</v>
      </c>
      <c r="R1459" s="18" t="s">
        <v>814</v>
      </c>
      <c r="S1459" s="18" t="s">
        <v>808</v>
      </c>
      <c r="T1459" s="18" t="s">
        <v>781</v>
      </c>
      <c r="U14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59" s="19">
        <f>IF(AUDITORIA[[#This Row],[CAT]]="",0,1)</f>
        <v>1</v>
      </c>
      <c r="W1459" s="20">
        <v>46197</v>
      </c>
      <c r="X1459" s="21" t="str">
        <f>UPPER(IF(AUDITORIA[[#This Row],[DATA VERIFICAÇÃO]]="","",TEXT(AUDITORIA[[#This Row],[DATA VERIFICAÇÃO]],"mmm")))</f>
        <v>JUN</v>
      </c>
      <c r="Y1459" t="s">
        <v>598</v>
      </c>
      <c r="Z1459" t="s">
        <v>691</v>
      </c>
      <c r="AA1459" t="s">
        <v>832</v>
      </c>
    </row>
    <row r="1460" spans="1:27" ht="14.4" hidden="1" customHeight="1" x14ac:dyDescent="0.3">
      <c r="A1460" s="4" t="s">
        <v>0</v>
      </c>
      <c r="B1460" s="4" t="s">
        <v>17</v>
      </c>
      <c r="C1460" s="16" t="s">
        <v>18</v>
      </c>
      <c r="D1460" s="4">
        <v>10</v>
      </c>
      <c r="E1460" s="4" t="s">
        <v>745</v>
      </c>
      <c r="F1460" t="s">
        <v>70</v>
      </c>
      <c r="G1460" t="s">
        <v>836</v>
      </c>
      <c r="J1460" s="4" t="s">
        <v>55</v>
      </c>
      <c r="K1460" s="4" t="s">
        <v>21</v>
      </c>
      <c r="L1460" s="4" t="s">
        <v>742</v>
      </c>
      <c r="M1460" s="17">
        <v>30</v>
      </c>
      <c r="N1460" s="17">
        <v>898</v>
      </c>
      <c r="O1460" s="18" t="s">
        <v>55</v>
      </c>
      <c r="P1460" s="18">
        <v>898</v>
      </c>
      <c r="Q1460" s="18">
        <v>30</v>
      </c>
      <c r="R1460" s="18" t="s">
        <v>814</v>
      </c>
      <c r="S1460" s="18" t="s">
        <v>800</v>
      </c>
      <c r="T1460" s="18" t="s">
        <v>781</v>
      </c>
      <c r="U14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60" s="19">
        <f>IF(AUDITORIA[[#This Row],[CAT]]="",0,1)</f>
        <v>1</v>
      </c>
      <c r="W1460" s="20">
        <v>46197</v>
      </c>
      <c r="X1460" s="21" t="str">
        <f>UPPER(IF(AUDITORIA[[#This Row],[DATA VERIFICAÇÃO]]="","",TEXT(AUDITORIA[[#This Row],[DATA VERIFICAÇÃO]],"mmm")))</f>
        <v>JUN</v>
      </c>
      <c r="Y1460" t="s">
        <v>598</v>
      </c>
      <c r="Z1460" t="s">
        <v>691</v>
      </c>
      <c r="AA1460" t="s">
        <v>832</v>
      </c>
    </row>
    <row r="1461" spans="1:27" ht="14.4" hidden="1" customHeight="1" x14ac:dyDescent="0.3">
      <c r="A1461" s="4" t="s">
        <v>0</v>
      </c>
      <c r="B1461" s="4" t="s">
        <v>17</v>
      </c>
      <c r="C1461" s="16" t="s">
        <v>18</v>
      </c>
      <c r="D1461" s="4">
        <v>10</v>
      </c>
      <c r="E1461" s="4" t="s">
        <v>745</v>
      </c>
      <c r="F1461" t="s">
        <v>65</v>
      </c>
      <c r="G1461" t="s">
        <v>836</v>
      </c>
      <c r="J1461" s="4" t="s">
        <v>55</v>
      </c>
      <c r="K1461" s="4" t="s">
        <v>20</v>
      </c>
      <c r="L1461" s="4" t="s">
        <v>742</v>
      </c>
      <c r="M1461" s="17">
        <v>30</v>
      </c>
      <c r="N1461" s="17">
        <v>696</v>
      </c>
      <c r="O1461" s="18" t="s">
        <v>55</v>
      </c>
      <c r="P1461" s="18">
        <v>696</v>
      </c>
      <c r="Q1461" s="18">
        <v>30</v>
      </c>
      <c r="R1461" s="18" t="s">
        <v>814</v>
      </c>
      <c r="S1461" s="18" t="s">
        <v>804</v>
      </c>
      <c r="T1461" s="18" t="s">
        <v>780</v>
      </c>
      <c r="U14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61" s="19">
        <f>IF(AUDITORIA[[#This Row],[CAT]]="",0,1)</f>
        <v>1</v>
      </c>
      <c r="W1461" s="20">
        <v>46197</v>
      </c>
      <c r="X1461" s="21" t="str">
        <f>UPPER(IF(AUDITORIA[[#This Row],[DATA VERIFICAÇÃO]]="","",TEXT(AUDITORIA[[#This Row],[DATA VERIFICAÇÃO]],"mmm")))</f>
        <v>JUN</v>
      </c>
      <c r="Y1461" t="s">
        <v>598</v>
      </c>
      <c r="Z1461" t="s">
        <v>691</v>
      </c>
      <c r="AA1461" t="s">
        <v>832</v>
      </c>
    </row>
    <row r="1462" spans="1:27" ht="14.4" hidden="1" customHeight="1" x14ac:dyDescent="0.3">
      <c r="A1462" s="4" t="s">
        <v>0</v>
      </c>
      <c r="B1462" s="4" t="s">
        <v>17</v>
      </c>
      <c r="C1462" s="16" t="s">
        <v>18</v>
      </c>
      <c r="D1462" s="4">
        <v>10</v>
      </c>
      <c r="E1462" s="4" t="s">
        <v>745</v>
      </c>
      <c r="F1462" t="s">
        <v>69</v>
      </c>
      <c r="G1462" t="s">
        <v>836</v>
      </c>
      <c r="J1462" s="4" t="s">
        <v>55</v>
      </c>
      <c r="K1462" s="4" t="s">
        <v>21</v>
      </c>
      <c r="L1462" s="4" t="s">
        <v>742</v>
      </c>
      <c r="M1462" s="17">
        <v>30</v>
      </c>
      <c r="N1462" s="17">
        <v>904</v>
      </c>
      <c r="O1462" s="18" t="s">
        <v>55</v>
      </c>
      <c r="P1462" s="18">
        <v>904</v>
      </c>
      <c r="Q1462" s="18">
        <v>30</v>
      </c>
      <c r="R1462" s="18" t="s">
        <v>814</v>
      </c>
      <c r="S1462" s="18" t="s">
        <v>805</v>
      </c>
      <c r="T1462" s="18" t="s">
        <v>780</v>
      </c>
      <c r="U14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62" s="19">
        <f>IF(AUDITORIA[[#This Row],[CAT]]="",0,1)</f>
        <v>1</v>
      </c>
      <c r="W1462" s="20">
        <v>46197</v>
      </c>
      <c r="X1462" s="21" t="str">
        <f>UPPER(IF(AUDITORIA[[#This Row],[DATA VERIFICAÇÃO]]="","",TEXT(AUDITORIA[[#This Row],[DATA VERIFICAÇÃO]],"mmm")))</f>
        <v>JUN</v>
      </c>
      <c r="Y1462" t="s">
        <v>598</v>
      </c>
      <c r="Z1462" t="s">
        <v>691</v>
      </c>
      <c r="AA1462" t="s">
        <v>832</v>
      </c>
    </row>
    <row r="1463" spans="1:27" ht="14.4" hidden="1" customHeight="1" x14ac:dyDescent="0.3">
      <c r="A1463" s="4" t="s">
        <v>0</v>
      </c>
      <c r="B1463" s="4" t="s">
        <v>17</v>
      </c>
      <c r="C1463" s="16" t="s">
        <v>18</v>
      </c>
      <c r="D1463" s="4">
        <v>10</v>
      </c>
      <c r="E1463" s="4" t="s">
        <v>745</v>
      </c>
      <c r="F1463" t="s">
        <v>64</v>
      </c>
      <c r="G1463" t="s">
        <v>837</v>
      </c>
      <c r="J1463" s="4" t="s">
        <v>55</v>
      </c>
      <c r="K1463" s="4" t="s">
        <v>20</v>
      </c>
      <c r="L1463" s="4" t="s">
        <v>742</v>
      </c>
      <c r="M1463" s="17">
        <v>30</v>
      </c>
      <c r="N1463" s="17">
        <v>697</v>
      </c>
      <c r="O1463" s="18" t="s">
        <v>55</v>
      </c>
      <c r="P1463" s="18">
        <v>697</v>
      </c>
      <c r="Q1463" s="18">
        <v>30</v>
      </c>
      <c r="R1463" s="18" t="s">
        <v>814</v>
      </c>
      <c r="S1463" s="18" t="s">
        <v>787</v>
      </c>
      <c r="T1463" s="18" t="s">
        <v>780</v>
      </c>
      <c r="U14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63" s="19">
        <f>IF(AUDITORIA[[#This Row],[CAT]]="",0,1)</f>
        <v>1</v>
      </c>
      <c r="W1463" s="20">
        <v>46197</v>
      </c>
      <c r="X1463" s="21" t="str">
        <f>UPPER(IF(AUDITORIA[[#This Row],[DATA VERIFICAÇÃO]]="","",TEXT(AUDITORIA[[#This Row],[DATA VERIFICAÇÃO]],"mmm")))</f>
        <v>JUN</v>
      </c>
      <c r="Y1463" t="s">
        <v>598</v>
      </c>
      <c r="Z1463" t="s">
        <v>691</v>
      </c>
      <c r="AA1463" t="s">
        <v>832</v>
      </c>
    </row>
    <row r="1464" spans="1:27" ht="14.4" hidden="1" customHeight="1" x14ac:dyDescent="0.3">
      <c r="A1464" s="4" t="s">
        <v>0</v>
      </c>
      <c r="B1464" s="4" t="s">
        <v>17</v>
      </c>
      <c r="C1464" s="16" t="s">
        <v>18</v>
      </c>
      <c r="D1464" s="4">
        <v>10</v>
      </c>
      <c r="E1464" s="4" t="s">
        <v>745</v>
      </c>
      <c r="F1464" t="s">
        <v>63</v>
      </c>
      <c r="G1464" t="s">
        <v>837</v>
      </c>
      <c r="J1464" s="4" t="s">
        <v>55</v>
      </c>
      <c r="K1464" s="4" t="s">
        <v>21</v>
      </c>
      <c r="L1464" s="4" t="s">
        <v>742</v>
      </c>
      <c r="M1464" s="17">
        <v>30</v>
      </c>
      <c r="N1464" s="17">
        <v>854</v>
      </c>
      <c r="O1464" s="18" t="s">
        <v>55</v>
      </c>
      <c r="P1464" s="18">
        <v>854</v>
      </c>
      <c r="Q1464" s="18">
        <v>30</v>
      </c>
      <c r="R1464" s="18" t="s">
        <v>814</v>
      </c>
      <c r="S1464" s="18" t="s">
        <v>789</v>
      </c>
      <c r="T1464" s="18" t="s">
        <v>780</v>
      </c>
      <c r="U14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64" s="19">
        <f>IF(AUDITORIA[[#This Row],[CAT]]="",0,1)</f>
        <v>1</v>
      </c>
      <c r="W1464" s="20">
        <v>46197</v>
      </c>
      <c r="X1464" s="21" t="str">
        <f>UPPER(IF(AUDITORIA[[#This Row],[DATA VERIFICAÇÃO]]="","",TEXT(AUDITORIA[[#This Row],[DATA VERIFICAÇÃO]],"mmm")))</f>
        <v>JUN</v>
      </c>
      <c r="Y1464" t="s">
        <v>598</v>
      </c>
      <c r="Z1464" t="s">
        <v>691</v>
      </c>
      <c r="AA1464" t="s">
        <v>832</v>
      </c>
    </row>
    <row r="1465" spans="1:27" ht="14.4" hidden="1" customHeight="1" x14ac:dyDescent="0.3">
      <c r="A1465" s="4" t="s">
        <v>0</v>
      </c>
      <c r="B1465" s="4" t="s">
        <v>17</v>
      </c>
      <c r="C1465" s="16" t="s">
        <v>18</v>
      </c>
      <c r="D1465" s="4">
        <v>10</v>
      </c>
      <c r="E1465" s="4" t="s">
        <v>745</v>
      </c>
      <c r="F1465" t="s">
        <v>62</v>
      </c>
      <c r="G1465" t="s">
        <v>837</v>
      </c>
      <c r="J1465" s="4" t="s">
        <v>55</v>
      </c>
      <c r="K1465" s="4" t="s">
        <v>20</v>
      </c>
      <c r="L1465" s="4" t="s">
        <v>742</v>
      </c>
      <c r="M1465" s="17">
        <v>30</v>
      </c>
      <c r="N1465" s="17">
        <v>680</v>
      </c>
      <c r="O1465" s="18" t="s">
        <v>55</v>
      </c>
      <c r="P1465" s="18">
        <v>680</v>
      </c>
      <c r="Q1465" s="18">
        <v>30</v>
      </c>
      <c r="R1465" s="18" t="s">
        <v>814</v>
      </c>
      <c r="S1465" s="18" t="s">
        <v>787</v>
      </c>
      <c r="T1465" s="18" t="s">
        <v>782</v>
      </c>
      <c r="U14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65" s="19">
        <f>IF(AUDITORIA[[#This Row],[CAT]]="",0,1)</f>
        <v>1</v>
      </c>
      <c r="W1465" s="20">
        <v>46197</v>
      </c>
      <c r="X1465" s="21" t="str">
        <f>UPPER(IF(AUDITORIA[[#This Row],[DATA VERIFICAÇÃO]]="","",TEXT(AUDITORIA[[#This Row],[DATA VERIFICAÇÃO]],"mmm")))</f>
        <v>JUN</v>
      </c>
      <c r="Y1465" t="s">
        <v>598</v>
      </c>
      <c r="Z1465" t="s">
        <v>691</v>
      </c>
      <c r="AA1465" t="s">
        <v>832</v>
      </c>
    </row>
    <row r="1466" spans="1:27" ht="14.4" hidden="1" customHeight="1" x14ac:dyDescent="0.3">
      <c r="A1466" s="4" t="s">
        <v>0</v>
      </c>
      <c r="B1466" s="4" t="s">
        <v>17</v>
      </c>
      <c r="C1466" s="16" t="s">
        <v>18</v>
      </c>
      <c r="D1466" s="4">
        <v>10</v>
      </c>
      <c r="E1466" s="4" t="s">
        <v>745</v>
      </c>
      <c r="F1466" t="s">
        <v>60</v>
      </c>
      <c r="G1466" t="s">
        <v>837</v>
      </c>
      <c r="J1466" s="4" t="s">
        <v>55</v>
      </c>
      <c r="K1466" s="4" t="s">
        <v>21</v>
      </c>
      <c r="L1466" s="4" t="s">
        <v>742</v>
      </c>
      <c r="M1466" s="17">
        <v>30</v>
      </c>
      <c r="N1466" s="17">
        <v>838</v>
      </c>
      <c r="O1466" s="18" t="s">
        <v>55</v>
      </c>
      <c r="P1466" s="18">
        <v>838</v>
      </c>
      <c r="Q1466" s="18">
        <v>30</v>
      </c>
      <c r="R1466" s="18" t="s">
        <v>814</v>
      </c>
      <c r="S1466" s="18" t="s">
        <v>792</v>
      </c>
      <c r="T1466" s="18" t="s">
        <v>782</v>
      </c>
      <c r="U14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66" s="19">
        <f>IF(AUDITORIA[[#This Row],[CAT]]="",0,1)</f>
        <v>1</v>
      </c>
      <c r="W1466" s="20">
        <v>46197</v>
      </c>
      <c r="X1466" s="21" t="str">
        <f>UPPER(IF(AUDITORIA[[#This Row],[DATA VERIFICAÇÃO]]="","",TEXT(AUDITORIA[[#This Row],[DATA VERIFICAÇÃO]],"mmm")))</f>
        <v>JUN</v>
      </c>
      <c r="Y1466" t="s">
        <v>598</v>
      </c>
      <c r="Z1466" t="s">
        <v>691</v>
      </c>
      <c r="AA1466" t="s">
        <v>832</v>
      </c>
    </row>
    <row r="1467" spans="1:27" ht="14.4" hidden="1" customHeight="1" x14ac:dyDescent="0.3">
      <c r="A1467" s="4" t="s">
        <v>0</v>
      </c>
      <c r="B1467" s="4" t="s">
        <v>17</v>
      </c>
      <c r="C1467" s="16" t="s">
        <v>18</v>
      </c>
      <c r="D1467" s="4">
        <v>10</v>
      </c>
      <c r="E1467" s="4" t="s">
        <v>745</v>
      </c>
      <c r="F1467" t="s">
        <v>61</v>
      </c>
      <c r="G1467" t="s">
        <v>837</v>
      </c>
      <c r="J1467" s="4" t="s">
        <v>55</v>
      </c>
      <c r="K1467" s="4" t="s">
        <v>20</v>
      </c>
      <c r="L1467" s="4" t="s">
        <v>742</v>
      </c>
      <c r="M1467" s="17">
        <v>30</v>
      </c>
      <c r="N1467" s="17">
        <v>677</v>
      </c>
      <c r="O1467" s="18" t="s">
        <v>55</v>
      </c>
      <c r="P1467" s="18">
        <v>677</v>
      </c>
      <c r="Q1467" s="18">
        <v>30</v>
      </c>
      <c r="R1467" s="18" t="s">
        <v>814</v>
      </c>
      <c r="S1467" s="18" t="s">
        <v>787</v>
      </c>
      <c r="T1467" s="18" t="s">
        <v>781</v>
      </c>
      <c r="U14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67" s="19">
        <f>IF(AUDITORIA[[#This Row],[CAT]]="",0,1)</f>
        <v>1</v>
      </c>
      <c r="W1467" s="20">
        <v>46197</v>
      </c>
      <c r="X1467" s="21" t="str">
        <f>UPPER(IF(AUDITORIA[[#This Row],[DATA VERIFICAÇÃO]]="","",TEXT(AUDITORIA[[#This Row],[DATA VERIFICAÇÃO]],"mmm")))</f>
        <v>JUN</v>
      </c>
      <c r="Y1467" t="s">
        <v>598</v>
      </c>
      <c r="Z1467" t="s">
        <v>691</v>
      </c>
      <c r="AA1467" t="s">
        <v>832</v>
      </c>
    </row>
    <row r="1468" spans="1:27" ht="14.4" hidden="1" customHeight="1" x14ac:dyDescent="0.3">
      <c r="A1468" s="4" t="s">
        <v>0</v>
      </c>
      <c r="B1468" s="4" t="s">
        <v>17</v>
      </c>
      <c r="C1468" s="16" t="s">
        <v>18</v>
      </c>
      <c r="D1468" s="4">
        <v>10</v>
      </c>
      <c r="E1468" s="4" t="s">
        <v>745</v>
      </c>
      <c r="F1468" t="s">
        <v>59</v>
      </c>
      <c r="G1468" t="s">
        <v>837</v>
      </c>
      <c r="J1468" s="4" t="s">
        <v>55</v>
      </c>
      <c r="K1468" s="4" t="s">
        <v>20</v>
      </c>
      <c r="L1468" s="4" t="s">
        <v>742</v>
      </c>
      <c r="M1468" s="17">
        <v>30</v>
      </c>
      <c r="N1468" s="17">
        <v>690</v>
      </c>
      <c r="O1468" s="18" t="s">
        <v>55</v>
      </c>
      <c r="P1468" s="18">
        <v>690</v>
      </c>
      <c r="Q1468" s="18">
        <v>30</v>
      </c>
      <c r="R1468" s="18" t="s">
        <v>814</v>
      </c>
      <c r="S1468" s="18" t="s">
        <v>785</v>
      </c>
      <c r="T1468" s="18" t="s">
        <v>781</v>
      </c>
      <c r="U14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68" s="19">
        <f>IF(AUDITORIA[[#This Row],[CAT]]="",0,1)</f>
        <v>1</v>
      </c>
      <c r="W1468" s="20">
        <v>46197</v>
      </c>
      <c r="X1468" s="21" t="str">
        <f>UPPER(IF(AUDITORIA[[#This Row],[DATA VERIFICAÇÃO]]="","",TEXT(AUDITORIA[[#This Row],[DATA VERIFICAÇÃO]],"mmm")))</f>
        <v>JUN</v>
      </c>
      <c r="Y1468" t="s">
        <v>598</v>
      </c>
      <c r="Z1468" t="s">
        <v>691</v>
      </c>
      <c r="AA1468" t="s">
        <v>832</v>
      </c>
    </row>
    <row r="1469" spans="1:27" ht="14.4" hidden="1" customHeight="1" x14ac:dyDescent="0.3">
      <c r="A1469" s="4" t="s">
        <v>0</v>
      </c>
      <c r="B1469" s="4" t="s">
        <v>17</v>
      </c>
      <c r="C1469" s="16" t="s">
        <v>18</v>
      </c>
      <c r="D1469" s="4">
        <v>10</v>
      </c>
      <c r="E1469" s="4" t="s">
        <v>745</v>
      </c>
      <c r="F1469" t="s">
        <v>57</v>
      </c>
      <c r="G1469" t="s">
        <v>837</v>
      </c>
      <c r="J1469" s="4" t="s">
        <v>55</v>
      </c>
      <c r="K1469" s="4" t="s">
        <v>21</v>
      </c>
      <c r="L1469" s="4" t="s">
        <v>742</v>
      </c>
      <c r="M1469" s="17">
        <v>30</v>
      </c>
      <c r="N1469" s="17">
        <v>822</v>
      </c>
      <c r="O1469" s="18" t="s">
        <v>55</v>
      </c>
      <c r="P1469" s="18">
        <v>822</v>
      </c>
      <c r="Q1469" s="18">
        <v>30</v>
      </c>
      <c r="R1469" s="18" t="s">
        <v>814</v>
      </c>
      <c r="S1469" s="18" t="s">
        <v>789</v>
      </c>
      <c r="T1469" s="18" t="s">
        <v>781</v>
      </c>
      <c r="U14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69" s="19">
        <f>IF(AUDITORIA[[#This Row],[CAT]]="",0,1)</f>
        <v>1</v>
      </c>
      <c r="W1469" s="20">
        <v>46197</v>
      </c>
      <c r="X1469" s="21" t="str">
        <f>UPPER(IF(AUDITORIA[[#This Row],[DATA VERIFICAÇÃO]]="","",TEXT(AUDITORIA[[#This Row],[DATA VERIFICAÇÃO]],"mmm")))</f>
        <v>JUN</v>
      </c>
      <c r="Y1469" t="s">
        <v>598</v>
      </c>
      <c r="Z1469" t="s">
        <v>691</v>
      </c>
      <c r="AA1469" t="s">
        <v>832</v>
      </c>
    </row>
    <row r="1470" spans="1:27" ht="14.4" hidden="1" customHeight="1" x14ac:dyDescent="0.3">
      <c r="A1470" s="4" t="s">
        <v>0</v>
      </c>
      <c r="B1470" s="4" t="s">
        <v>17</v>
      </c>
      <c r="C1470" s="16" t="s">
        <v>18</v>
      </c>
      <c r="D1470" s="4">
        <v>10</v>
      </c>
      <c r="E1470" s="4" t="s">
        <v>745</v>
      </c>
      <c r="F1470" t="s">
        <v>58</v>
      </c>
      <c r="G1470" t="s">
        <v>837</v>
      </c>
      <c r="J1470" s="4" t="s">
        <v>55</v>
      </c>
      <c r="K1470" s="4" t="s">
        <v>20</v>
      </c>
      <c r="L1470" s="4" t="s">
        <v>742</v>
      </c>
      <c r="M1470" s="17">
        <v>30</v>
      </c>
      <c r="N1470" s="17">
        <v>674</v>
      </c>
      <c r="O1470" s="18" t="s">
        <v>55</v>
      </c>
      <c r="P1470" s="18">
        <v>674</v>
      </c>
      <c r="Q1470" s="18">
        <v>30</v>
      </c>
      <c r="R1470" s="18" t="s">
        <v>814</v>
      </c>
      <c r="S1470" s="18" t="s">
        <v>785</v>
      </c>
      <c r="T1470" s="18" t="s">
        <v>780</v>
      </c>
      <c r="U14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70" s="19">
        <f>IF(AUDITORIA[[#This Row],[CAT]]="",0,1)</f>
        <v>1</v>
      </c>
      <c r="W1470" s="20">
        <v>46197</v>
      </c>
      <c r="X1470" s="21" t="str">
        <f>UPPER(IF(AUDITORIA[[#This Row],[DATA VERIFICAÇÃO]]="","",TEXT(AUDITORIA[[#This Row],[DATA VERIFICAÇÃO]],"mmm")))</f>
        <v>JUN</v>
      </c>
      <c r="Y1470" t="s">
        <v>598</v>
      </c>
      <c r="Z1470" t="s">
        <v>691</v>
      </c>
      <c r="AA1470" t="s">
        <v>832</v>
      </c>
    </row>
    <row r="1471" spans="1:27" ht="14.4" hidden="1" customHeight="1" x14ac:dyDescent="0.3">
      <c r="A1471" s="4" t="s">
        <v>0</v>
      </c>
      <c r="B1471" s="4" t="s">
        <v>17</v>
      </c>
      <c r="C1471" s="16" t="s">
        <v>18</v>
      </c>
      <c r="D1471" s="4">
        <v>10</v>
      </c>
      <c r="E1471" s="4" t="s">
        <v>745</v>
      </c>
      <c r="F1471" t="s">
        <v>56</v>
      </c>
      <c r="G1471" t="s">
        <v>837</v>
      </c>
      <c r="J1471" s="4" t="s">
        <v>55</v>
      </c>
      <c r="K1471" s="4" t="s">
        <v>20</v>
      </c>
      <c r="L1471" s="4" t="s">
        <v>742</v>
      </c>
      <c r="M1471" s="17">
        <v>30</v>
      </c>
      <c r="N1471" s="17">
        <v>639</v>
      </c>
      <c r="O1471" s="18" t="s">
        <v>55</v>
      </c>
      <c r="P1471" s="18">
        <v>639</v>
      </c>
      <c r="Q1471" s="18">
        <v>30</v>
      </c>
      <c r="R1471" s="18" t="s">
        <v>814</v>
      </c>
      <c r="S1471" s="18" t="s">
        <v>785</v>
      </c>
      <c r="T1471" s="18" t="s">
        <v>782</v>
      </c>
      <c r="U14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71" s="19">
        <f>IF(AUDITORIA[[#This Row],[CAT]]="",0,1)</f>
        <v>1</v>
      </c>
      <c r="W1471" s="20">
        <v>46197</v>
      </c>
      <c r="X1471" s="21" t="str">
        <f>UPPER(IF(AUDITORIA[[#This Row],[DATA VERIFICAÇÃO]]="","",TEXT(AUDITORIA[[#This Row],[DATA VERIFICAÇÃO]],"mmm")))</f>
        <v>JUN</v>
      </c>
      <c r="Y1471" t="s">
        <v>598</v>
      </c>
      <c r="Z1471" t="s">
        <v>691</v>
      </c>
      <c r="AA1471" t="s">
        <v>832</v>
      </c>
    </row>
    <row r="1472" spans="1:27" ht="14.4" hidden="1" customHeight="1" x14ac:dyDescent="0.3">
      <c r="A1472" s="4" t="s">
        <v>0</v>
      </c>
      <c r="B1472" s="4" t="s">
        <v>17</v>
      </c>
      <c r="C1472" s="16" t="s">
        <v>18</v>
      </c>
      <c r="D1472" s="4">
        <v>10</v>
      </c>
      <c r="E1472" s="4" t="s">
        <v>745</v>
      </c>
      <c r="F1472" t="s">
        <v>53</v>
      </c>
      <c r="G1472" t="s">
        <v>837</v>
      </c>
      <c r="J1472" s="4" t="s">
        <v>55</v>
      </c>
      <c r="K1472" s="4" t="s">
        <v>21</v>
      </c>
      <c r="L1472" s="4" t="s">
        <v>742</v>
      </c>
      <c r="M1472" s="17">
        <v>10</v>
      </c>
      <c r="N1472" s="17">
        <v>832</v>
      </c>
      <c r="O1472" s="18" t="s">
        <v>55</v>
      </c>
      <c r="P1472" s="18">
        <v>832</v>
      </c>
      <c r="Q1472" s="18">
        <v>10</v>
      </c>
      <c r="R1472" s="18" t="s">
        <v>814</v>
      </c>
      <c r="S1472" s="18" t="s">
        <v>797</v>
      </c>
      <c r="T1472" s="18" t="s">
        <v>782</v>
      </c>
      <c r="U14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72" s="19">
        <f>IF(AUDITORIA[[#This Row],[CAT]]="",0,1)</f>
        <v>1</v>
      </c>
      <c r="W1472" s="20">
        <v>46197</v>
      </c>
      <c r="X1472" s="21" t="str">
        <f>UPPER(IF(AUDITORIA[[#This Row],[DATA VERIFICAÇÃO]]="","",TEXT(AUDITORIA[[#This Row],[DATA VERIFICAÇÃO]],"mmm")))</f>
        <v>JUN</v>
      </c>
      <c r="Y1472" t="s">
        <v>598</v>
      </c>
      <c r="Z1472" t="s">
        <v>691</v>
      </c>
      <c r="AA1472" t="s">
        <v>832</v>
      </c>
    </row>
    <row r="1473" spans="1:27" ht="14.4" hidden="1" customHeight="1" x14ac:dyDescent="0.3">
      <c r="A1473" s="4" t="s">
        <v>0</v>
      </c>
      <c r="B1473" s="4" t="s">
        <v>17</v>
      </c>
      <c r="C1473" s="16" t="s">
        <v>18</v>
      </c>
      <c r="D1473" s="4">
        <v>10</v>
      </c>
      <c r="E1473" s="4" t="s">
        <v>745</v>
      </c>
      <c r="F1473" t="s">
        <v>51</v>
      </c>
      <c r="G1473" t="s">
        <v>838</v>
      </c>
      <c r="J1473" s="4" t="s">
        <v>31</v>
      </c>
      <c r="K1473" s="4" t="s">
        <v>20</v>
      </c>
      <c r="L1473" s="4" t="s">
        <v>742</v>
      </c>
      <c r="M1473" s="17">
        <v>30</v>
      </c>
      <c r="N1473" s="17">
        <v>695</v>
      </c>
      <c r="O1473" s="18" t="s">
        <v>31</v>
      </c>
      <c r="P1473" s="18">
        <v>695</v>
      </c>
      <c r="Q1473" s="18">
        <v>30</v>
      </c>
      <c r="R1473" s="18" t="s">
        <v>814</v>
      </c>
      <c r="S1473" s="18" t="s">
        <v>827</v>
      </c>
      <c r="T1473" s="18" t="s">
        <v>780</v>
      </c>
      <c r="U14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73" s="19">
        <f>IF(AUDITORIA[[#This Row],[CAT]]="",0,1)</f>
        <v>1</v>
      </c>
      <c r="W1473" s="20">
        <v>46197</v>
      </c>
      <c r="X1473" s="21" t="str">
        <f>UPPER(IF(AUDITORIA[[#This Row],[DATA VERIFICAÇÃO]]="","",TEXT(AUDITORIA[[#This Row],[DATA VERIFICAÇÃO]],"mmm")))</f>
        <v>JUN</v>
      </c>
      <c r="Y1473" t="s">
        <v>598</v>
      </c>
      <c r="Z1473" t="s">
        <v>691</v>
      </c>
      <c r="AA1473" t="s">
        <v>832</v>
      </c>
    </row>
    <row r="1474" spans="1:27" ht="14.4" hidden="1" customHeight="1" x14ac:dyDescent="0.3">
      <c r="A1474" s="4" t="s">
        <v>0</v>
      </c>
      <c r="B1474" s="4" t="s">
        <v>17</v>
      </c>
      <c r="C1474" s="16" t="s">
        <v>18</v>
      </c>
      <c r="D1474" s="4">
        <v>10</v>
      </c>
      <c r="E1474" s="4" t="s">
        <v>745</v>
      </c>
      <c r="F1474" t="s">
        <v>52</v>
      </c>
      <c r="G1474" t="s">
        <v>838</v>
      </c>
      <c r="J1474" s="4" t="s">
        <v>31</v>
      </c>
      <c r="K1474" s="4" t="s">
        <v>21</v>
      </c>
      <c r="L1474" s="4" t="s">
        <v>742</v>
      </c>
      <c r="M1474" s="17">
        <v>30</v>
      </c>
      <c r="N1474" s="17">
        <v>819</v>
      </c>
      <c r="O1474" s="18" t="s">
        <v>31</v>
      </c>
      <c r="P1474" s="18">
        <v>819</v>
      </c>
      <c r="Q1474" s="18">
        <v>30</v>
      </c>
      <c r="R1474" s="18" t="s">
        <v>814</v>
      </c>
      <c r="S1474" s="18" t="s">
        <v>791</v>
      </c>
      <c r="T1474" s="18" t="s">
        <v>781</v>
      </c>
      <c r="U14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74" s="19">
        <f>IF(AUDITORIA[[#This Row],[CAT]]="",0,1)</f>
        <v>1</v>
      </c>
      <c r="W1474" s="20">
        <v>46197</v>
      </c>
      <c r="X1474" s="21" t="str">
        <f>UPPER(IF(AUDITORIA[[#This Row],[DATA VERIFICAÇÃO]]="","",TEXT(AUDITORIA[[#This Row],[DATA VERIFICAÇÃO]],"mmm")))</f>
        <v>JUN</v>
      </c>
      <c r="Y1474" t="s">
        <v>598</v>
      </c>
      <c r="Z1474" t="s">
        <v>691</v>
      </c>
      <c r="AA1474" t="s">
        <v>832</v>
      </c>
    </row>
    <row r="1475" spans="1:27" ht="14.4" hidden="1" customHeight="1" x14ac:dyDescent="0.3">
      <c r="A1475" s="4" t="s">
        <v>0</v>
      </c>
      <c r="B1475" s="4" t="s">
        <v>17</v>
      </c>
      <c r="C1475" s="16" t="s">
        <v>18</v>
      </c>
      <c r="D1475" s="4">
        <v>10</v>
      </c>
      <c r="E1475" s="4" t="s">
        <v>745</v>
      </c>
      <c r="F1475" t="s">
        <v>49</v>
      </c>
      <c r="G1475" t="s">
        <v>838</v>
      </c>
      <c r="J1475" s="4" t="s">
        <v>31</v>
      </c>
      <c r="K1475" s="4" t="s">
        <v>21</v>
      </c>
      <c r="L1475" s="4" t="s">
        <v>742</v>
      </c>
      <c r="M1475" s="17">
        <v>30</v>
      </c>
      <c r="N1475" s="17">
        <v>802</v>
      </c>
      <c r="O1475" s="18" t="s">
        <v>31</v>
      </c>
      <c r="P1475" s="18">
        <v>802</v>
      </c>
      <c r="Q1475" s="18">
        <v>30</v>
      </c>
      <c r="R1475" s="18" t="s">
        <v>814</v>
      </c>
      <c r="S1475" s="18" t="s">
        <v>788</v>
      </c>
      <c r="T1475" s="18" t="s">
        <v>781</v>
      </c>
      <c r="U14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75" s="19">
        <f>IF(AUDITORIA[[#This Row],[CAT]]="",0,1)</f>
        <v>1</v>
      </c>
      <c r="W1475" s="20">
        <v>46197</v>
      </c>
      <c r="X1475" s="21" t="str">
        <f>UPPER(IF(AUDITORIA[[#This Row],[DATA VERIFICAÇÃO]]="","",TEXT(AUDITORIA[[#This Row],[DATA VERIFICAÇÃO]],"mmm")))</f>
        <v>JUN</v>
      </c>
      <c r="Y1475" t="s">
        <v>598</v>
      </c>
      <c r="Z1475" t="s">
        <v>691</v>
      </c>
      <c r="AA1475" t="s">
        <v>832</v>
      </c>
    </row>
    <row r="1476" spans="1:27" ht="14.4" hidden="1" customHeight="1" x14ac:dyDescent="0.3">
      <c r="A1476" s="4" t="s">
        <v>0</v>
      </c>
      <c r="B1476" s="4" t="s">
        <v>17</v>
      </c>
      <c r="C1476" s="16" t="s">
        <v>18</v>
      </c>
      <c r="D1476" s="4">
        <v>10</v>
      </c>
      <c r="E1476" s="4" t="s">
        <v>745</v>
      </c>
      <c r="F1476" t="s">
        <v>50</v>
      </c>
      <c r="G1476" t="s">
        <v>838</v>
      </c>
      <c r="J1476" s="4" t="s">
        <v>31</v>
      </c>
      <c r="K1476" s="4" t="s">
        <v>20</v>
      </c>
      <c r="L1476" s="4" t="s">
        <v>742</v>
      </c>
      <c r="M1476" s="17">
        <v>30</v>
      </c>
      <c r="N1476" s="17">
        <v>651</v>
      </c>
      <c r="O1476" s="18" t="s">
        <v>31</v>
      </c>
      <c r="P1476" s="18">
        <v>651</v>
      </c>
      <c r="Q1476" s="18">
        <v>30</v>
      </c>
      <c r="R1476" s="18" t="s">
        <v>814</v>
      </c>
      <c r="S1476" s="18" t="s">
        <v>790</v>
      </c>
      <c r="T1476" s="18" t="s">
        <v>781</v>
      </c>
      <c r="U14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76" s="19">
        <f>IF(AUDITORIA[[#This Row],[CAT]]="",0,1)</f>
        <v>1</v>
      </c>
      <c r="W1476" s="20">
        <v>46197</v>
      </c>
      <c r="X1476" s="21" t="str">
        <f>UPPER(IF(AUDITORIA[[#This Row],[DATA VERIFICAÇÃO]]="","",TEXT(AUDITORIA[[#This Row],[DATA VERIFICAÇÃO]],"mmm")))</f>
        <v>JUN</v>
      </c>
      <c r="Y1476" t="s">
        <v>598</v>
      </c>
      <c r="Z1476" t="s">
        <v>691</v>
      </c>
      <c r="AA1476" t="s">
        <v>832</v>
      </c>
    </row>
    <row r="1477" spans="1:27" ht="14.4" hidden="1" customHeight="1" x14ac:dyDescent="0.3">
      <c r="A1477" s="4" t="s">
        <v>0</v>
      </c>
      <c r="B1477" s="4" t="s">
        <v>17</v>
      </c>
      <c r="C1477" s="16" t="s">
        <v>18</v>
      </c>
      <c r="D1477" s="4">
        <v>10</v>
      </c>
      <c r="E1477" s="4" t="s">
        <v>745</v>
      </c>
      <c r="F1477" t="s">
        <v>47</v>
      </c>
      <c r="G1477" t="s">
        <v>838</v>
      </c>
      <c r="J1477" s="4" t="s">
        <v>31</v>
      </c>
      <c r="K1477" s="4" t="s">
        <v>20</v>
      </c>
      <c r="L1477" s="4" t="s">
        <v>742</v>
      </c>
      <c r="M1477" s="17">
        <v>30</v>
      </c>
      <c r="N1477" s="17">
        <v>646</v>
      </c>
      <c r="O1477" s="18" t="s">
        <v>31</v>
      </c>
      <c r="P1477" s="18">
        <v>646</v>
      </c>
      <c r="Q1477" s="18">
        <v>30</v>
      </c>
      <c r="R1477" s="18" t="s">
        <v>814</v>
      </c>
      <c r="S1477" s="18" t="s">
        <v>790</v>
      </c>
      <c r="T1477" s="18" t="s">
        <v>780</v>
      </c>
      <c r="U14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77" s="19">
        <f>IF(AUDITORIA[[#This Row],[CAT]]="",0,1)</f>
        <v>1</v>
      </c>
      <c r="W1477" s="20">
        <v>46197</v>
      </c>
      <c r="X1477" s="21" t="str">
        <f>UPPER(IF(AUDITORIA[[#This Row],[DATA VERIFICAÇÃO]]="","",TEXT(AUDITORIA[[#This Row],[DATA VERIFICAÇÃO]],"mmm")))</f>
        <v>JUN</v>
      </c>
      <c r="Y1477" t="s">
        <v>598</v>
      </c>
      <c r="Z1477" t="s">
        <v>691</v>
      </c>
      <c r="AA1477" t="s">
        <v>832</v>
      </c>
    </row>
    <row r="1478" spans="1:27" ht="14.4" hidden="1" customHeight="1" x14ac:dyDescent="0.3">
      <c r="A1478" s="4" t="s">
        <v>0</v>
      </c>
      <c r="B1478" s="4" t="s">
        <v>17</v>
      </c>
      <c r="C1478" s="16" t="s">
        <v>18</v>
      </c>
      <c r="D1478" s="4">
        <v>10</v>
      </c>
      <c r="E1478" s="4" t="s">
        <v>745</v>
      </c>
      <c r="F1478" t="s">
        <v>48</v>
      </c>
      <c r="G1478" t="s">
        <v>838</v>
      </c>
      <c r="J1478" s="4" t="s">
        <v>31</v>
      </c>
      <c r="K1478" s="4" t="s">
        <v>21</v>
      </c>
      <c r="L1478" s="4" t="s">
        <v>742</v>
      </c>
      <c r="M1478" s="17">
        <v>30</v>
      </c>
      <c r="N1478" s="17">
        <v>815</v>
      </c>
      <c r="O1478" s="18" t="s">
        <v>31</v>
      </c>
      <c r="P1478" s="18">
        <v>815</v>
      </c>
      <c r="Q1478" s="18">
        <v>30</v>
      </c>
      <c r="R1478" s="18" t="s">
        <v>814</v>
      </c>
      <c r="S1478" s="18" t="s">
        <v>788</v>
      </c>
      <c r="T1478" s="18" t="s">
        <v>780</v>
      </c>
      <c r="U14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78" s="19">
        <f>IF(AUDITORIA[[#This Row],[CAT]]="",0,1)</f>
        <v>1</v>
      </c>
      <c r="W1478" s="20">
        <v>46197</v>
      </c>
      <c r="X1478" s="21" t="str">
        <f>UPPER(IF(AUDITORIA[[#This Row],[DATA VERIFICAÇÃO]]="","",TEXT(AUDITORIA[[#This Row],[DATA VERIFICAÇÃO]],"mmm")))</f>
        <v>JUN</v>
      </c>
      <c r="Y1478" t="s">
        <v>598</v>
      </c>
      <c r="Z1478" t="s">
        <v>691</v>
      </c>
      <c r="AA1478" t="s">
        <v>832</v>
      </c>
    </row>
    <row r="1479" spans="1:27" ht="14.4" hidden="1" customHeight="1" x14ac:dyDescent="0.3">
      <c r="A1479" s="4" t="s">
        <v>0</v>
      </c>
      <c r="B1479" s="4" t="s">
        <v>17</v>
      </c>
      <c r="C1479" s="16" t="s">
        <v>18</v>
      </c>
      <c r="D1479" s="4">
        <v>10</v>
      </c>
      <c r="E1479" s="4" t="s">
        <v>745</v>
      </c>
      <c r="F1479" t="s">
        <v>46</v>
      </c>
      <c r="G1479" t="s">
        <v>838</v>
      </c>
      <c r="J1479" s="4" t="s">
        <v>31</v>
      </c>
      <c r="K1479" s="4" t="s">
        <v>21</v>
      </c>
      <c r="L1479" s="4" t="s">
        <v>742</v>
      </c>
      <c r="M1479" s="17">
        <v>30</v>
      </c>
      <c r="N1479" s="17">
        <v>796</v>
      </c>
      <c r="O1479" s="18" t="s">
        <v>31</v>
      </c>
      <c r="P1479" s="18">
        <v>796</v>
      </c>
      <c r="Q1479" s="18">
        <v>30</v>
      </c>
      <c r="R1479" s="18" t="s">
        <v>814</v>
      </c>
      <c r="S1479" s="18" t="s">
        <v>791</v>
      </c>
      <c r="T1479" s="18" t="s">
        <v>780</v>
      </c>
      <c r="U14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79" s="19">
        <f>IF(AUDITORIA[[#This Row],[CAT]]="",0,1)</f>
        <v>1</v>
      </c>
      <c r="W1479" s="20">
        <v>46197</v>
      </c>
      <c r="X1479" s="21" t="str">
        <f>UPPER(IF(AUDITORIA[[#This Row],[DATA VERIFICAÇÃO]]="","",TEXT(AUDITORIA[[#This Row],[DATA VERIFICAÇÃO]],"mmm")))</f>
        <v>JUN</v>
      </c>
      <c r="Y1479" t="s">
        <v>598</v>
      </c>
      <c r="Z1479" t="s">
        <v>691</v>
      </c>
      <c r="AA1479" t="s">
        <v>832</v>
      </c>
    </row>
    <row r="1480" spans="1:27" ht="14.4" hidden="1" customHeight="1" x14ac:dyDescent="0.3">
      <c r="A1480" s="4" t="s">
        <v>0</v>
      </c>
      <c r="B1480" s="4" t="s">
        <v>17</v>
      </c>
      <c r="C1480" s="16" t="s">
        <v>18</v>
      </c>
      <c r="D1480" s="4">
        <v>10</v>
      </c>
      <c r="E1480" s="4" t="s">
        <v>745</v>
      </c>
      <c r="F1480" t="s">
        <v>45</v>
      </c>
      <c r="G1480" t="s">
        <v>838</v>
      </c>
      <c r="J1480" s="4" t="s">
        <v>31</v>
      </c>
      <c r="K1480" s="4" t="s">
        <v>20</v>
      </c>
      <c r="L1480" s="4" t="s">
        <v>742</v>
      </c>
      <c r="M1480" s="17">
        <v>30</v>
      </c>
      <c r="N1480" s="17">
        <v>648</v>
      </c>
      <c r="O1480" s="18" t="s">
        <v>31</v>
      </c>
      <c r="P1480" s="18">
        <v>648</v>
      </c>
      <c r="Q1480" s="18">
        <v>30</v>
      </c>
      <c r="R1480" s="18" t="s">
        <v>814</v>
      </c>
      <c r="S1480" s="18" t="s">
        <v>790</v>
      </c>
      <c r="T1480" s="18" t="s">
        <v>782</v>
      </c>
      <c r="U14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80" s="19">
        <f>IF(AUDITORIA[[#This Row],[CAT]]="",0,1)</f>
        <v>1</v>
      </c>
      <c r="W1480" s="20">
        <v>46197</v>
      </c>
      <c r="X1480" s="21" t="str">
        <f>UPPER(IF(AUDITORIA[[#This Row],[DATA VERIFICAÇÃO]]="","",TEXT(AUDITORIA[[#This Row],[DATA VERIFICAÇÃO]],"mmm")))</f>
        <v>JUN</v>
      </c>
      <c r="Y1480" t="s">
        <v>598</v>
      </c>
      <c r="Z1480" t="s">
        <v>691</v>
      </c>
      <c r="AA1480" t="s">
        <v>832</v>
      </c>
    </row>
    <row r="1481" spans="1:27" ht="14.4" hidden="1" customHeight="1" x14ac:dyDescent="0.3">
      <c r="A1481" s="4" t="s">
        <v>0</v>
      </c>
      <c r="B1481" s="4" t="s">
        <v>17</v>
      </c>
      <c r="C1481" s="16" t="s">
        <v>18</v>
      </c>
      <c r="D1481" s="4">
        <v>10</v>
      </c>
      <c r="E1481" s="4" t="s">
        <v>745</v>
      </c>
      <c r="F1481" t="s">
        <v>44</v>
      </c>
      <c r="G1481" t="s">
        <v>838</v>
      </c>
      <c r="J1481" s="4" t="s">
        <v>31</v>
      </c>
      <c r="K1481" s="4" t="s">
        <v>21</v>
      </c>
      <c r="L1481" s="4" t="s">
        <v>742</v>
      </c>
      <c r="M1481" s="17">
        <v>30</v>
      </c>
      <c r="N1481" s="17">
        <v>794</v>
      </c>
      <c r="O1481" s="18" t="s">
        <v>31</v>
      </c>
      <c r="P1481" s="18">
        <v>794</v>
      </c>
      <c r="Q1481" s="18">
        <v>30</v>
      </c>
      <c r="R1481" s="18" t="s">
        <v>814</v>
      </c>
      <c r="S1481" s="18" t="s">
        <v>828</v>
      </c>
      <c r="T1481" s="18" t="s">
        <v>781</v>
      </c>
      <c r="U14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81" s="19">
        <f>IF(AUDITORIA[[#This Row],[CAT]]="",0,1)</f>
        <v>1</v>
      </c>
      <c r="W1481" s="20">
        <v>46197</v>
      </c>
      <c r="X1481" s="21" t="str">
        <f>UPPER(IF(AUDITORIA[[#This Row],[DATA VERIFICAÇÃO]]="","",TEXT(AUDITORIA[[#This Row],[DATA VERIFICAÇÃO]],"mmm")))</f>
        <v>JUN</v>
      </c>
      <c r="Y1481" t="s">
        <v>598</v>
      </c>
      <c r="Z1481" t="s">
        <v>691</v>
      </c>
      <c r="AA1481" t="s">
        <v>832</v>
      </c>
    </row>
    <row r="1482" spans="1:27" ht="14.4" hidden="1" customHeight="1" x14ac:dyDescent="0.3">
      <c r="A1482" s="4" t="s">
        <v>0</v>
      </c>
      <c r="B1482" s="4" t="s">
        <v>17</v>
      </c>
      <c r="C1482" s="16" t="s">
        <v>18</v>
      </c>
      <c r="D1482" s="4">
        <v>10</v>
      </c>
      <c r="E1482" s="4" t="s">
        <v>745</v>
      </c>
      <c r="F1482" t="s">
        <v>42</v>
      </c>
      <c r="G1482" t="s">
        <v>838</v>
      </c>
      <c r="J1482" s="4" t="s">
        <v>31</v>
      </c>
      <c r="K1482" s="4" t="s">
        <v>20</v>
      </c>
      <c r="L1482" s="4" t="s">
        <v>742</v>
      </c>
      <c r="M1482" s="17">
        <v>30</v>
      </c>
      <c r="N1482" s="17">
        <v>643</v>
      </c>
      <c r="O1482" s="18" t="s">
        <v>31</v>
      </c>
      <c r="P1482" s="18">
        <v>643</v>
      </c>
      <c r="Q1482" s="18">
        <v>30</v>
      </c>
      <c r="R1482" s="18" t="s">
        <v>814</v>
      </c>
      <c r="S1482" s="18" t="s">
        <v>827</v>
      </c>
      <c r="T1482" s="18" t="s">
        <v>781</v>
      </c>
      <c r="U14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82" s="19">
        <f>IF(AUDITORIA[[#This Row],[CAT]]="",0,1)</f>
        <v>1</v>
      </c>
      <c r="W1482" s="20">
        <v>46197</v>
      </c>
      <c r="X1482" s="21" t="str">
        <f>UPPER(IF(AUDITORIA[[#This Row],[DATA VERIFICAÇÃO]]="","",TEXT(AUDITORIA[[#This Row],[DATA VERIFICAÇÃO]],"mmm")))</f>
        <v>JUN</v>
      </c>
      <c r="Y1482" t="s">
        <v>598</v>
      </c>
      <c r="Z1482" t="s">
        <v>691</v>
      </c>
      <c r="AA1482" t="s">
        <v>832</v>
      </c>
    </row>
    <row r="1483" spans="1:27" ht="14.4" hidden="1" customHeight="1" x14ac:dyDescent="0.3">
      <c r="A1483" s="4" t="s">
        <v>0</v>
      </c>
      <c r="B1483" s="4" t="s">
        <v>17</v>
      </c>
      <c r="C1483" s="16" t="s">
        <v>18</v>
      </c>
      <c r="D1483" s="4">
        <v>10</v>
      </c>
      <c r="E1483" s="4" t="s">
        <v>745</v>
      </c>
      <c r="F1483" t="s">
        <v>43</v>
      </c>
      <c r="G1483" t="s">
        <v>838</v>
      </c>
      <c r="J1483" s="4" t="s">
        <v>31</v>
      </c>
      <c r="K1483" s="4" t="s">
        <v>21</v>
      </c>
      <c r="L1483" s="4" t="s">
        <v>742</v>
      </c>
      <c r="M1483" s="17">
        <v>30</v>
      </c>
      <c r="N1483" s="17">
        <v>793</v>
      </c>
      <c r="O1483" s="18" t="s">
        <v>31</v>
      </c>
      <c r="P1483" s="18">
        <v>793</v>
      </c>
      <c r="Q1483" s="18">
        <v>30</v>
      </c>
      <c r="R1483" s="18" t="s">
        <v>814</v>
      </c>
      <c r="S1483" s="18" t="s">
        <v>788</v>
      </c>
      <c r="T1483" s="18" t="s">
        <v>782</v>
      </c>
      <c r="U14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83" s="19">
        <f>IF(AUDITORIA[[#This Row],[CAT]]="",0,1)</f>
        <v>1</v>
      </c>
      <c r="W1483" s="20">
        <v>46197</v>
      </c>
      <c r="X1483" s="21" t="str">
        <f>UPPER(IF(AUDITORIA[[#This Row],[DATA VERIFICAÇÃO]]="","",TEXT(AUDITORIA[[#This Row],[DATA VERIFICAÇÃO]],"mmm")))</f>
        <v>JUN</v>
      </c>
      <c r="Y1483" t="s">
        <v>598</v>
      </c>
      <c r="Z1483" t="s">
        <v>691</v>
      </c>
      <c r="AA1483" t="s">
        <v>832</v>
      </c>
    </row>
    <row r="1484" spans="1:27" ht="14.4" hidden="1" customHeight="1" x14ac:dyDescent="0.3">
      <c r="A1484" s="4" t="s">
        <v>0</v>
      </c>
      <c r="B1484" s="4" t="s">
        <v>17</v>
      </c>
      <c r="C1484" s="16" t="s">
        <v>18</v>
      </c>
      <c r="D1484" s="4">
        <v>10</v>
      </c>
      <c r="E1484" s="4" t="s">
        <v>745</v>
      </c>
      <c r="F1484" t="s">
        <v>41</v>
      </c>
      <c r="G1484" t="s">
        <v>838</v>
      </c>
      <c r="J1484" s="4" t="s">
        <v>31</v>
      </c>
      <c r="K1484" s="4" t="s">
        <v>21</v>
      </c>
      <c r="L1484" s="4" t="s">
        <v>742</v>
      </c>
      <c r="M1484" s="17">
        <v>30</v>
      </c>
      <c r="N1484" s="17">
        <v>791</v>
      </c>
      <c r="O1484" s="18" t="s">
        <v>31</v>
      </c>
      <c r="P1484" s="18">
        <v>791</v>
      </c>
      <c r="Q1484" s="18">
        <v>30</v>
      </c>
      <c r="R1484" s="18" t="s">
        <v>814</v>
      </c>
      <c r="S1484" s="18" t="s">
        <v>800</v>
      </c>
      <c r="T1484" s="18" t="s">
        <v>794</v>
      </c>
      <c r="U14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84" s="19">
        <f>IF(AUDITORIA[[#This Row],[CAT]]="",0,1)</f>
        <v>1</v>
      </c>
      <c r="W1484" s="20">
        <v>46197</v>
      </c>
      <c r="X1484" s="21" t="str">
        <f>UPPER(IF(AUDITORIA[[#This Row],[DATA VERIFICAÇÃO]]="","",TEXT(AUDITORIA[[#This Row],[DATA VERIFICAÇÃO]],"mmm")))</f>
        <v>JUN</v>
      </c>
      <c r="Y1484" t="s">
        <v>598</v>
      </c>
      <c r="Z1484" t="s">
        <v>691</v>
      </c>
      <c r="AA1484" t="s">
        <v>832</v>
      </c>
    </row>
    <row r="1485" spans="1:27" ht="14.4" hidden="1" customHeight="1" x14ac:dyDescent="0.3">
      <c r="A1485" s="4" t="s">
        <v>0</v>
      </c>
      <c r="B1485" s="4" t="s">
        <v>17</v>
      </c>
      <c r="C1485" s="16" t="s">
        <v>18</v>
      </c>
      <c r="D1485" s="4">
        <v>10</v>
      </c>
      <c r="E1485" s="4" t="s">
        <v>745</v>
      </c>
      <c r="F1485" t="s">
        <v>40</v>
      </c>
      <c r="G1485" t="s">
        <v>838</v>
      </c>
      <c r="J1485" s="4" t="s">
        <v>31</v>
      </c>
      <c r="K1485" s="4" t="s">
        <v>20</v>
      </c>
      <c r="L1485" s="4" t="s">
        <v>742</v>
      </c>
      <c r="M1485" s="17">
        <v>30</v>
      </c>
      <c r="N1485" s="17">
        <v>644</v>
      </c>
      <c r="O1485" s="18" t="s">
        <v>31</v>
      </c>
      <c r="P1485" s="18">
        <v>644</v>
      </c>
      <c r="Q1485" s="18">
        <v>30</v>
      </c>
      <c r="R1485" s="18" t="s">
        <v>814</v>
      </c>
      <c r="S1485" s="18" t="s">
        <v>800</v>
      </c>
      <c r="T1485" s="18" t="s">
        <v>782</v>
      </c>
      <c r="U14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85" s="19">
        <f>IF(AUDITORIA[[#This Row],[CAT]]="",0,1)</f>
        <v>1</v>
      </c>
      <c r="W1485" s="20">
        <v>46197</v>
      </c>
      <c r="X1485" s="21" t="str">
        <f>UPPER(IF(AUDITORIA[[#This Row],[DATA VERIFICAÇÃO]]="","",TEXT(AUDITORIA[[#This Row],[DATA VERIFICAÇÃO]],"mmm")))</f>
        <v>JUN</v>
      </c>
      <c r="Y1485" t="s">
        <v>598</v>
      </c>
      <c r="Z1485" t="s">
        <v>691</v>
      </c>
      <c r="AA1485" t="s">
        <v>832</v>
      </c>
    </row>
    <row r="1486" spans="1:27" ht="14.4" hidden="1" customHeight="1" x14ac:dyDescent="0.3">
      <c r="A1486" s="4" t="s">
        <v>0</v>
      </c>
      <c r="B1486" s="4" t="s">
        <v>17</v>
      </c>
      <c r="C1486" s="16" t="s">
        <v>18</v>
      </c>
      <c r="D1486" s="4">
        <v>10</v>
      </c>
      <c r="E1486" s="4" t="s">
        <v>745</v>
      </c>
      <c r="F1486" t="s">
        <v>39</v>
      </c>
      <c r="G1486" t="s">
        <v>838</v>
      </c>
      <c r="J1486" s="4" t="s">
        <v>31</v>
      </c>
      <c r="K1486" s="4" t="s">
        <v>21</v>
      </c>
      <c r="L1486" s="4" t="s">
        <v>742</v>
      </c>
      <c r="M1486" s="17">
        <v>30</v>
      </c>
      <c r="N1486" s="17">
        <v>804</v>
      </c>
      <c r="O1486" s="18" t="s">
        <v>31</v>
      </c>
      <c r="P1486" s="18">
        <v>804</v>
      </c>
      <c r="Q1486" s="18">
        <v>30</v>
      </c>
      <c r="R1486" s="18" t="s">
        <v>814</v>
      </c>
      <c r="S1486" s="18" t="s">
        <v>791</v>
      </c>
      <c r="T1486" s="18" t="s">
        <v>782</v>
      </c>
      <c r="U14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86" s="19">
        <f>IF(AUDITORIA[[#This Row],[CAT]]="",0,1)</f>
        <v>1</v>
      </c>
      <c r="W1486" s="20">
        <v>46197</v>
      </c>
      <c r="X1486" s="21" t="str">
        <f>UPPER(IF(AUDITORIA[[#This Row],[DATA VERIFICAÇÃO]]="","",TEXT(AUDITORIA[[#This Row],[DATA VERIFICAÇÃO]],"mmm")))</f>
        <v>JUN</v>
      </c>
      <c r="Y1486" t="s">
        <v>598</v>
      </c>
      <c r="Z1486" t="s">
        <v>691</v>
      </c>
      <c r="AA1486" t="s">
        <v>832</v>
      </c>
    </row>
    <row r="1487" spans="1:27" ht="14.4" hidden="1" customHeight="1" x14ac:dyDescent="0.3">
      <c r="A1487" s="4" t="s">
        <v>0</v>
      </c>
      <c r="B1487" s="4" t="s">
        <v>17</v>
      </c>
      <c r="C1487" s="16" t="s">
        <v>18</v>
      </c>
      <c r="D1487" s="4">
        <v>10</v>
      </c>
      <c r="E1487" s="4" t="s">
        <v>745</v>
      </c>
      <c r="F1487" t="s">
        <v>37</v>
      </c>
      <c r="G1487" t="s">
        <v>838</v>
      </c>
      <c r="J1487" s="4" t="s">
        <v>31</v>
      </c>
      <c r="K1487" s="4" t="s">
        <v>20</v>
      </c>
      <c r="L1487" s="4" t="s">
        <v>742</v>
      </c>
      <c r="M1487" s="17">
        <v>30</v>
      </c>
      <c r="N1487" s="17">
        <v>638</v>
      </c>
      <c r="O1487" s="18" t="s">
        <v>31</v>
      </c>
      <c r="P1487" s="18">
        <v>638</v>
      </c>
      <c r="Q1487" s="18">
        <v>30</v>
      </c>
      <c r="R1487" s="18" t="s">
        <v>814</v>
      </c>
      <c r="S1487" s="18" t="s">
        <v>827</v>
      </c>
      <c r="T1487" s="18" t="s">
        <v>782</v>
      </c>
      <c r="U14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87" s="19">
        <f>IF(AUDITORIA[[#This Row],[CAT]]="",0,1)</f>
        <v>1</v>
      </c>
      <c r="W1487" s="20">
        <v>46197</v>
      </c>
      <c r="X1487" s="21" t="str">
        <f>UPPER(IF(AUDITORIA[[#This Row],[DATA VERIFICAÇÃO]]="","",TEXT(AUDITORIA[[#This Row],[DATA VERIFICAÇÃO]],"mmm")))</f>
        <v>JUN</v>
      </c>
      <c r="Y1487" t="s">
        <v>598</v>
      </c>
      <c r="Z1487" t="s">
        <v>691</v>
      </c>
      <c r="AA1487" t="s">
        <v>832</v>
      </c>
    </row>
    <row r="1488" spans="1:27" ht="14.4" hidden="1" customHeight="1" x14ac:dyDescent="0.3">
      <c r="A1488" s="4" t="s">
        <v>0</v>
      </c>
      <c r="B1488" s="4" t="s">
        <v>17</v>
      </c>
      <c r="C1488" s="16" t="s">
        <v>18</v>
      </c>
      <c r="D1488" s="4">
        <v>10</v>
      </c>
      <c r="E1488" s="4" t="s">
        <v>745</v>
      </c>
      <c r="F1488" t="s">
        <v>38</v>
      </c>
      <c r="G1488" t="s">
        <v>838</v>
      </c>
      <c r="J1488" s="4" t="s">
        <v>31</v>
      </c>
      <c r="K1488" s="4" t="s">
        <v>21</v>
      </c>
      <c r="L1488" s="4" t="s">
        <v>742</v>
      </c>
      <c r="M1488" s="17">
        <v>30</v>
      </c>
      <c r="N1488" s="17">
        <v>787</v>
      </c>
      <c r="O1488" s="18" t="s">
        <v>31</v>
      </c>
      <c r="P1488" s="18">
        <v>787</v>
      </c>
      <c r="Q1488" s="18">
        <v>30</v>
      </c>
      <c r="R1488" s="18" t="s">
        <v>814</v>
      </c>
      <c r="S1488" s="18" t="s">
        <v>828</v>
      </c>
      <c r="T1488" s="18" t="s">
        <v>782</v>
      </c>
      <c r="U14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88" s="19">
        <f>IF(AUDITORIA[[#This Row],[CAT]]="",0,1)</f>
        <v>1</v>
      </c>
      <c r="W1488" s="20">
        <v>46197</v>
      </c>
      <c r="X1488" s="21" t="str">
        <f>UPPER(IF(AUDITORIA[[#This Row],[DATA VERIFICAÇÃO]]="","",TEXT(AUDITORIA[[#This Row],[DATA VERIFICAÇÃO]],"mmm")))</f>
        <v>JUN</v>
      </c>
      <c r="Y1488" t="s">
        <v>598</v>
      </c>
      <c r="Z1488" t="s">
        <v>691</v>
      </c>
      <c r="AA1488" t="s">
        <v>832</v>
      </c>
    </row>
    <row r="1489" spans="1:27" ht="14.4" hidden="1" customHeight="1" x14ac:dyDescent="0.3">
      <c r="A1489" s="4" t="s">
        <v>0</v>
      </c>
      <c r="B1489" s="4" t="s">
        <v>17</v>
      </c>
      <c r="C1489" s="16" t="s">
        <v>18</v>
      </c>
      <c r="D1489" s="4">
        <v>10</v>
      </c>
      <c r="E1489" s="4" t="s">
        <v>745</v>
      </c>
      <c r="F1489" t="s">
        <v>36</v>
      </c>
      <c r="G1489" t="s">
        <v>838</v>
      </c>
      <c r="J1489" s="4" t="s">
        <v>31</v>
      </c>
      <c r="K1489" s="4" t="s">
        <v>21</v>
      </c>
      <c r="L1489" s="4" t="s">
        <v>742</v>
      </c>
      <c r="M1489" s="17">
        <v>30</v>
      </c>
      <c r="N1489" s="17">
        <v>792</v>
      </c>
      <c r="O1489" s="18" t="s">
        <v>31</v>
      </c>
      <c r="P1489" s="18">
        <v>792</v>
      </c>
      <c r="Q1489" s="18">
        <v>30</v>
      </c>
      <c r="R1489" s="18" t="s">
        <v>814</v>
      </c>
      <c r="S1489" s="18" t="s">
        <v>828</v>
      </c>
      <c r="T1489" s="18" t="s">
        <v>780</v>
      </c>
      <c r="U14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89" s="19">
        <f>IF(AUDITORIA[[#This Row],[CAT]]="",0,1)</f>
        <v>1</v>
      </c>
      <c r="W1489" s="20">
        <v>46197</v>
      </c>
      <c r="X1489" s="21" t="str">
        <f>UPPER(IF(AUDITORIA[[#This Row],[DATA VERIFICAÇÃO]]="","",TEXT(AUDITORIA[[#This Row],[DATA VERIFICAÇÃO]],"mmm")))</f>
        <v>JUN</v>
      </c>
      <c r="Y1489" t="s">
        <v>598</v>
      </c>
      <c r="Z1489" t="s">
        <v>691</v>
      </c>
      <c r="AA1489" t="s">
        <v>832</v>
      </c>
    </row>
    <row r="1490" spans="1:27" ht="14.4" hidden="1" customHeight="1" x14ac:dyDescent="0.3">
      <c r="A1490" s="4" t="s">
        <v>0</v>
      </c>
      <c r="B1490" s="4" t="s">
        <v>17</v>
      </c>
      <c r="C1490" s="16" t="s">
        <v>18</v>
      </c>
      <c r="D1490" s="4">
        <v>10</v>
      </c>
      <c r="E1490" s="4" t="s">
        <v>745</v>
      </c>
      <c r="F1490" t="s">
        <v>35</v>
      </c>
      <c r="G1490" t="s">
        <v>838</v>
      </c>
      <c r="J1490" s="4" t="s">
        <v>31</v>
      </c>
      <c r="K1490" s="4" t="s">
        <v>20</v>
      </c>
      <c r="L1490" s="4" t="s">
        <v>742</v>
      </c>
      <c r="M1490" s="17">
        <v>30</v>
      </c>
      <c r="N1490" s="17">
        <v>636</v>
      </c>
      <c r="O1490" s="18" t="s">
        <v>31</v>
      </c>
      <c r="P1490" s="18">
        <v>636</v>
      </c>
      <c r="Q1490" s="18">
        <v>30</v>
      </c>
      <c r="R1490" s="18" t="s">
        <v>814</v>
      </c>
      <c r="S1490" s="18" t="s">
        <v>827</v>
      </c>
      <c r="T1490" s="18" t="s">
        <v>794</v>
      </c>
      <c r="U14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90" s="19">
        <f>IF(AUDITORIA[[#This Row],[CAT]]="",0,1)</f>
        <v>1</v>
      </c>
      <c r="W1490" s="20">
        <v>46197</v>
      </c>
      <c r="X1490" s="21" t="str">
        <f>UPPER(IF(AUDITORIA[[#This Row],[DATA VERIFICAÇÃO]]="","",TEXT(AUDITORIA[[#This Row],[DATA VERIFICAÇÃO]],"mmm")))</f>
        <v>JUN</v>
      </c>
      <c r="Y1490" t="s">
        <v>598</v>
      </c>
      <c r="Z1490" t="s">
        <v>691</v>
      </c>
      <c r="AA1490" t="s">
        <v>832</v>
      </c>
    </row>
    <row r="1491" spans="1:27" ht="14.4" hidden="1" customHeight="1" x14ac:dyDescent="0.3">
      <c r="A1491" s="4" t="s">
        <v>0</v>
      </c>
      <c r="B1491" s="4" t="s">
        <v>17</v>
      </c>
      <c r="C1491" s="16" t="s">
        <v>18</v>
      </c>
      <c r="D1491" s="4">
        <v>10</v>
      </c>
      <c r="E1491" s="4" t="s">
        <v>745</v>
      </c>
      <c r="F1491" t="s">
        <v>33</v>
      </c>
      <c r="G1491" t="s">
        <v>838</v>
      </c>
      <c r="J1491" s="4" t="s">
        <v>31</v>
      </c>
      <c r="K1491" s="4" t="s">
        <v>21</v>
      </c>
      <c r="L1491" s="4" t="s">
        <v>742</v>
      </c>
      <c r="M1491" s="17">
        <v>17</v>
      </c>
      <c r="N1491" s="17">
        <v>808</v>
      </c>
      <c r="O1491" s="18" t="s">
        <v>31</v>
      </c>
      <c r="P1491" s="18">
        <v>808</v>
      </c>
      <c r="Q1491" s="18">
        <v>17</v>
      </c>
      <c r="R1491" s="18" t="s">
        <v>814</v>
      </c>
      <c r="S1491" s="18" t="s">
        <v>797</v>
      </c>
      <c r="T1491" s="18" t="s">
        <v>794</v>
      </c>
      <c r="U14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91" s="19">
        <f>IF(AUDITORIA[[#This Row],[CAT]]="",0,1)</f>
        <v>1</v>
      </c>
      <c r="W1491" s="20">
        <v>46197</v>
      </c>
      <c r="X1491" s="21" t="str">
        <f>UPPER(IF(AUDITORIA[[#This Row],[DATA VERIFICAÇÃO]]="","",TEXT(AUDITORIA[[#This Row],[DATA VERIFICAÇÃO]],"mmm")))</f>
        <v>JUN</v>
      </c>
      <c r="Y1491" t="s">
        <v>598</v>
      </c>
      <c r="Z1491" t="s">
        <v>691</v>
      </c>
      <c r="AA1491" t="s">
        <v>832</v>
      </c>
    </row>
    <row r="1492" spans="1:27" ht="14.4" hidden="1" customHeight="1" x14ac:dyDescent="0.3">
      <c r="A1492" s="4" t="s">
        <v>0</v>
      </c>
      <c r="B1492" s="4" t="s">
        <v>17</v>
      </c>
      <c r="C1492" s="16" t="s">
        <v>18</v>
      </c>
      <c r="D1492" s="4">
        <v>10</v>
      </c>
      <c r="E1492" s="4" t="s">
        <v>745</v>
      </c>
      <c r="F1492" t="s">
        <v>32</v>
      </c>
      <c r="G1492" t="s">
        <v>30</v>
      </c>
      <c r="J1492" s="4" t="s">
        <v>31</v>
      </c>
      <c r="K1492" s="4" t="s">
        <v>20</v>
      </c>
      <c r="L1492" s="4" t="s">
        <v>742</v>
      </c>
      <c r="M1492" s="17">
        <v>30</v>
      </c>
      <c r="N1492" s="17">
        <v>730</v>
      </c>
      <c r="O1492" s="18" t="s">
        <v>31</v>
      </c>
      <c r="P1492" s="18">
        <v>730</v>
      </c>
      <c r="Q1492" s="18">
        <v>30</v>
      </c>
      <c r="R1492" s="18" t="s">
        <v>814</v>
      </c>
      <c r="S1492" s="18" t="s">
        <v>815</v>
      </c>
      <c r="T1492" s="18" t="s">
        <v>780</v>
      </c>
      <c r="U14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92" s="19">
        <f>IF(AUDITORIA[[#This Row],[CAT]]="",0,1)</f>
        <v>1</v>
      </c>
      <c r="W1492" s="20">
        <v>46197</v>
      </c>
      <c r="X1492" s="21" t="str">
        <f>UPPER(IF(AUDITORIA[[#This Row],[DATA VERIFICAÇÃO]]="","",TEXT(AUDITORIA[[#This Row],[DATA VERIFICAÇÃO]],"mmm")))</f>
        <v>JUN</v>
      </c>
      <c r="Y1492" t="s">
        <v>598</v>
      </c>
      <c r="Z1492" t="s">
        <v>691</v>
      </c>
      <c r="AA1492" t="s">
        <v>832</v>
      </c>
    </row>
    <row r="1493" spans="1:27" ht="14.4" hidden="1" customHeight="1" x14ac:dyDescent="0.3">
      <c r="A1493" s="4" t="s">
        <v>0</v>
      </c>
      <c r="B1493" s="4" t="s">
        <v>17</v>
      </c>
      <c r="C1493" s="16" t="s">
        <v>18</v>
      </c>
      <c r="D1493" s="4">
        <v>10</v>
      </c>
      <c r="E1493" s="4" t="s">
        <v>745</v>
      </c>
      <c r="F1493" t="s">
        <v>29</v>
      </c>
      <c r="G1493" t="s">
        <v>30</v>
      </c>
      <c r="J1493" s="4" t="s">
        <v>31</v>
      </c>
      <c r="K1493" s="4" t="s">
        <v>21</v>
      </c>
      <c r="L1493" s="4" t="s">
        <v>742</v>
      </c>
      <c r="M1493" s="17">
        <v>30</v>
      </c>
      <c r="N1493" s="17">
        <v>871</v>
      </c>
      <c r="O1493" s="18" t="s">
        <v>31</v>
      </c>
      <c r="P1493" s="18">
        <v>871</v>
      </c>
      <c r="Q1493" s="18">
        <v>30</v>
      </c>
      <c r="R1493" s="18" t="s">
        <v>814</v>
      </c>
      <c r="S1493" s="18" t="s">
        <v>815</v>
      </c>
      <c r="T1493" s="18" t="s">
        <v>782</v>
      </c>
      <c r="U14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93" s="19">
        <f>IF(AUDITORIA[[#This Row],[CAT]]="",0,1)</f>
        <v>1</v>
      </c>
      <c r="W1493" s="20">
        <v>46197</v>
      </c>
      <c r="X1493" s="21" t="str">
        <f>UPPER(IF(AUDITORIA[[#This Row],[DATA VERIFICAÇÃO]]="","",TEXT(AUDITORIA[[#This Row],[DATA VERIFICAÇÃO]],"mmm")))</f>
        <v>JUN</v>
      </c>
      <c r="Y1493" t="s">
        <v>598</v>
      </c>
      <c r="Z1493" t="s">
        <v>691</v>
      </c>
      <c r="AA1493" t="s">
        <v>832</v>
      </c>
    </row>
    <row r="1494" spans="1:27" ht="14.4" hidden="1" customHeight="1" x14ac:dyDescent="0.3">
      <c r="A1494" s="4" t="s">
        <v>0</v>
      </c>
      <c r="B1494" s="4" t="s">
        <v>17</v>
      </c>
      <c r="C1494" s="16" t="s">
        <v>18</v>
      </c>
      <c r="D1494" s="4">
        <v>10</v>
      </c>
      <c r="E1494" s="4" t="s">
        <v>745</v>
      </c>
      <c r="F1494" t="s">
        <v>690</v>
      </c>
      <c r="G1494" t="s">
        <v>30</v>
      </c>
      <c r="J1494" s="4" t="s">
        <v>31</v>
      </c>
      <c r="K1494" s="4" t="s">
        <v>20</v>
      </c>
      <c r="L1494" s="4" t="s">
        <v>742</v>
      </c>
      <c r="M1494" s="17">
        <v>30</v>
      </c>
      <c r="N1494" s="17">
        <v>734</v>
      </c>
      <c r="O1494" s="18" t="s">
        <v>31</v>
      </c>
      <c r="P1494" s="18">
        <v>734</v>
      </c>
      <c r="Q1494" s="18">
        <v>30</v>
      </c>
      <c r="R1494" s="18" t="s">
        <v>814</v>
      </c>
      <c r="S1494" s="18" t="s">
        <v>815</v>
      </c>
      <c r="T1494" s="18" t="s">
        <v>781</v>
      </c>
      <c r="U14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94" s="19">
        <f>IF(AUDITORIA[[#This Row],[CAT]]="",0,1)</f>
        <v>1</v>
      </c>
      <c r="W1494" s="20">
        <v>46197</v>
      </c>
      <c r="X1494" s="21" t="str">
        <f>UPPER(IF(AUDITORIA[[#This Row],[DATA VERIFICAÇÃO]]="","",TEXT(AUDITORIA[[#This Row],[DATA VERIFICAÇÃO]],"mmm")))</f>
        <v>JUN</v>
      </c>
      <c r="Y1494" t="s">
        <v>598</v>
      </c>
      <c r="Z1494" t="s">
        <v>691</v>
      </c>
      <c r="AA1494" t="s">
        <v>832</v>
      </c>
    </row>
    <row r="1495" spans="1:27" ht="14.4" hidden="1" customHeight="1" x14ac:dyDescent="0.3">
      <c r="A1495" s="4" t="s">
        <v>0</v>
      </c>
      <c r="B1495" s="4" t="s">
        <v>17</v>
      </c>
      <c r="C1495" s="16" t="s">
        <v>18</v>
      </c>
      <c r="D1495" s="4">
        <v>10</v>
      </c>
      <c r="E1495" s="4" t="s">
        <v>745</v>
      </c>
      <c r="F1495" t="s">
        <v>689</v>
      </c>
      <c r="G1495" t="s">
        <v>30</v>
      </c>
      <c r="J1495" s="4" t="s">
        <v>31</v>
      </c>
      <c r="K1495" s="4" t="s">
        <v>21</v>
      </c>
      <c r="L1495" s="4" t="s">
        <v>742</v>
      </c>
      <c r="M1495" s="17">
        <v>12</v>
      </c>
      <c r="N1495" s="17">
        <v>852</v>
      </c>
      <c r="O1495" s="18" t="s">
        <v>31</v>
      </c>
      <c r="P1495" s="18">
        <v>852</v>
      </c>
      <c r="Q1495" s="18">
        <v>12</v>
      </c>
      <c r="R1495" s="18" t="s">
        <v>814</v>
      </c>
      <c r="S1495" s="18" t="s">
        <v>799</v>
      </c>
      <c r="T1495" s="18" t="s">
        <v>781</v>
      </c>
      <c r="U14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95" s="19">
        <f>IF(AUDITORIA[[#This Row],[CAT]]="",0,1)</f>
        <v>1</v>
      </c>
      <c r="W1495" s="20">
        <v>46197</v>
      </c>
      <c r="X1495" s="21" t="str">
        <f>UPPER(IF(AUDITORIA[[#This Row],[DATA VERIFICAÇÃO]]="","",TEXT(AUDITORIA[[#This Row],[DATA VERIFICAÇÃO]],"mmm")))</f>
        <v>JUN</v>
      </c>
      <c r="Y1495" t="s">
        <v>598</v>
      </c>
      <c r="Z1495" t="s">
        <v>691</v>
      </c>
      <c r="AA1495" t="s">
        <v>832</v>
      </c>
    </row>
    <row r="1496" spans="1:27" ht="14.4" hidden="1" customHeight="1" x14ac:dyDescent="0.3">
      <c r="A1496" s="4" t="s">
        <v>0</v>
      </c>
      <c r="B1496" s="4" t="s">
        <v>17</v>
      </c>
      <c r="C1496" s="16" t="s">
        <v>18</v>
      </c>
      <c r="D1496" s="4">
        <v>10</v>
      </c>
      <c r="E1496" s="4" t="s">
        <v>745</v>
      </c>
      <c r="F1496" t="s">
        <v>688</v>
      </c>
      <c r="G1496" t="s">
        <v>836</v>
      </c>
      <c r="J1496" s="4" t="s">
        <v>55</v>
      </c>
      <c r="K1496" s="4" t="s">
        <v>21</v>
      </c>
      <c r="L1496" s="4" t="s">
        <v>742</v>
      </c>
      <c r="M1496" s="17">
        <v>30</v>
      </c>
      <c r="N1496" s="17">
        <v>909</v>
      </c>
      <c r="O1496" s="18" t="s">
        <v>55</v>
      </c>
      <c r="P1496" s="18">
        <v>909</v>
      </c>
      <c r="Q1496" s="18">
        <v>30</v>
      </c>
      <c r="R1496" s="18" t="s">
        <v>814</v>
      </c>
      <c r="S1496" s="18" t="s">
        <v>805</v>
      </c>
      <c r="T1496" s="18" t="s">
        <v>781</v>
      </c>
      <c r="U14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96" s="19">
        <f>IF(AUDITORIA[[#This Row],[CAT]]="",0,1)</f>
        <v>1</v>
      </c>
      <c r="W1496" s="20">
        <v>46197</v>
      </c>
      <c r="X1496" s="21" t="str">
        <f>UPPER(IF(AUDITORIA[[#This Row],[DATA VERIFICAÇÃO]]="","",TEXT(AUDITORIA[[#This Row],[DATA VERIFICAÇÃO]],"mmm")))</f>
        <v>JUN</v>
      </c>
      <c r="Y1496" t="s">
        <v>598</v>
      </c>
      <c r="Z1496" t="s">
        <v>691</v>
      </c>
      <c r="AA1496" t="s">
        <v>832</v>
      </c>
    </row>
    <row r="1497" spans="1:27" ht="14.4" hidden="1" customHeight="1" x14ac:dyDescent="0.3">
      <c r="A1497" s="4" t="s">
        <v>0</v>
      </c>
      <c r="B1497" s="4" t="s">
        <v>17</v>
      </c>
      <c r="C1497" s="16" t="s">
        <v>18</v>
      </c>
      <c r="D1497" s="4">
        <v>10</v>
      </c>
      <c r="E1497" s="4" t="s">
        <v>745</v>
      </c>
      <c r="F1497" t="s">
        <v>687</v>
      </c>
      <c r="G1497" t="s">
        <v>836</v>
      </c>
      <c r="J1497" s="4" t="s">
        <v>55</v>
      </c>
      <c r="K1497" s="4" t="s">
        <v>20</v>
      </c>
      <c r="L1497" s="4" t="s">
        <v>742</v>
      </c>
      <c r="M1497" s="17">
        <v>30</v>
      </c>
      <c r="N1497" s="17">
        <v>711</v>
      </c>
      <c r="O1497" s="18" t="s">
        <v>55</v>
      </c>
      <c r="P1497" s="18">
        <v>711</v>
      </c>
      <c r="Q1497" s="18">
        <v>30</v>
      </c>
      <c r="R1497" s="18" t="s">
        <v>814</v>
      </c>
      <c r="S1497" s="18" t="s">
        <v>816</v>
      </c>
      <c r="T1497" s="18" t="s">
        <v>780</v>
      </c>
      <c r="U14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97" s="19">
        <f>IF(AUDITORIA[[#This Row],[CAT]]="",0,1)</f>
        <v>1</v>
      </c>
      <c r="W1497" s="20">
        <v>46197</v>
      </c>
      <c r="X1497" s="21" t="str">
        <f>UPPER(IF(AUDITORIA[[#This Row],[DATA VERIFICAÇÃO]]="","",TEXT(AUDITORIA[[#This Row],[DATA VERIFICAÇÃO]],"mmm")))</f>
        <v>JUN</v>
      </c>
      <c r="Y1497" t="s">
        <v>598</v>
      </c>
      <c r="Z1497" t="s">
        <v>691</v>
      </c>
      <c r="AA1497" t="s">
        <v>832</v>
      </c>
    </row>
    <row r="1498" spans="1:27" ht="14.4" hidden="1" customHeight="1" x14ac:dyDescent="0.3">
      <c r="A1498" s="4" t="s">
        <v>0</v>
      </c>
      <c r="B1498" s="4" t="s">
        <v>17</v>
      </c>
      <c r="C1498" s="16" t="s">
        <v>18</v>
      </c>
      <c r="D1498" s="4">
        <v>10</v>
      </c>
      <c r="E1498" s="4" t="s">
        <v>745</v>
      </c>
      <c r="F1498" t="s">
        <v>686</v>
      </c>
      <c r="G1498" t="s">
        <v>836</v>
      </c>
      <c r="J1498" s="4" t="s">
        <v>55</v>
      </c>
      <c r="K1498" s="4" t="s">
        <v>21</v>
      </c>
      <c r="L1498" s="4" t="s">
        <v>742</v>
      </c>
      <c r="M1498" s="17">
        <v>30</v>
      </c>
      <c r="N1498" s="17">
        <v>900</v>
      </c>
      <c r="O1498" s="18" t="s">
        <v>55</v>
      </c>
      <c r="P1498" s="18">
        <v>900</v>
      </c>
      <c r="Q1498" s="18">
        <v>30</v>
      </c>
      <c r="R1498" s="18" t="s">
        <v>814</v>
      </c>
      <c r="S1498" s="18" t="s">
        <v>826</v>
      </c>
      <c r="T1498" s="18" t="s">
        <v>781</v>
      </c>
      <c r="U14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98" s="19">
        <f>IF(AUDITORIA[[#This Row],[CAT]]="",0,1)</f>
        <v>1</v>
      </c>
      <c r="W1498" s="20">
        <v>46197</v>
      </c>
      <c r="X1498" s="21" t="str">
        <f>UPPER(IF(AUDITORIA[[#This Row],[DATA VERIFICAÇÃO]]="","",TEXT(AUDITORIA[[#This Row],[DATA VERIFICAÇÃO]],"mmm")))</f>
        <v>JUN</v>
      </c>
      <c r="Y1498" t="s">
        <v>598</v>
      </c>
      <c r="Z1498" t="s">
        <v>691</v>
      </c>
      <c r="AA1498" t="s">
        <v>832</v>
      </c>
    </row>
    <row r="1499" spans="1:27" ht="14.4" hidden="1" customHeight="1" x14ac:dyDescent="0.3">
      <c r="A1499" s="4" t="s">
        <v>0</v>
      </c>
      <c r="B1499" s="4" t="s">
        <v>17</v>
      </c>
      <c r="C1499" s="16" t="s">
        <v>18</v>
      </c>
      <c r="D1499" s="4">
        <v>10</v>
      </c>
      <c r="E1499" s="4" t="s">
        <v>745</v>
      </c>
      <c r="F1499" t="s">
        <v>685</v>
      </c>
      <c r="G1499" t="s">
        <v>836</v>
      </c>
      <c r="J1499" s="4" t="s">
        <v>55</v>
      </c>
      <c r="K1499" s="4" t="s">
        <v>20</v>
      </c>
      <c r="L1499" s="4" t="s">
        <v>742</v>
      </c>
      <c r="M1499" s="17">
        <v>30</v>
      </c>
      <c r="N1499" s="17">
        <v>706</v>
      </c>
      <c r="O1499" s="18" t="s">
        <v>55</v>
      </c>
      <c r="P1499" s="18">
        <v>706</v>
      </c>
      <c r="Q1499" s="18">
        <v>30</v>
      </c>
      <c r="R1499" s="18" t="s">
        <v>814</v>
      </c>
      <c r="S1499" s="18" t="s">
        <v>816</v>
      </c>
      <c r="T1499" s="18" t="s">
        <v>781</v>
      </c>
      <c r="U14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499" s="19">
        <f>IF(AUDITORIA[[#This Row],[CAT]]="",0,1)</f>
        <v>1</v>
      </c>
      <c r="W1499" s="20">
        <v>46197</v>
      </c>
      <c r="X1499" s="21" t="str">
        <f>UPPER(IF(AUDITORIA[[#This Row],[DATA VERIFICAÇÃO]]="","",TEXT(AUDITORIA[[#This Row],[DATA VERIFICAÇÃO]],"mmm")))</f>
        <v>JUN</v>
      </c>
      <c r="Y1499" t="s">
        <v>598</v>
      </c>
      <c r="Z1499" t="s">
        <v>691</v>
      </c>
      <c r="AA1499" t="s">
        <v>832</v>
      </c>
    </row>
    <row r="1500" spans="1:27" ht="14.4" hidden="1" customHeight="1" x14ac:dyDescent="0.3">
      <c r="A1500" s="4" t="s">
        <v>0</v>
      </c>
      <c r="B1500" s="4" t="s">
        <v>17</v>
      </c>
      <c r="C1500" s="16" t="s">
        <v>18</v>
      </c>
      <c r="D1500" s="4">
        <v>10</v>
      </c>
      <c r="E1500" s="4" t="s">
        <v>745</v>
      </c>
      <c r="F1500" t="s">
        <v>684</v>
      </c>
      <c r="G1500" t="s">
        <v>836</v>
      </c>
      <c r="J1500" s="4" t="s">
        <v>55</v>
      </c>
      <c r="K1500" s="4" t="s">
        <v>21</v>
      </c>
      <c r="L1500" s="4" t="s">
        <v>742</v>
      </c>
      <c r="M1500" s="17">
        <v>30</v>
      </c>
      <c r="N1500" s="17">
        <v>898</v>
      </c>
      <c r="O1500" s="18" t="s">
        <v>55</v>
      </c>
      <c r="P1500" s="18">
        <v>898</v>
      </c>
      <c r="Q1500" s="18">
        <v>30</v>
      </c>
      <c r="R1500" s="18" t="s">
        <v>814</v>
      </c>
      <c r="S1500" s="18" t="s">
        <v>826</v>
      </c>
      <c r="T1500" s="18" t="s">
        <v>780</v>
      </c>
      <c r="U15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00" s="19">
        <f>IF(AUDITORIA[[#This Row],[CAT]]="",0,1)</f>
        <v>1</v>
      </c>
      <c r="W1500" s="20">
        <v>46197</v>
      </c>
      <c r="X1500" s="21" t="str">
        <f>UPPER(IF(AUDITORIA[[#This Row],[DATA VERIFICAÇÃO]]="","",TEXT(AUDITORIA[[#This Row],[DATA VERIFICAÇÃO]],"mmm")))</f>
        <v>JUN</v>
      </c>
      <c r="Y1500" t="s">
        <v>598</v>
      </c>
      <c r="Z1500" t="s">
        <v>691</v>
      </c>
      <c r="AA1500" t="s">
        <v>832</v>
      </c>
    </row>
    <row r="1501" spans="1:27" ht="14.4" hidden="1" customHeight="1" x14ac:dyDescent="0.3">
      <c r="A1501" s="4" t="s">
        <v>0</v>
      </c>
      <c r="B1501" s="4" t="s">
        <v>17</v>
      </c>
      <c r="C1501" s="16" t="s">
        <v>18</v>
      </c>
      <c r="D1501" s="4">
        <v>10</v>
      </c>
      <c r="E1501" s="4" t="s">
        <v>745</v>
      </c>
      <c r="F1501" t="s">
        <v>683</v>
      </c>
      <c r="G1501" t="s">
        <v>836</v>
      </c>
      <c r="J1501" s="4" t="s">
        <v>55</v>
      </c>
      <c r="K1501" s="4" t="s">
        <v>20</v>
      </c>
      <c r="L1501" s="4" t="s">
        <v>742</v>
      </c>
      <c r="M1501" s="17">
        <v>30</v>
      </c>
      <c r="N1501" s="17">
        <v>705</v>
      </c>
      <c r="O1501" s="18" t="s">
        <v>55</v>
      </c>
      <c r="P1501" s="18">
        <v>705</v>
      </c>
      <c r="Q1501" s="18">
        <v>30</v>
      </c>
      <c r="R1501" s="18" t="s">
        <v>814</v>
      </c>
      <c r="S1501" s="18" t="s">
        <v>816</v>
      </c>
      <c r="T1501" s="18" t="s">
        <v>782</v>
      </c>
      <c r="U15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01" s="19">
        <f>IF(AUDITORIA[[#This Row],[CAT]]="",0,1)</f>
        <v>1</v>
      </c>
      <c r="W1501" s="20">
        <v>46197</v>
      </c>
      <c r="X1501" s="21" t="str">
        <f>UPPER(IF(AUDITORIA[[#This Row],[DATA VERIFICAÇÃO]]="","",TEXT(AUDITORIA[[#This Row],[DATA VERIFICAÇÃO]],"mmm")))</f>
        <v>JUN</v>
      </c>
      <c r="Y1501" t="s">
        <v>598</v>
      </c>
      <c r="Z1501" t="s">
        <v>691</v>
      </c>
      <c r="AA1501" t="s">
        <v>832</v>
      </c>
    </row>
    <row r="1502" spans="1:27" ht="14.4" hidden="1" customHeight="1" x14ac:dyDescent="0.3">
      <c r="A1502" s="4" t="s">
        <v>0</v>
      </c>
      <c r="B1502" s="4" t="s">
        <v>17</v>
      </c>
      <c r="C1502" s="16" t="s">
        <v>18</v>
      </c>
      <c r="D1502" s="4">
        <v>10</v>
      </c>
      <c r="E1502" s="4" t="s">
        <v>745</v>
      </c>
      <c r="F1502" t="s">
        <v>682</v>
      </c>
      <c r="G1502" t="s">
        <v>836</v>
      </c>
      <c r="J1502" s="4" t="s">
        <v>55</v>
      </c>
      <c r="K1502" s="4" t="s">
        <v>21</v>
      </c>
      <c r="L1502" s="4" t="s">
        <v>742</v>
      </c>
      <c r="M1502" s="17">
        <v>27</v>
      </c>
      <c r="N1502" s="17">
        <v>927</v>
      </c>
      <c r="O1502" s="18" t="s">
        <v>55</v>
      </c>
      <c r="P1502" s="18">
        <v>927</v>
      </c>
      <c r="Q1502" s="18">
        <v>27</v>
      </c>
      <c r="R1502" s="18" t="s">
        <v>814</v>
      </c>
      <c r="S1502" s="18" t="s">
        <v>809</v>
      </c>
      <c r="T1502" s="18" t="s">
        <v>782</v>
      </c>
      <c r="U15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02" s="19">
        <f>IF(AUDITORIA[[#This Row],[CAT]]="",0,1)</f>
        <v>1</v>
      </c>
      <c r="W1502" s="20">
        <v>46197</v>
      </c>
      <c r="X1502" s="21" t="str">
        <f>UPPER(IF(AUDITORIA[[#This Row],[DATA VERIFICAÇÃO]]="","",TEXT(AUDITORIA[[#This Row],[DATA VERIFICAÇÃO]],"mmm")))</f>
        <v>JUN</v>
      </c>
      <c r="Y1502" t="s">
        <v>598</v>
      </c>
      <c r="Z1502" t="s">
        <v>691</v>
      </c>
      <c r="AA1502" t="s">
        <v>832</v>
      </c>
    </row>
    <row r="1503" spans="1:27" ht="14.4" hidden="1" customHeight="1" x14ac:dyDescent="0.3">
      <c r="A1503" s="4" t="s">
        <v>0</v>
      </c>
      <c r="B1503" s="4" t="s">
        <v>17</v>
      </c>
      <c r="C1503" s="16" t="s">
        <v>18</v>
      </c>
      <c r="D1503" s="4">
        <v>10</v>
      </c>
      <c r="E1503" s="4" t="s">
        <v>745</v>
      </c>
      <c r="F1503" t="s">
        <v>680</v>
      </c>
      <c r="G1503" t="s">
        <v>836</v>
      </c>
      <c r="J1503" s="4" t="s">
        <v>55</v>
      </c>
      <c r="K1503" s="4" t="s">
        <v>20</v>
      </c>
      <c r="L1503" s="4" t="s">
        <v>742</v>
      </c>
      <c r="M1503" s="17">
        <v>30</v>
      </c>
      <c r="N1503" s="17">
        <v>705</v>
      </c>
      <c r="O1503" s="18" t="s">
        <v>55</v>
      </c>
      <c r="P1503" s="18">
        <v>705</v>
      </c>
      <c r="Q1503" s="18">
        <v>30</v>
      </c>
      <c r="R1503" s="18" t="s">
        <v>814</v>
      </c>
      <c r="S1503" s="18" t="s">
        <v>816</v>
      </c>
      <c r="T1503" s="18" t="s">
        <v>794</v>
      </c>
      <c r="U15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03" s="19">
        <f>IF(AUDITORIA[[#This Row],[CAT]]="",0,1)</f>
        <v>1</v>
      </c>
      <c r="W1503" s="20">
        <v>46197</v>
      </c>
      <c r="X1503" s="21" t="str">
        <f>UPPER(IF(AUDITORIA[[#This Row],[DATA VERIFICAÇÃO]]="","",TEXT(AUDITORIA[[#This Row],[DATA VERIFICAÇÃO]],"mmm")))</f>
        <v>JUN</v>
      </c>
      <c r="Y1503" t="s">
        <v>598</v>
      </c>
      <c r="Z1503" t="s">
        <v>691</v>
      </c>
      <c r="AA1503" t="s">
        <v>832</v>
      </c>
    </row>
    <row r="1504" spans="1:27" ht="14.4" hidden="1" customHeight="1" x14ac:dyDescent="0.3">
      <c r="A1504" s="4" t="s">
        <v>0</v>
      </c>
      <c r="B1504" s="4" t="s">
        <v>17</v>
      </c>
      <c r="C1504" s="16" t="s">
        <v>18</v>
      </c>
      <c r="D1504" s="4">
        <v>10</v>
      </c>
      <c r="E1504" s="4" t="s">
        <v>745</v>
      </c>
      <c r="F1504" t="s">
        <v>681</v>
      </c>
      <c r="G1504" t="s">
        <v>836</v>
      </c>
      <c r="J1504" s="4" t="s">
        <v>55</v>
      </c>
      <c r="K1504" s="4" t="s">
        <v>21</v>
      </c>
      <c r="L1504" s="4" t="s">
        <v>742</v>
      </c>
      <c r="M1504" s="17">
        <v>30</v>
      </c>
      <c r="N1504" s="17">
        <v>904</v>
      </c>
      <c r="O1504" s="18" t="s">
        <v>55</v>
      </c>
      <c r="P1504" s="18">
        <v>904</v>
      </c>
      <c r="Q1504" s="18">
        <v>30</v>
      </c>
      <c r="R1504" s="18" t="s">
        <v>814</v>
      </c>
      <c r="S1504" s="18" t="s">
        <v>826</v>
      </c>
      <c r="T1504" s="18" t="s">
        <v>782</v>
      </c>
      <c r="U15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04" s="19">
        <f>IF(AUDITORIA[[#This Row],[CAT]]="",0,1)</f>
        <v>1</v>
      </c>
      <c r="W1504" s="20">
        <v>46197</v>
      </c>
      <c r="X1504" s="21" t="str">
        <f>UPPER(IF(AUDITORIA[[#This Row],[DATA VERIFICAÇÃO]]="","",TEXT(AUDITORIA[[#This Row],[DATA VERIFICAÇÃO]],"mmm")))</f>
        <v>JUN</v>
      </c>
      <c r="Y1504" t="s">
        <v>598</v>
      </c>
      <c r="Z1504" t="s">
        <v>691</v>
      </c>
      <c r="AA1504" t="s">
        <v>832</v>
      </c>
    </row>
    <row r="1505" spans="1:27" ht="14.4" hidden="1" customHeight="1" x14ac:dyDescent="0.3">
      <c r="A1505" s="4" t="s">
        <v>0</v>
      </c>
      <c r="B1505" s="4" t="s">
        <v>17</v>
      </c>
      <c r="C1505" s="16" t="s">
        <v>18</v>
      </c>
      <c r="D1505" s="4">
        <v>10</v>
      </c>
      <c r="E1505" s="4" t="s">
        <v>745</v>
      </c>
      <c r="F1505" t="s">
        <v>679</v>
      </c>
      <c r="G1505" t="s">
        <v>836</v>
      </c>
      <c r="J1505" s="4" t="s">
        <v>55</v>
      </c>
      <c r="K1505" s="4" t="s">
        <v>21</v>
      </c>
      <c r="L1505" s="4" t="s">
        <v>742</v>
      </c>
      <c r="M1505" s="17">
        <v>27</v>
      </c>
      <c r="N1505" s="17">
        <v>910</v>
      </c>
      <c r="O1505" s="18" t="s">
        <v>55</v>
      </c>
      <c r="P1505" s="18">
        <v>910</v>
      </c>
      <c r="Q1505" s="18">
        <v>27</v>
      </c>
      <c r="R1505" s="18" t="s">
        <v>814</v>
      </c>
      <c r="S1505" s="18" t="s">
        <v>825</v>
      </c>
      <c r="T1505" s="18" t="s">
        <v>780</v>
      </c>
      <c r="U15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05" s="19">
        <f>IF(AUDITORIA[[#This Row],[CAT]]="",0,1)</f>
        <v>1</v>
      </c>
      <c r="W1505" s="20">
        <v>46197</v>
      </c>
      <c r="X1505" s="21" t="str">
        <f>UPPER(IF(AUDITORIA[[#This Row],[DATA VERIFICAÇÃO]]="","",TEXT(AUDITORIA[[#This Row],[DATA VERIFICAÇÃO]],"mmm")))</f>
        <v>JUN</v>
      </c>
      <c r="Y1505" t="s">
        <v>598</v>
      </c>
      <c r="Z1505" t="s">
        <v>691</v>
      </c>
      <c r="AA1505" t="s">
        <v>832</v>
      </c>
    </row>
    <row r="1506" spans="1:27" ht="14.4" hidden="1" customHeight="1" x14ac:dyDescent="0.3">
      <c r="A1506" s="4" t="s">
        <v>0</v>
      </c>
      <c r="B1506" s="4" t="s">
        <v>17</v>
      </c>
      <c r="C1506" s="16" t="s">
        <v>18</v>
      </c>
      <c r="D1506" s="4">
        <v>10</v>
      </c>
      <c r="E1506" s="4" t="s">
        <v>745</v>
      </c>
      <c r="F1506" t="s">
        <v>677</v>
      </c>
      <c r="G1506" t="s">
        <v>836</v>
      </c>
      <c r="J1506" s="4" t="s">
        <v>55</v>
      </c>
      <c r="K1506" s="4" t="s">
        <v>20</v>
      </c>
      <c r="L1506" s="4" t="s">
        <v>742</v>
      </c>
      <c r="M1506" s="17">
        <v>30</v>
      </c>
      <c r="N1506" s="17">
        <v>711</v>
      </c>
      <c r="O1506" s="18" t="s">
        <v>55</v>
      </c>
      <c r="P1506" s="18">
        <v>711</v>
      </c>
      <c r="Q1506" s="18">
        <v>30</v>
      </c>
      <c r="R1506" s="18" t="s">
        <v>814</v>
      </c>
      <c r="S1506" s="18" t="s">
        <v>820</v>
      </c>
      <c r="T1506" s="18" t="s">
        <v>781</v>
      </c>
      <c r="U15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06" s="19">
        <f>IF(AUDITORIA[[#This Row],[CAT]]="",0,1)</f>
        <v>1</v>
      </c>
      <c r="W1506" s="20">
        <v>46197</v>
      </c>
      <c r="X1506" s="21" t="str">
        <f>UPPER(IF(AUDITORIA[[#This Row],[DATA VERIFICAÇÃO]]="","",TEXT(AUDITORIA[[#This Row],[DATA VERIFICAÇÃO]],"mmm")))</f>
        <v>JUN</v>
      </c>
      <c r="Y1506" t="s">
        <v>598</v>
      </c>
      <c r="Z1506" t="s">
        <v>691</v>
      </c>
      <c r="AA1506" t="s">
        <v>832</v>
      </c>
    </row>
    <row r="1507" spans="1:27" ht="14.4" hidden="1" customHeight="1" x14ac:dyDescent="0.3">
      <c r="A1507" s="4" t="s">
        <v>0</v>
      </c>
      <c r="B1507" s="4" t="s">
        <v>17</v>
      </c>
      <c r="C1507" s="16" t="s">
        <v>18</v>
      </c>
      <c r="D1507" s="4">
        <v>10</v>
      </c>
      <c r="E1507" s="4" t="s">
        <v>745</v>
      </c>
      <c r="F1507" t="s">
        <v>678</v>
      </c>
      <c r="G1507" t="s">
        <v>836</v>
      </c>
      <c r="J1507" s="4" t="s">
        <v>55</v>
      </c>
      <c r="K1507" s="4" t="s">
        <v>21</v>
      </c>
      <c r="L1507" s="4" t="s">
        <v>742</v>
      </c>
      <c r="M1507" s="17">
        <v>30</v>
      </c>
      <c r="N1507" s="17">
        <v>902</v>
      </c>
      <c r="O1507" s="18" t="s">
        <v>55</v>
      </c>
      <c r="P1507" s="18">
        <v>902</v>
      </c>
      <c r="Q1507" s="18">
        <v>30</v>
      </c>
      <c r="R1507" s="18" t="s">
        <v>814</v>
      </c>
      <c r="S1507" s="18" t="s">
        <v>825</v>
      </c>
      <c r="T1507" s="18" t="s">
        <v>782</v>
      </c>
      <c r="U15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07" s="19">
        <f>IF(AUDITORIA[[#This Row],[CAT]]="",0,1)</f>
        <v>1</v>
      </c>
      <c r="W1507" s="20">
        <v>46197</v>
      </c>
      <c r="X1507" s="21" t="str">
        <f>UPPER(IF(AUDITORIA[[#This Row],[DATA VERIFICAÇÃO]]="","",TEXT(AUDITORIA[[#This Row],[DATA VERIFICAÇÃO]],"mmm")))</f>
        <v>JUN</v>
      </c>
      <c r="Y1507" t="s">
        <v>598</v>
      </c>
      <c r="Z1507" t="s">
        <v>691</v>
      </c>
      <c r="AA1507" t="s">
        <v>832</v>
      </c>
    </row>
    <row r="1508" spans="1:27" ht="14.4" hidden="1" customHeight="1" x14ac:dyDescent="0.3">
      <c r="A1508" s="4" t="s">
        <v>0</v>
      </c>
      <c r="B1508" s="4" t="s">
        <v>17</v>
      </c>
      <c r="C1508" s="16" t="s">
        <v>18</v>
      </c>
      <c r="D1508" s="4">
        <v>10</v>
      </c>
      <c r="E1508" s="4" t="s">
        <v>745</v>
      </c>
      <c r="F1508" t="s">
        <v>676</v>
      </c>
      <c r="G1508" t="s">
        <v>836</v>
      </c>
      <c r="J1508" s="4" t="s">
        <v>55</v>
      </c>
      <c r="K1508" s="4" t="s">
        <v>21</v>
      </c>
      <c r="L1508" s="4" t="s">
        <v>742</v>
      </c>
      <c r="M1508" s="17">
        <v>30</v>
      </c>
      <c r="N1508" s="17">
        <v>899</v>
      </c>
      <c r="O1508" s="18" t="s">
        <v>55</v>
      </c>
      <c r="P1508" s="18">
        <v>899</v>
      </c>
      <c r="Q1508" s="18">
        <v>30</v>
      </c>
      <c r="R1508" s="18" t="s">
        <v>814</v>
      </c>
      <c r="S1508" s="18" t="s">
        <v>805</v>
      </c>
      <c r="T1508" s="18" t="s">
        <v>782</v>
      </c>
      <c r="U15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08" s="19">
        <f>IF(AUDITORIA[[#This Row],[CAT]]="",0,1)</f>
        <v>1</v>
      </c>
      <c r="W1508" s="20">
        <v>46197</v>
      </c>
      <c r="X1508" s="21" t="str">
        <f>UPPER(IF(AUDITORIA[[#This Row],[DATA VERIFICAÇÃO]]="","",TEXT(AUDITORIA[[#This Row],[DATA VERIFICAÇÃO]],"mmm")))</f>
        <v>JUN</v>
      </c>
      <c r="Y1508" t="s">
        <v>598</v>
      </c>
      <c r="Z1508" t="s">
        <v>691</v>
      </c>
      <c r="AA1508" t="s">
        <v>832</v>
      </c>
    </row>
    <row r="1509" spans="1:27" ht="14.4" hidden="1" customHeight="1" x14ac:dyDescent="0.3">
      <c r="A1509" s="4" t="s">
        <v>0</v>
      </c>
      <c r="B1509" s="4" t="s">
        <v>17</v>
      </c>
      <c r="C1509" s="16" t="s">
        <v>18</v>
      </c>
      <c r="D1509" s="4">
        <v>10</v>
      </c>
      <c r="E1509" s="4" t="s">
        <v>745</v>
      </c>
      <c r="F1509" t="s">
        <v>674</v>
      </c>
      <c r="G1509" t="s">
        <v>836</v>
      </c>
      <c r="J1509" s="4" t="s">
        <v>55</v>
      </c>
      <c r="K1509" s="4" t="s">
        <v>20</v>
      </c>
      <c r="L1509" s="4" t="s">
        <v>742</v>
      </c>
      <c r="M1509" s="17">
        <v>30</v>
      </c>
      <c r="N1509" s="17">
        <v>707</v>
      </c>
      <c r="O1509" s="18" t="s">
        <v>55</v>
      </c>
      <c r="P1509" s="18">
        <v>707</v>
      </c>
      <c r="Q1509" s="18">
        <v>30</v>
      </c>
      <c r="R1509" s="18" t="s">
        <v>814</v>
      </c>
      <c r="S1509" s="18" t="s">
        <v>820</v>
      </c>
      <c r="T1509" s="18" t="s">
        <v>780</v>
      </c>
      <c r="U15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09" s="19">
        <f>IF(AUDITORIA[[#This Row],[CAT]]="",0,1)</f>
        <v>1</v>
      </c>
      <c r="W1509" s="20">
        <v>46197</v>
      </c>
      <c r="X1509" s="21" t="str">
        <f>UPPER(IF(AUDITORIA[[#This Row],[DATA VERIFICAÇÃO]]="","",TEXT(AUDITORIA[[#This Row],[DATA VERIFICAÇÃO]],"mmm")))</f>
        <v>JUN</v>
      </c>
      <c r="Y1509" t="s">
        <v>598</v>
      </c>
      <c r="Z1509" t="s">
        <v>691</v>
      </c>
      <c r="AA1509" t="s">
        <v>832</v>
      </c>
    </row>
    <row r="1510" spans="1:27" ht="14.4" hidden="1" customHeight="1" x14ac:dyDescent="0.3">
      <c r="A1510" s="4" t="s">
        <v>0</v>
      </c>
      <c r="B1510" s="4" t="s">
        <v>17</v>
      </c>
      <c r="C1510" s="16" t="s">
        <v>18</v>
      </c>
      <c r="D1510" s="4">
        <v>10</v>
      </c>
      <c r="E1510" s="4" t="s">
        <v>745</v>
      </c>
      <c r="F1510" t="s">
        <v>675</v>
      </c>
      <c r="G1510" t="s">
        <v>836</v>
      </c>
      <c r="J1510" s="4" t="s">
        <v>55</v>
      </c>
      <c r="K1510" s="4" t="s">
        <v>21</v>
      </c>
      <c r="L1510" s="4" t="s">
        <v>742</v>
      </c>
      <c r="M1510" s="17">
        <v>27</v>
      </c>
      <c r="N1510" s="17">
        <v>917</v>
      </c>
      <c r="O1510" s="18" t="s">
        <v>55</v>
      </c>
      <c r="P1510" s="18">
        <v>917</v>
      </c>
      <c r="Q1510" s="18">
        <v>27</v>
      </c>
      <c r="R1510" s="18" t="s">
        <v>814</v>
      </c>
      <c r="S1510" s="18" t="s">
        <v>825</v>
      </c>
      <c r="T1510" s="18" t="s">
        <v>781</v>
      </c>
      <c r="U15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10" s="19">
        <f>IF(AUDITORIA[[#This Row],[CAT]]="",0,1)</f>
        <v>1</v>
      </c>
      <c r="W1510" s="20">
        <v>46197</v>
      </c>
      <c r="X1510" s="21" t="str">
        <f>UPPER(IF(AUDITORIA[[#This Row],[DATA VERIFICAÇÃO]]="","",TEXT(AUDITORIA[[#This Row],[DATA VERIFICAÇÃO]],"mmm")))</f>
        <v>JUN</v>
      </c>
      <c r="Y1510" t="s">
        <v>598</v>
      </c>
      <c r="Z1510" t="s">
        <v>691</v>
      </c>
      <c r="AA1510" t="s">
        <v>832</v>
      </c>
    </row>
    <row r="1511" spans="1:27" ht="14.4" hidden="1" customHeight="1" x14ac:dyDescent="0.3">
      <c r="A1511" s="4" t="s">
        <v>0</v>
      </c>
      <c r="B1511" s="4" t="s">
        <v>17</v>
      </c>
      <c r="C1511" s="16" t="s">
        <v>18</v>
      </c>
      <c r="D1511" s="4">
        <v>10</v>
      </c>
      <c r="E1511" s="4" t="s">
        <v>745</v>
      </c>
      <c r="F1511" t="s">
        <v>673</v>
      </c>
      <c r="G1511" t="s">
        <v>836</v>
      </c>
      <c r="J1511" s="4" t="s">
        <v>55</v>
      </c>
      <c r="K1511" s="4" t="s">
        <v>21</v>
      </c>
      <c r="L1511" s="4" t="s">
        <v>742</v>
      </c>
      <c r="M1511" s="17">
        <v>30</v>
      </c>
      <c r="N1511" s="17">
        <v>909</v>
      </c>
      <c r="O1511" s="18" t="s">
        <v>55</v>
      </c>
      <c r="P1511" s="18">
        <v>909</v>
      </c>
      <c r="Q1511" s="18">
        <v>30</v>
      </c>
      <c r="R1511" s="18" t="s">
        <v>814</v>
      </c>
      <c r="S1511" s="18" t="s">
        <v>808</v>
      </c>
      <c r="T1511" s="18" t="s">
        <v>782</v>
      </c>
      <c r="U15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11" s="19">
        <f>IF(AUDITORIA[[#This Row],[CAT]]="",0,1)</f>
        <v>1</v>
      </c>
      <c r="W1511" s="20">
        <v>46197</v>
      </c>
      <c r="X1511" s="21" t="str">
        <f>UPPER(IF(AUDITORIA[[#This Row],[DATA VERIFICAÇÃO]]="","",TEXT(AUDITORIA[[#This Row],[DATA VERIFICAÇÃO]],"mmm")))</f>
        <v>JUN</v>
      </c>
      <c r="Y1511" t="s">
        <v>598</v>
      </c>
      <c r="Z1511" t="s">
        <v>691</v>
      </c>
      <c r="AA1511" t="s">
        <v>832</v>
      </c>
    </row>
    <row r="1512" spans="1:27" ht="14.4" hidden="1" customHeight="1" x14ac:dyDescent="0.3">
      <c r="A1512" s="4" t="s">
        <v>0</v>
      </c>
      <c r="B1512" s="4" t="s">
        <v>17</v>
      </c>
      <c r="C1512" s="16" t="s">
        <v>18</v>
      </c>
      <c r="D1512" s="4">
        <v>10</v>
      </c>
      <c r="E1512" s="4" t="s">
        <v>745</v>
      </c>
      <c r="F1512" t="s">
        <v>672</v>
      </c>
      <c r="G1512" t="s">
        <v>836</v>
      </c>
      <c r="J1512" s="4" t="s">
        <v>55</v>
      </c>
      <c r="K1512" s="4" t="s">
        <v>20</v>
      </c>
      <c r="L1512" s="4" t="s">
        <v>742</v>
      </c>
      <c r="M1512" s="17">
        <v>30</v>
      </c>
      <c r="N1512" s="17">
        <v>701</v>
      </c>
      <c r="O1512" s="18" t="s">
        <v>55</v>
      </c>
      <c r="P1512" s="18">
        <v>701</v>
      </c>
      <c r="Q1512" s="18">
        <v>30</v>
      </c>
      <c r="R1512" s="18" t="s">
        <v>814</v>
      </c>
      <c r="S1512" s="18" t="s">
        <v>820</v>
      </c>
      <c r="T1512" s="18" t="s">
        <v>782</v>
      </c>
      <c r="U15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12" s="19">
        <f>IF(AUDITORIA[[#This Row],[CAT]]="",0,1)</f>
        <v>1</v>
      </c>
      <c r="W1512" s="20">
        <v>46197</v>
      </c>
      <c r="X1512" s="21" t="str">
        <f>UPPER(IF(AUDITORIA[[#This Row],[DATA VERIFICAÇÃO]]="","",TEXT(AUDITORIA[[#This Row],[DATA VERIFICAÇÃO]],"mmm")))</f>
        <v>JUN</v>
      </c>
      <c r="Y1512" t="s">
        <v>598</v>
      </c>
      <c r="Z1512" t="s">
        <v>691</v>
      </c>
      <c r="AA1512" t="s">
        <v>832</v>
      </c>
    </row>
    <row r="1513" spans="1:27" ht="14.4" hidden="1" customHeight="1" x14ac:dyDescent="0.3">
      <c r="A1513" s="4" t="s">
        <v>0</v>
      </c>
      <c r="B1513" s="4" t="s">
        <v>17</v>
      </c>
      <c r="C1513" s="16" t="s">
        <v>18</v>
      </c>
      <c r="D1513" s="4">
        <v>10</v>
      </c>
      <c r="E1513" s="4" t="s">
        <v>745</v>
      </c>
      <c r="F1513" t="s">
        <v>671</v>
      </c>
      <c r="G1513" t="s">
        <v>836</v>
      </c>
      <c r="J1513" s="4" t="s">
        <v>55</v>
      </c>
      <c r="K1513" s="4" t="s">
        <v>21</v>
      </c>
      <c r="L1513" s="4" t="s">
        <v>742</v>
      </c>
      <c r="M1513" s="17">
        <v>30</v>
      </c>
      <c r="N1513" s="17">
        <v>887</v>
      </c>
      <c r="O1513" s="18" t="s">
        <v>55</v>
      </c>
      <c r="P1513" s="18">
        <v>887</v>
      </c>
      <c r="Q1513" s="18">
        <v>30</v>
      </c>
      <c r="R1513" s="18" t="s">
        <v>814</v>
      </c>
      <c r="S1513" s="18" t="s">
        <v>825</v>
      </c>
      <c r="T1513" s="18" t="s">
        <v>794</v>
      </c>
      <c r="U15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13" s="19">
        <f>IF(AUDITORIA[[#This Row],[CAT]]="",0,1)</f>
        <v>1</v>
      </c>
      <c r="W1513" s="20">
        <v>46197</v>
      </c>
      <c r="X1513" s="21" t="str">
        <f>UPPER(IF(AUDITORIA[[#This Row],[DATA VERIFICAÇÃO]]="","",TEXT(AUDITORIA[[#This Row],[DATA VERIFICAÇÃO]],"mmm")))</f>
        <v>JUN</v>
      </c>
      <c r="Y1513" t="s">
        <v>598</v>
      </c>
      <c r="Z1513" t="s">
        <v>691</v>
      </c>
      <c r="AA1513" t="s">
        <v>832</v>
      </c>
    </row>
    <row r="1514" spans="1:27" ht="14.4" hidden="1" customHeight="1" x14ac:dyDescent="0.3">
      <c r="A1514" s="4" t="s">
        <v>0</v>
      </c>
      <c r="B1514" s="4" t="s">
        <v>17</v>
      </c>
      <c r="C1514" s="16" t="s">
        <v>18</v>
      </c>
      <c r="D1514" s="4">
        <v>10</v>
      </c>
      <c r="E1514" s="4" t="s">
        <v>745</v>
      </c>
      <c r="F1514" t="s">
        <v>669</v>
      </c>
      <c r="G1514" t="s">
        <v>836</v>
      </c>
      <c r="J1514" s="4" t="s">
        <v>55</v>
      </c>
      <c r="K1514" s="4" t="s">
        <v>20</v>
      </c>
      <c r="L1514" s="4" t="s">
        <v>742</v>
      </c>
      <c r="M1514" s="17">
        <v>30</v>
      </c>
      <c r="N1514" s="17">
        <v>700</v>
      </c>
      <c r="O1514" s="18" t="s">
        <v>55</v>
      </c>
      <c r="P1514" s="18">
        <v>700</v>
      </c>
      <c r="Q1514" s="18">
        <v>30</v>
      </c>
      <c r="R1514" s="18" t="s">
        <v>814</v>
      </c>
      <c r="S1514" s="18" t="s">
        <v>820</v>
      </c>
      <c r="T1514" s="18" t="s">
        <v>794</v>
      </c>
      <c r="U15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14" s="19">
        <f>IF(AUDITORIA[[#This Row],[CAT]]="",0,1)</f>
        <v>1</v>
      </c>
      <c r="W1514" s="20">
        <v>46197</v>
      </c>
      <c r="X1514" s="21" t="str">
        <f>UPPER(IF(AUDITORIA[[#This Row],[DATA VERIFICAÇÃO]]="","",TEXT(AUDITORIA[[#This Row],[DATA VERIFICAÇÃO]],"mmm")))</f>
        <v>JUN</v>
      </c>
      <c r="Y1514" t="s">
        <v>598</v>
      </c>
      <c r="Z1514" t="s">
        <v>691</v>
      </c>
      <c r="AA1514" t="s">
        <v>832</v>
      </c>
    </row>
    <row r="1515" spans="1:27" ht="14.4" hidden="1" customHeight="1" x14ac:dyDescent="0.3">
      <c r="A1515" s="4" t="s">
        <v>0</v>
      </c>
      <c r="B1515" s="4" t="s">
        <v>17</v>
      </c>
      <c r="C1515" s="16" t="s">
        <v>18</v>
      </c>
      <c r="D1515" s="4">
        <v>10</v>
      </c>
      <c r="E1515" s="4" t="s">
        <v>745</v>
      </c>
      <c r="F1515" t="s">
        <v>670</v>
      </c>
      <c r="G1515" t="s">
        <v>836</v>
      </c>
      <c r="J1515" s="4" t="s">
        <v>55</v>
      </c>
      <c r="K1515" s="4" t="s">
        <v>21</v>
      </c>
      <c r="L1515" s="4" t="s">
        <v>742</v>
      </c>
      <c r="M1515" s="17">
        <v>30</v>
      </c>
      <c r="N1515" s="17">
        <v>904</v>
      </c>
      <c r="O1515" s="18" t="s">
        <v>55</v>
      </c>
      <c r="P1515" s="18">
        <v>904</v>
      </c>
      <c r="Q1515" s="18">
        <v>30</v>
      </c>
      <c r="R1515" s="18" t="s">
        <v>814</v>
      </c>
      <c r="S1515" s="18" t="s">
        <v>824</v>
      </c>
      <c r="T1515" s="18" t="s">
        <v>782</v>
      </c>
      <c r="U15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15" s="19">
        <f>IF(AUDITORIA[[#This Row],[CAT]]="",0,1)</f>
        <v>1</v>
      </c>
      <c r="W1515" s="20">
        <v>46197</v>
      </c>
      <c r="X1515" s="21" t="str">
        <f>UPPER(IF(AUDITORIA[[#This Row],[DATA VERIFICAÇÃO]]="","",TEXT(AUDITORIA[[#This Row],[DATA VERIFICAÇÃO]],"mmm")))</f>
        <v>JUN</v>
      </c>
      <c r="Y1515" t="s">
        <v>598</v>
      </c>
      <c r="Z1515" t="s">
        <v>691</v>
      </c>
      <c r="AA1515" t="s">
        <v>832</v>
      </c>
    </row>
    <row r="1516" spans="1:27" ht="14.4" hidden="1" customHeight="1" x14ac:dyDescent="0.3">
      <c r="A1516" s="4" t="s">
        <v>0</v>
      </c>
      <c r="B1516" s="4" t="s">
        <v>17</v>
      </c>
      <c r="C1516" s="16" t="s">
        <v>18</v>
      </c>
      <c r="D1516" s="4">
        <v>10</v>
      </c>
      <c r="E1516" s="4" t="s">
        <v>745</v>
      </c>
      <c r="F1516" t="s">
        <v>668</v>
      </c>
      <c r="G1516" t="s">
        <v>836</v>
      </c>
      <c r="J1516" s="4" t="s">
        <v>55</v>
      </c>
      <c r="K1516" s="4" t="s">
        <v>21</v>
      </c>
      <c r="L1516" s="4" t="s">
        <v>742</v>
      </c>
      <c r="M1516" s="17">
        <v>27</v>
      </c>
      <c r="N1516" s="17">
        <v>920</v>
      </c>
      <c r="O1516" s="18" t="s">
        <v>55</v>
      </c>
      <c r="P1516" s="18">
        <v>920</v>
      </c>
      <c r="Q1516" s="18">
        <v>27</v>
      </c>
      <c r="R1516" s="18" t="s">
        <v>814</v>
      </c>
      <c r="S1516" s="18" t="s">
        <v>824</v>
      </c>
      <c r="T1516" s="18" t="s">
        <v>780</v>
      </c>
      <c r="U15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16" s="19">
        <f>IF(AUDITORIA[[#This Row],[CAT]]="",0,1)</f>
        <v>1</v>
      </c>
      <c r="W1516" s="20">
        <v>46197</v>
      </c>
      <c r="X1516" s="21" t="str">
        <f>UPPER(IF(AUDITORIA[[#This Row],[DATA VERIFICAÇÃO]]="","",TEXT(AUDITORIA[[#This Row],[DATA VERIFICAÇÃO]],"mmm")))</f>
        <v>JUN</v>
      </c>
      <c r="Y1516" t="s">
        <v>598</v>
      </c>
      <c r="Z1516" t="s">
        <v>691</v>
      </c>
      <c r="AA1516" t="s">
        <v>832</v>
      </c>
    </row>
    <row r="1517" spans="1:27" ht="14.4" hidden="1" customHeight="1" x14ac:dyDescent="0.3">
      <c r="A1517" s="4" t="s">
        <v>0</v>
      </c>
      <c r="B1517" s="4" t="s">
        <v>17</v>
      </c>
      <c r="C1517" s="16" t="s">
        <v>18</v>
      </c>
      <c r="D1517" s="4">
        <v>10</v>
      </c>
      <c r="E1517" s="4" t="s">
        <v>745</v>
      </c>
      <c r="F1517" t="s">
        <v>666</v>
      </c>
      <c r="G1517" t="s">
        <v>836</v>
      </c>
      <c r="J1517" s="4" t="s">
        <v>55</v>
      </c>
      <c r="K1517" s="4" t="s">
        <v>20</v>
      </c>
      <c r="L1517" s="4" t="s">
        <v>742</v>
      </c>
      <c r="M1517" s="17">
        <v>30</v>
      </c>
      <c r="N1517" s="17">
        <v>708</v>
      </c>
      <c r="O1517" s="18" t="s">
        <v>55</v>
      </c>
      <c r="P1517" s="18">
        <v>708</v>
      </c>
      <c r="Q1517" s="18">
        <v>30</v>
      </c>
      <c r="R1517" s="18" t="s">
        <v>814</v>
      </c>
      <c r="S1517" s="18" t="s">
        <v>823</v>
      </c>
      <c r="T1517" s="18" t="s">
        <v>794</v>
      </c>
      <c r="U15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17" s="19">
        <f>IF(AUDITORIA[[#This Row],[CAT]]="",0,1)</f>
        <v>1</v>
      </c>
      <c r="W1517" s="20">
        <v>46197</v>
      </c>
      <c r="X1517" s="21" t="str">
        <f>UPPER(IF(AUDITORIA[[#This Row],[DATA VERIFICAÇÃO]]="","",TEXT(AUDITORIA[[#This Row],[DATA VERIFICAÇÃO]],"mmm")))</f>
        <v>JUN</v>
      </c>
      <c r="Y1517" t="s">
        <v>598</v>
      </c>
      <c r="Z1517" t="s">
        <v>691</v>
      </c>
      <c r="AA1517" t="s">
        <v>832</v>
      </c>
    </row>
    <row r="1518" spans="1:27" ht="14.4" hidden="1" customHeight="1" x14ac:dyDescent="0.3">
      <c r="A1518" s="4" t="s">
        <v>0</v>
      </c>
      <c r="B1518" s="4" t="s">
        <v>17</v>
      </c>
      <c r="C1518" s="16" t="s">
        <v>18</v>
      </c>
      <c r="D1518" s="4">
        <v>10</v>
      </c>
      <c r="E1518" s="4" t="s">
        <v>745</v>
      </c>
      <c r="F1518" t="s">
        <v>667</v>
      </c>
      <c r="G1518" t="s">
        <v>836</v>
      </c>
      <c r="J1518" s="4" t="s">
        <v>55</v>
      </c>
      <c r="K1518" s="4" t="s">
        <v>21</v>
      </c>
      <c r="L1518" s="4" t="s">
        <v>742</v>
      </c>
      <c r="M1518" s="17">
        <v>30</v>
      </c>
      <c r="N1518" s="17">
        <v>894</v>
      </c>
      <c r="O1518" s="18" t="s">
        <v>55</v>
      </c>
      <c r="P1518" s="18">
        <v>894</v>
      </c>
      <c r="Q1518" s="18">
        <v>30</v>
      </c>
      <c r="R1518" s="18" t="s">
        <v>814</v>
      </c>
      <c r="S1518" s="18" t="s">
        <v>824</v>
      </c>
      <c r="T1518" s="18" t="s">
        <v>781</v>
      </c>
      <c r="U15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18" s="19">
        <f>IF(AUDITORIA[[#This Row],[CAT]]="",0,1)</f>
        <v>1</v>
      </c>
      <c r="W1518" s="20">
        <v>46197</v>
      </c>
      <c r="X1518" s="21" t="str">
        <f>UPPER(IF(AUDITORIA[[#This Row],[DATA VERIFICAÇÃO]]="","",TEXT(AUDITORIA[[#This Row],[DATA VERIFICAÇÃO]],"mmm")))</f>
        <v>JUN</v>
      </c>
      <c r="Y1518" t="s">
        <v>598</v>
      </c>
      <c r="Z1518" t="s">
        <v>691</v>
      </c>
      <c r="AA1518" t="s">
        <v>832</v>
      </c>
    </row>
    <row r="1519" spans="1:27" ht="14.4" hidden="1" customHeight="1" x14ac:dyDescent="0.3">
      <c r="A1519" s="4" t="s">
        <v>0</v>
      </c>
      <c r="B1519" s="4" t="s">
        <v>17</v>
      </c>
      <c r="C1519" s="16" t="s">
        <v>18</v>
      </c>
      <c r="D1519" s="4">
        <v>10</v>
      </c>
      <c r="E1519" s="4" t="s">
        <v>745</v>
      </c>
      <c r="F1519" t="s">
        <v>663</v>
      </c>
      <c r="G1519" t="s">
        <v>836</v>
      </c>
      <c r="J1519" s="4" t="s">
        <v>55</v>
      </c>
      <c r="K1519" s="4" t="s">
        <v>21</v>
      </c>
      <c r="L1519" s="4" t="s">
        <v>742</v>
      </c>
      <c r="M1519" s="17">
        <v>30</v>
      </c>
      <c r="N1519" s="17">
        <v>903</v>
      </c>
      <c r="O1519" s="18" t="s">
        <v>55</v>
      </c>
      <c r="P1519" s="18">
        <v>903</v>
      </c>
      <c r="Q1519" s="18">
        <v>30</v>
      </c>
      <c r="R1519" s="18" t="s">
        <v>814</v>
      </c>
      <c r="S1519" s="18" t="s">
        <v>824</v>
      </c>
      <c r="T1519" s="18" t="s">
        <v>794</v>
      </c>
      <c r="U15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19" s="19">
        <f>IF(AUDITORIA[[#This Row],[CAT]]="",0,1)</f>
        <v>1</v>
      </c>
      <c r="W1519" s="20">
        <v>46197</v>
      </c>
      <c r="X1519" s="21" t="str">
        <f>UPPER(IF(AUDITORIA[[#This Row],[DATA VERIFICAÇÃO]]="","",TEXT(AUDITORIA[[#This Row],[DATA VERIFICAÇÃO]],"mmm")))</f>
        <v>JUN</v>
      </c>
      <c r="Y1519" t="s">
        <v>598</v>
      </c>
      <c r="Z1519" t="s">
        <v>691</v>
      </c>
      <c r="AA1519" t="s">
        <v>832</v>
      </c>
    </row>
    <row r="1520" spans="1:27" ht="14.4" hidden="1" customHeight="1" x14ac:dyDescent="0.3">
      <c r="A1520" s="4" t="s">
        <v>0</v>
      </c>
      <c r="B1520" s="4" t="s">
        <v>17</v>
      </c>
      <c r="C1520" s="16" t="s">
        <v>18</v>
      </c>
      <c r="D1520" s="4">
        <v>10</v>
      </c>
      <c r="E1520" s="4" t="s">
        <v>745</v>
      </c>
      <c r="F1520" t="s">
        <v>665</v>
      </c>
      <c r="G1520" t="s">
        <v>836</v>
      </c>
      <c r="J1520" s="4" t="s">
        <v>55</v>
      </c>
      <c r="K1520" s="4" t="s">
        <v>20</v>
      </c>
      <c r="L1520" s="4" t="s">
        <v>742</v>
      </c>
      <c r="M1520" s="17">
        <v>30</v>
      </c>
      <c r="N1520" s="17">
        <v>702</v>
      </c>
      <c r="O1520" s="18" t="s">
        <v>55</v>
      </c>
      <c r="P1520" s="18">
        <v>702</v>
      </c>
      <c r="Q1520" s="18">
        <v>30</v>
      </c>
      <c r="R1520" s="18" t="s">
        <v>814</v>
      </c>
      <c r="S1520" s="18" t="s">
        <v>823</v>
      </c>
      <c r="T1520" s="18" t="s">
        <v>781</v>
      </c>
      <c r="U15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20" s="19">
        <f>IF(AUDITORIA[[#This Row],[CAT]]="",0,1)</f>
        <v>1</v>
      </c>
      <c r="W1520" s="20">
        <v>46197</v>
      </c>
      <c r="X1520" s="21" t="str">
        <f>UPPER(IF(AUDITORIA[[#This Row],[DATA VERIFICAÇÃO]]="","",TEXT(AUDITORIA[[#This Row],[DATA VERIFICAÇÃO]],"mmm")))</f>
        <v>JUN</v>
      </c>
      <c r="Y1520" t="s">
        <v>598</v>
      </c>
      <c r="Z1520" t="s">
        <v>691</v>
      </c>
      <c r="AA1520" t="s">
        <v>832</v>
      </c>
    </row>
    <row r="1521" spans="1:27" ht="14.4" hidden="1" customHeight="1" x14ac:dyDescent="0.3">
      <c r="A1521" s="4" t="s">
        <v>0</v>
      </c>
      <c r="B1521" s="4" t="s">
        <v>17</v>
      </c>
      <c r="C1521" s="16" t="s">
        <v>18</v>
      </c>
      <c r="D1521" s="4">
        <v>10</v>
      </c>
      <c r="E1521" s="4" t="s">
        <v>745</v>
      </c>
      <c r="F1521" t="s">
        <v>664</v>
      </c>
      <c r="G1521" t="s">
        <v>836</v>
      </c>
      <c r="J1521" s="4" t="s">
        <v>55</v>
      </c>
      <c r="K1521" s="4" t="s">
        <v>21</v>
      </c>
      <c r="L1521" s="4" t="s">
        <v>742</v>
      </c>
      <c r="M1521" s="17">
        <v>27</v>
      </c>
      <c r="N1521" s="17">
        <v>918</v>
      </c>
      <c r="O1521" s="18" t="s">
        <v>55</v>
      </c>
      <c r="P1521" s="18">
        <v>918</v>
      </c>
      <c r="Q1521" s="18">
        <v>27</v>
      </c>
      <c r="R1521" s="18" t="s">
        <v>814</v>
      </c>
      <c r="S1521" s="18" t="s">
        <v>822</v>
      </c>
      <c r="T1521" s="18" t="s">
        <v>781</v>
      </c>
      <c r="U15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21" s="19">
        <f>IF(AUDITORIA[[#This Row],[CAT]]="",0,1)</f>
        <v>1</v>
      </c>
      <c r="W1521" s="20">
        <v>46197</v>
      </c>
      <c r="X1521" s="21" t="str">
        <f>UPPER(IF(AUDITORIA[[#This Row],[DATA VERIFICAÇÃO]]="","",TEXT(AUDITORIA[[#This Row],[DATA VERIFICAÇÃO]],"mmm")))</f>
        <v>JUN</v>
      </c>
      <c r="Y1521" t="s">
        <v>598</v>
      </c>
      <c r="Z1521" t="s">
        <v>691</v>
      </c>
      <c r="AA1521" t="s">
        <v>832</v>
      </c>
    </row>
    <row r="1522" spans="1:27" ht="14.4" hidden="1" customHeight="1" x14ac:dyDescent="0.3">
      <c r="A1522" s="4" t="s">
        <v>0</v>
      </c>
      <c r="B1522" s="4" t="s">
        <v>17</v>
      </c>
      <c r="C1522" s="16" t="s">
        <v>18</v>
      </c>
      <c r="D1522" s="4">
        <v>10</v>
      </c>
      <c r="E1522" s="4" t="s">
        <v>745</v>
      </c>
      <c r="F1522" t="s">
        <v>662</v>
      </c>
      <c r="G1522" t="s">
        <v>836</v>
      </c>
      <c r="J1522" s="4" t="s">
        <v>55</v>
      </c>
      <c r="K1522" s="4" t="s">
        <v>20</v>
      </c>
      <c r="L1522" s="4" t="s">
        <v>742</v>
      </c>
      <c r="M1522" s="17">
        <v>30</v>
      </c>
      <c r="N1522" s="17">
        <v>692</v>
      </c>
      <c r="O1522" s="18" t="s">
        <v>55</v>
      </c>
      <c r="P1522" s="18">
        <v>692</v>
      </c>
      <c r="Q1522" s="18">
        <v>30</v>
      </c>
      <c r="R1522" s="18" t="s">
        <v>814</v>
      </c>
      <c r="S1522" s="18" t="s">
        <v>823</v>
      </c>
      <c r="T1522" s="18" t="s">
        <v>780</v>
      </c>
      <c r="U15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22" s="19">
        <f>IF(AUDITORIA[[#This Row],[CAT]]="",0,1)</f>
        <v>1</v>
      </c>
      <c r="W1522" s="20">
        <v>46197</v>
      </c>
      <c r="X1522" s="21" t="str">
        <f>UPPER(IF(AUDITORIA[[#This Row],[DATA VERIFICAÇÃO]]="","",TEXT(AUDITORIA[[#This Row],[DATA VERIFICAÇÃO]],"mmm")))</f>
        <v>JUN</v>
      </c>
      <c r="Y1522" t="s">
        <v>598</v>
      </c>
      <c r="Z1522" t="s">
        <v>691</v>
      </c>
      <c r="AA1522" t="s">
        <v>832</v>
      </c>
    </row>
    <row r="1523" spans="1:27" ht="14.4" hidden="1" customHeight="1" x14ac:dyDescent="0.3">
      <c r="A1523" s="4" t="s">
        <v>0</v>
      </c>
      <c r="B1523" s="4" t="s">
        <v>17</v>
      </c>
      <c r="C1523" s="16" t="s">
        <v>18</v>
      </c>
      <c r="D1523" s="4">
        <v>10</v>
      </c>
      <c r="E1523" s="4" t="s">
        <v>745</v>
      </c>
      <c r="F1523" t="s">
        <v>661</v>
      </c>
      <c r="G1523" t="s">
        <v>836</v>
      </c>
      <c r="J1523" s="4" t="s">
        <v>55</v>
      </c>
      <c r="K1523" s="4" t="s">
        <v>21</v>
      </c>
      <c r="L1523" s="4" t="s">
        <v>742</v>
      </c>
      <c r="M1523" s="17">
        <v>30</v>
      </c>
      <c r="N1523" s="17">
        <v>884</v>
      </c>
      <c r="O1523" s="18" t="s">
        <v>55</v>
      </c>
      <c r="P1523" s="18">
        <v>884</v>
      </c>
      <c r="Q1523" s="18">
        <v>30</v>
      </c>
      <c r="R1523" s="18" t="s">
        <v>814</v>
      </c>
      <c r="S1523" s="18" t="s">
        <v>822</v>
      </c>
      <c r="T1523" s="18" t="s">
        <v>780</v>
      </c>
      <c r="U15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23" s="19">
        <f>IF(AUDITORIA[[#This Row],[CAT]]="",0,1)</f>
        <v>1</v>
      </c>
      <c r="W1523" s="20">
        <v>46197</v>
      </c>
      <c r="X1523" s="21" t="str">
        <f>UPPER(IF(AUDITORIA[[#This Row],[DATA VERIFICAÇÃO]]="","",TEXT(AUDITORIA[[#This Row],[DATA VERIFICAÇÃO]],"mmm")))</f>
        <v>JUN</v>
      </c>
      <c r="Y1523" t="s">
        <v>598</v>
      </c>
      <c r="Z1523" t="s">
        <v>691</v>
      </c>
      <c r="AA1523" t="s">
        <v>832</v>
      </c>
    </row>
    <row r="1524" spans="1:27" ht="14.4" hidden="1" customHeight="1" x14ac:dyDescent="0.3">
      <c r="A1524" s="4" t="s">
        <v>0</v>
      </c>
      <c r="B1524" s="4" t="s">
        <v>17</v>
      </c>
      <c r="C1524" s="16" t="s">
        <v>18</v>
      </c>
      <c r="D1524" s="4">
        <v>10</v>
      </c>
      <c r="E1524" s="4" t="s">
        <v>745</v>
      </c>
      <c r="F1524" t="s">
        <v>659</v>
      </c>
      <c r="G1524" t="s">
        <v>836</v>
      </c>
      <c r="J1524" s="4" t="s">
        <v>55</v>
      </c>
      <c r="K1524" s="4" t="s">
        <v>20</v>
      </c>
      <c r="L1524" s="4" t="s">
        <v>742</v>
      </c>
      <c r="M1524" s="17">
        <v>30</v>
      </c>
      <c r="N1524" s="17">
        <v>705</v>
      </c>
      <c r="O1524" s="18" t="s">
        <v>55</v>
      </c>
      <c r="P1524" s="18">
        <v>705</v>
      </c>
      <c r="Q1524" s="18">
        <v>30</v>
      </c>
      <c r="R1524" s="18" t="s">
        <v>814</v>
      </c>
      <c r="S1524" s="18" t="s">
        <v>823</v>
      </c>
      <c r="T1524" s="18" t="s">
        <v>782</v>
      </c>
      <c r="U15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24" s="19">
        <f>IF(AUDITORIA[[#This Row],[CAT]]="",0,1)</f>
        <v>1</v>
      </c>
      <c r="W1524" s="20">
        <v>46197</v>
      </c>
      <c r="X1524" s="21" t="str">
        <f>UPPER(IF(AUDITORIA[[#This Row],[DATA VERIFICAÇÃO]]="","",TEXT(AUDITORIA[[#This Row],[DATA VERIFICAÇÃO]],"mmm")))</f>
        <v>JUN</v>
      </c>
      <c r="Y1524" t="s">
        <v>598</v>
      </c>
      <c r="Z1524" t="s">
        <v>691</v>
      </c>
      <c r="AA1524" t="s">
        <v>832</v>
      </c>
    </row>
    <row r="1525" spans="1:27" ht="14.4" hidden="1" customHeight="1" x14ac:dyDescent="0.3">
      <c r="A1525" s="4" t="s">
        <v>0</v>
      </c>
      <c r="B1525" s="4" t="s">
        <v>17</v>
      </c>
      <c r="C1525" s="16" t="s">
        <v>18</v>
      </c>
      <c r="D1525" s="4">
        <v>10</v>
      </c>
      <c r="E1525" s="4" t="s">
        <v>745</v>
      </c>
      <c r="F1525" t="s">
        <v>660</v>
      </c>
      <c r="G1525" t="s">
        <v>836</v>
      </c>
      <c r="J1525" s="4" t="s">
        <v>55</v>
      </c>
      <c r="K1525" s="4" t="s">
        <v>21</v>
      </c>
      <c r="L1525" s="4" t="s">
        <v>742</v>
      </c>
      <c r="M1525" s="17">
        <v>30</v>
      </c>
      <c r="N1525" s="17">
        <v>901</v>
      </c>
      <c r="O1525" s="18" t="s">
        <v>55</v>
      </c>
      <c r="P1525" s="18">
        <v>901</v>
      </c>
      <c r="Q1525" s="18">
        <v>30</v>
      </c>
      <c r="R1525" s="18" t="s">
        <v>814</v>
      </c>
      <c r="S1525" s="18" t="s">
        <v>822</v>
      </c>
      <c r="T1525" s="18" t="s">
        <v>782</v>
      </c>
      <c r="U15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25" s="19">
        <f>IF(AUDITORIA[[#This Row],[CAT]]="",0,1)</f>
        <v>1</v>
      </c>
      <c r="W1525" s="20">
        <v>46197</v>
      </c>
      <c r="X1525" s="21" t="str">
        <f>UPPER(IF(AUDITORIA[[#This Row],[DATA VERIFICAÇÃO]]="","",TEXT(AUDITORIA[[#This Row],[DATA VERIFICAÇÃO]],"mmm")))</f>
        <v>JUN</v>
      </c>
      <c r="Y1525" t="s">
        <v>598</v>
      </c>
      <c r="Z1525" t="s">
        <v>691</v>
      </c>
      <c r="AA1525" t="s">
        <v>832</v>
      </c>
    </row>
    <row r="1526" spans="1:27" ht="14.4" hidden="1" customHeight="1" x14ac:dyDescent="0.3">
      <c r="A1526" s="4" t="s">
        <v>0</v>
      </c>
      <c r="B1526" s="4" t="s">
        <v>17</v>
      </c>
      <c r="C1526" s="16" t="s">
        <v>18</v>
      </c>
      <c r="D1526" s="4">
        <v>10</v>
      </c>
      <c r="E1526" s="4" t="s">
        <v>745</v>
      </c>
      <c r="F1526" t="s">
        <v>658</v>
      </c>
      <c r="G1526" t="s">
        <v>836</v>
      </c>
      <c r="J1526" s="4" t="s">
        <v>55</v>
      </c>
      <c r="K1526" s="4" t="s">
        <v>21</v>
      </c>
      <c r="L1526" s="4" t="s">
        <v>742</v>
      </c>
      <c r="M1526" s="17">
        <v>30</v>
      </c>
      <c r="N1526" s="17">
        <v>896</v>
      </c>
      <c r="O1526" s="18" t="s">
        <v>55</v>
      </c>
      <c r="P1526" s="18">
        <v>896</v>
      </c>
      <c r="Q1526" s="18">
        <v>30</v>
      </c>
      <c r="R1526" s="18" t="s">
        <v>814</v>
      </c>
      <c r="S1526" s="18" t="s">
        <v>822</v>
      </c>
      <c r="T1526" s="18" t="s">
        <v>794</v>
      </c>
      <c r="U15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26" s="19">
        <f>IF(AUDITORIA[[#This Row],[CAT]]="",0,1)</f>
        <v>1</v>
      </c>
      <c r="W1526" s="20">
        <v>46197</v>
      </c>
      <c r="X1526" s="21" t="str">
        <f>UPPER(IF(AUDITORIA[[#This Row],[DATA VERIFICAÇÃO]]="","",TEXT(AUDITORIA[[#This Row],[DATA VERIFICAÇÃO]],"mmm")))</f>
        <v>JUN</v>
      </c>
      <c r="Y1526" t="s">
        <v>598</v>
      </c>
      <c r="Z1526" t="s">
        <v>691</v>
      </c>
      <c r="AA1526" t="s">
        <v>832</v>
      </c>
    </row>
    <row r="1527" spans="1:27" ht="14.4" hidden="1" customHeight="1" x14ac:dyDescent="0.3">
      <c r="A1527" s="4" t="s">
        <v>0</v>
      </c>
      <c r="B1527" s="4" t="s">
        <v>17</v>
      </c>
      <c r="C1527" s="16" t="s">
        <v>18</v>
      </c>
      <c r="D1527" s="4">
        <v>10</v>
      </c>
      <c r="E1527" s="4" t="s">
        <v>745</v>
      </c>
      <c r="F1527" t="s">
        <v>657</v>
      </c>
      <c r="G1527" t="s">
        <v>836</v>
      </c>
      <c r="J1527" s="4" t="s">
        <v>55</v>
      </c>
      <c r="K1527" s="4" t="s">
        <v>20</v>
      </c>
      <c r="L1527" s="4" t="s">
        <v>742</v>
      </c>
      <c r="M1527" s="17">
        <v>29</v>
      </c>
      <c r="N1527" s="17">
        <v>710</v>
      </c>
      <c r="O1527" s="18" t="s">
        <v>55</v>
      </c>
      <c r="P1527" s="18">
        <v>710</v>
      </c>
      <c r="Q1527" s="18">
        <v>29</v>
      </c>
      <c r="R1527" s="18" t="s">
        <v>814</v>
      </c>
      <c r="S1527" s="18" t="s">
        <v>793</v>
      </c>
      <c r="T1527" s="18" t="s">
        <v>780</v>
      </c>
      <c r="U15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27" s="19">
        <f>IF(AUDITORIA[[#This Row],[CAT]]="",0,1)</f>
        <v>1</v>
      </c>
      <c r="W1527" s="20">
        <v>46197</v>
      </c>
      <c r="X1527" s="21" t="str">
        <f>UPPER(IF(AUDITORIA[[#This Row],[DATA VERIFICAÇÃO]]="","",TEXT(AUDITORIA[[#This Row],[DATA VERIFICAÇÃO]],"mmm")))</f>
        <v>JUN</v>
      </c>
      <c r="Y1527" t="s">
        <v>598</v>
      </c>
      <c r="Z1527" t="s">
        <v>691</v>
      </c>
      <c r="AA1527" t="s">
        <v>832</v>
      </c>
    </row>
    <row r="1528" spans="1:27" ht="14.4" hidden="1" customHeight="1" x14ac:dyDescent="0.3">
      <c r="A1528" s="4" t="s">
        <v>0</v>
      </c>
      <c r="B1528" s="4" t="s">
        <v>17</v>
      </c>
      <c r="C1528" s="16" t="s">
        <v>18</v>
      </c>
      <c r="D1528" s="4">
        <v>10</v>
      </c>
      <c r="E1528" s="4" t="s">
        <v>745</v>
      </c>
      <c r="F1528" t="s">
        <v>656</v>
      </c>
      <c r="G1528" t="s">
        <v>836</v>
      </c>
      <c r="J1528" s="4" t="s">
        <v>55</v>
      </c>
      <c r="K1528" s="4" t="s">
        <v>21</v>
      </c>
      <c r="L1528" s="4" t="s">
        <v>742</v>
      </c>
      <c r="M1528" s="17">
        <v>24</v>
      </c>
      <c r="N1528" s="17">
        <v>925</v>
      </c>
      <c r="O1528" s="18" t="s">
        <v>55</v>
      </c>
      <c r="P1528" s="18">
        <v>925</v>
      </c>
      <c r="Q1528" s="18">
        <v>24</v>
      </c>
      <c r="R1528" s="18" t="s">
        <v>814</v>
      </c>
      <c r="S1528" s="18" t="s">
        <v>809</v>
      </c>
      <c r="T1528" s="18" t="s">
        <v>781</v>
      </c>
      <c r="U15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28" s="19">
        <f>IF(AUDITORIA[[#This Row],[CAT]]="",0,1)</f>
        <v>1</v>
      </c>
      <c r="W1528" s="20">
        <v>46197</v>
      </c>
      <c r="X1528" s="21" t="str">
        <f>UPPER(IF(AUDITORIA[[#This Row],[DATA VERIFICAÇÃO]]="","",TEXT(AUDITORIA[[#This Row],[DATA VERIFICAÇÃO]],"mmm")))</f>
        <v>JUN</v>
      </c>
      <c r="Y1528" t="s">
        <v>598</v>
      </c>
      <c r="Z1528" t="s">
        <v>691</v>
      </c>
      <c r="AA1528" t="s">
        <v>832</v>
      </c>
    </row>
    <row r="1529" spans="1:27" ht="14.4" hidden="1" customHeight="1" x14ac:dyDescent="0.3">
      <c r="A1529" s="4" t="s">
        <v>0</v>
      </c>
      <c r="B1529" s="4" t="s">
        <v>17</v>
      </c>
      <c r="C1529" s="16" t="s">
        <v>18</v>
      </c>
      <c r="D1529" s="4">
        <v>10</v>
      </c>
      <c r="E1529" s="4" t="s">
        <v>745</v>
      </c>
      <c r="F1529" t="s">
        <v>655</v>
      </c>
      <c r="G1529" t="s">
        <v>837</v>
      </c>
      <c r="J1529" s="4" t="s">
        <v>55</v>
      </c>
      <c r="K1529" s="4" t="s">
        <v>20</v>
      </c>
      <c r="L1529" s="4" t="s">
        <v>742</v>
      </c>
      <c r="M1529" s="17">
        <v>30</v>
      </c>
      <c r="N1529" s="17">
        <v>629</v>
      </c>
      <c r="O1529" s="18" t="s">
        <v>55</v>
      </c>
      <c r="P1529" s="18">
        <v>629</v>
      </c>
      <c r="Q1529" s="18">
        <v>30</v>
      </c>
      <c r="R1529" s="18" t="s">
        <v>814</v>
      </c>
      <c r="S1529" s="18" t="s">
        <v>792</v>
      </c>
      <c r="T1529" s="18" t="s">
        <v>780</v>
      </c>
      <c r="U15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29" s="19">
        <f>IF(AUDITORIA[[#This Row],[CAT]]="",0,1)</f>
        <v>1</v>
      </c>
      <c r="W1529" s="20">
        <v>46197</v>
      </c>
      <c r="X1529" s="21" t="str">
        <f>UPPER(IF(AUDITORIA[[#This Row],[DATA VERIFICAÇÃO]]="","",TEXT(AUDITORIA[[#This Row],[DATA VERIFICAÇÃO]],"mmm")))</f>
        <v>JUN</v>
      </c>
      <c r="Y1529" t="s">
        <v>598</v>
      </c>
      <c r="Z1529" t="s">
        <v>691</v>
      </c>
      <c r="AA1529" t="s">
        <v>832</v>
      </c>
    </row>
    <row r="1530" spans="1:27" ht="14.4" hidden="1" customHeight="1" x14ac:dyDescent="0.3">
      <c r="A1530" s="4" t="s">
        <v>0</v>
      </c>
      <c r="B1530" s="4" t="s">
        <v>17</v>
      </c>
      <c r="C1530" s="16" t="s">
        <v>18</v>
      </c>
      <c r="D1530" s="4">
        <v>10</v>
      </c>
      <c r="E1530" s="4" t="s">
        <v>745</v>
      </c>
      <c r="F1530" t="s">
        <v>654</v>
      </c>
      <c r="G1530" t="s">
        <v>837</v>
      </c>
      <c r="J1530" s="4" t="s">
        <v>55</v>
      </c>
      <c r="K1530" s="4" t="s">
        <v>21</v>
      </c>
      <c r="L1530" s="4" t="s">
        <v>742</v>
      </c>
      <c r="M1530" s="17">
        <v>30</v>
      </c>
      <c r="N1530" s="17">
        <v>814</v>
      </c>
      <c r="O1530" s="18" t="s">
        <v>55</v>
      </c>
      <c r="P1530" s="18">
        <v>814</v>
      </c>
      <c r="Q1530" s="18">
        <v>30</v>
      </c>
      <c r="R1530" s="18" t="s">
        <v>814</v>
      </c>
      <c r="S1530" s="18" t="s">
        <v>821</v>
      </c>
      <c r="T1530" s="18" t="s">
        <v>782</v>
      </c>
      <c r="U15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30" s="19">
        <f>IF(AUDITORIA[[#This Row],[CAT]]="",0,1)</f>
        <v>1</v>
      </c>
      <c r="W1530" s="20">
        <v>46197</v>
      </c>
      <c r="X1530" s="21" t="str">
        <f>UPPER(IF(AUDITORIA[[#This Row],[DATA VERIFICAÇÃO]]="","",TEXT(AUDITORIA[[#This Row],[DATA VERIFICAÇÃO]],"mmm")))</f>
        <v>JUN</v>
      </c>
      <c r="Y1530" t="s">
        <v>598</v>
      </c>
      <c r="Z1530" t="s">
        <v>691</v>
      </c>
      <c r="AA1530" t="s">
        <v>832</v>
      </c>
    </row>
    <row r="1531" spans="1:27" ht="14.4" hidden="1" customHeight="1" x14ac:dyDescent="0.3">
      <c r="A1531" s="4" t="s">
        <v>0</v>
      </c>
      <c r="B1531" s="4" t="s">
        <v>17</v>
      </c>
      <c r="C1531" s="16" t="s">
        <v>18</v>
      </c>
      <c r="D1531" s="4">
        <v>10</v>
      </c>
      <c r="E1531" s="4" t="s">
        <v>745</v>
      </c>
      <c r="F1531" t="s">
        <v>653</v>
      </c>
      <c r="G1531" t="s">
        <v>837</v>
      </c>
      <c r="J1531" s="4" t="s">
        <v>55</v>
      </c>
      <c r="K1531" s="4" t="s">
        <v>20</v>
      </c>
      <c r="L1531" s="4" t="s">
        <v>742</v>
      </c>
      <c r="M1531" s="17">
        <v>30</v>
      </c>
      <c r="N1531" s="17">
        <v>651</v>
      </c>
      <c r="O1531" s="18" t="s">
        <v>55</v>
      </c>
      <c r="P1531" s="18">
        <v>651</v>
      </c>
      <c r="Q1531" s="18">
        <v>30</v>
      </c>
      <c r="R1531" s="18" t="s">
        <v>814</v>
      </c>
      <c r="S1531" s="18" t="s">
        <v>792</v>
      </c>
      <c r="T1531" s="18" t="s">
        <v>781</v>
      </c>
      <c r="U15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31" s="19">
        <f>IF(AUDITORIA[[#This Row],[CAT]]="",0,1)</f>
        <v>1</v>
      </c>
      <c r="W1531" s="20">
        <v>46197</v>
      </c>
      <c r="X1531" s="21" t="str">
        <f>UPPER(IF(AUDITORIA[[#This Row],[DATA VERIFICAÇÃO]]="","",TEXT(AUDITORIA[[#This Row],[DATA VERIFICAÇÃO]],"mmm")))</f>
        <v>JUN</v>
      </c>
      <c r="Y1531" t="s">
        <v>598</v>
      </c>
      <c r="Z1531" t="s">
        <v>691</v>
      </c>
      <c r="AA1531" t="s">
        <v>832</v>
      </c>
    </row>
    <row r="1532" spans="1:27" ht="14.4" hidden="1" customHeight="1" x14ac:dyDescent="0.3">
      <c r="A1532" s="4" t="s">
        <v>0</v>
      </c>
      <c r="B1532" s="4" t="s">
        <v>17</v>
      </c>
      <c r="C1532" s="16" t="s">
        <v>18</v>
      </c>
      <c r="D1532" s="4">
        <v>10</v>
      </c>
      <c r="E1532" s="4" t="s">
        <v>745</v>
      </c>
      <c r="F1532" t="s">
        <v>652</v>
      </c>
      <c r="G1532" t="s">
        <v>837</v>
      </c>
      <c r="J1532" s="4" t="s">
        <v>55</v>
      </c>
      <c r="K1532" s="4" t="s">
        <v>21</v>
      </c>
      <c r="L1532" s="4" t="s">
        <v>742</v>
      </c>
      <c r="M1532" s="17">
        <v>30</v>
      </c>
      <c r="N1532" s="17">
        <v>834</v>
      </c>
      <c r="O1532" s="18" t="s">
        <v>55</v>
      </c>
      <c r="P1532" s="18">
        <v>834</v>
      </c>
      <c r="Q1532" s="18">
        <v>30</v>
      </c>
      <c r="R1532" s="18" t="s">
        <v>814</v>
      </c>
      <c r="S1532" s="18" t="s">
        <v>821</v>
      </c>
      <c r="T1532" s="18" t="s">
        <v>780</v>
      </c>
      <c r="U15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32" s="19">
        <f>IF(AUDITORIA[[#This Row],[CAT]]="",0,1)</f>
        <v>1</v>
      </c>
      <c r="W1532" s="20">
        <v>46197</v>
      </c>
      <c r="X1532" s="21" t="str">
        <f>UPPER(IF(AUDITORIA[[#This Row],[DATA VERIFICAÇÃO]]="","",TEXT(AUDITORIA[[#This Row],[DATA VERIFICAÇÃO]],"mmm")))</f>
        <v>JUN</v>
      </c>
      <c r="Y1532" t="s">
        <v>598</v>
      </c>
      <c r="Z1532" t="s">
        <v>691</v>
      </c>
      <c r="AA1532" t="s">
        <v>832</v>
      </c>
    </row>
    <row r="1533" spans="1:27" ht="14.4" hidden="1" customHeight="1" x14ac:dyDescent="0.3">
      <c r="A1533" s="4" t="s">
        <v>0</v>
      </c>
      <c r="B1533" s="4" t="s">
        <v>17</v>
      </c>
      <c r="C1533" s="16" t="s">
        <v>18</v>
      </c>
      <c r="D1533" s="4">
        <v>10</v>
      </c>
      <c r="E1533" s="4" t="s">
        <v>745</v>
      </c>
      <c r="F1533" t="s">
        <v>651</v>
      </c>
      <c r="G1533" t="s">
        <v>837</v>
      </c>
      <c r="J1533" s="4" t="s">
        <v>55</v>
      </c>
      <c r="K1533" s="4" t="s">
        <v>20</v>
      </c>
      <c r="L1533" s="4" t="s">
        <v>742</v>
      </c>
      <c r="M1533" s="17">
        <v>30</v>
      </c>
      <c r="N1533" s="17">
        <v>628</v>
      </c>
      <c r="O1533" s="18" t="s">
        <v>55</v>
      </c>
      <c r="P1533" s="18">
        <v>628</v>
      </c>
      <c r="Q1533" s="18">
        <v>30</v>
      </c>
      <c r="R1533" s="18" t="s">
        <v>814</v>
      </c>
      <c r="S1533" s="18" t="s">
        <v>779</v>
      </c>
      <c r="T1533" s="18" t="s">
        <v>782</v>
      </c>
      <c r="U15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33" s="19">
        <f>IF(AUDITORIA[[#This Row],[CAT]]="",0,1)</f>
        <v>1</v>
      </c>
      <c r="W1533" s="20">
        <v>46197</v>
      </c>
      <c r="X1533" s="21" t="str">
        <f>UPPER(IF(AUDITORIA[[#This Row],[DATA VERIFICAÇÃO]]="","",TEXT(AUDITORIA[[#This Row],[DATA VERIFICAÇÃO]],"mmm")))</f>
        <v>JUN</v>
      </c>
      <c r="Y1533" t="s">
        <v>598</v>
      </c>
      <c r="Z1533" t="s">
        <v>691</v>
      </c>
      <c r="AA1533" t="s">
        <v>832</v>
      </c>
    </row>
    <row r="1534" spans="1:27" ht="14.4" hidden="1" customHeight="1" x14ac:dyDescent="0.3">
      <c r="A1534" s="4" t="s">
        <v>0</v>
      </c>
      <c r="B1534" s="4" t="s">
        <v>17</v>
      </c>
      <c r="C1534" s="16" t="s">
        <v>18</v>
      </c>
      <c r="D1534" s="4">
        <v>10</v>
      </c>
      <c r="E1534" s="4" t="s">
        <v>745</v>
      </c>
      <c r="F1534" t="s">
        <v>650</v>
      </c>
      <c r="G1534" t="s">
        <v>837</v>
      </c>
      <c r="J1534" s="4" t="s">
        <v>55</v>
      </c>
      <c r="K1534" s="4" t="s">
        <v>21</v>
      </c>
      <c r="L1534" s="4" t="s">
        <v>742</v>
      </c>
      <c r="M1534" s="17">
        <v>30</v>
      </c>
      <c r="N1534" s="17">
        <v>828</v>
      </c>
      <c r="O1534" s="18" t="s">
        <v>55</v>
      </c>
      <c r="P1534" s="18">
        <v>828</v>
      </c>
      <c r="Q1534" s="18">
        <v>30</v>
      </c>
      <c r="R1534" s="18" t="s">
        <v>814</v>
      </c>
      <c r="S1534" s="18" t="s">
        <v>779</v>
      </c>
      <c r="T1534" s="18" t="s">
        <v>780</v>
      </c>
      <c r="U15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34" s="19">
        <f>IF(AUDITORIA[[#This Row],[CAT]]="",0,1)</f>
        <v>1</v>
      </c>
      <c r="W1534" s="20">
        <v>46197</v>
      </c>
      <c r="X1534" s="21" t="str">
        <f>UPPER(IF(AUDITORIA[[#This Row],[DATA VERIFICAÇÃO]]="","",TEXT(AUDITORIA[[#This Row],[DATA VERIFICAÇÃO]],"mmm")))</f>
        <v>JUN</v>
      </c>
      <c r="Y1534" t="s">
        <v>598</v>
      </c>
      <c r="Z1534" t="s">
        <v>691</v>
      </c>
      <c r="AA1534" t="s">
        <v>832</v>
      </c>
    </row>
    <row r="1535" spans="1:27" ht="14.4" hidden="1" customHeight="1" x14ac:dyDescent="0.3">
      <c r="A1535" s="4" t="s">
        <v>0</v>
      </c>
      <c r="B1535" s="4" t="s">
        <v>17</v>
      </c>
      <c r="C1535" s="16" t="s">
        <v>18</v>
      </c>
      <c r="D1535" s="4">
        <v>10</v>
      </c>
      <c r="E1535" s="4" t="s">
        <v>745</v>
      </c>
      <c r="F1535" t="s">
        <v>649</v>
      </c>
      <c r="G1535" t="s">
        <v>837</v>
      </c>
      <c r="J1535" s="4" t="s">
        <v>55</v>
      </c>
      <c r="K1535" s="4" t="s">
        <v>20</v>
      </c>
      <c r="L1535" s="4" t="s">
        <v>742</v>
      </c>
      <c r="M1535" s="17">
        <v>30</v>
      </c>
      <c r="N1535" s="17">
        <v>649</v>
      </c>
      <c r="O1535" s="18" t="s">
        <v>55</v>
      </c>
      <c r="P1535" s="18">
        <v>649</v>
      </c>
      <c r="Q1535" s="18">
        <v>30</v>
      </c>
      <c r="R1535" s="18" t="s">
        <v>814</v>
      </c>
      <c r="S1535" s="18" t="s">
        <v>789</v>
      </c>
      <c r="T1535" s="18" t="s">
        <v>782</v>
      </c>
      <c r="U15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35" s="19">
        <f>IF(AUDITORIA[[#This Row],[CAT]]="",0,1)</f>
        <v>1</v>
      </c>
      <c r="W1535" s="20">
        <v>46197</v>
      </c>
      <c r="X1535" s="21" t="str">
        <f>UPPER(IF(AUDITORIA[[#This Row],[DATA VERIFICAÇÃO]]="","",TEXT(AUDITORIA[[#This Row],[DATA VERIFICAÇÃO]],"mmm")))</f>
        <v>JUN</v>
      </c>
      <c r="Y1535" t="s">
        <v>598</v>
      </c>
      <c r="Z1535" t="s">
        <v>691</v>
      </c>
      <c r="AA1535" t="s">
        <v>832</v>
      </c>
    </row>
    <row r="1536" spans="1:27" ht="14.4" hidden="1" customHeight="1" x14ac:dyDescent="0.3">
      <c r="A1536" s="4" t="s">
        <v>0</v>
      </c>
      <c r="B1536" s="4" t="s">
        <v>17</v>
      </c>
      <c r="C1536" s="16" t="s">
        <v>18</v>
      </c>
      <c r="D1536" s="4">
        <v>10</v>
      </c>
      <c r="E1536" s="4" t="s">
        <v>745</v>
      </c>
      <c r="F1536" t="s">
        <v>648</v>
      </c>
      <c r="G1536" t="s">
        <v>837</v>
      </c>
      <c r="J1536" s="4" t="s">
        <v>55</v>
      </c>
      <c r="K1536" s="4" t="s">
        <v>21</v>
      </c>
      <c r="L1536" s="4" t="s">
        <v>742</v>
      </c>
      <c r="M1536" s="17">
        <v>30</v>
      </c>
      <c r="N1536" s="17">
        <v>862</v>
      </c>
      <c r="O1536" s="18" t="s">
        <v>55</v>
      </c>
      <c r="P1536" s="18">
        <v>862</v>
      </c>
      <c r="Q1536" s="18">
        <v>30</v>
      </c>
      <c r="R1536" s="18" t="s">
        <v>814</v>
      </c>
      <c r="S1536" s="18" t="s">
        <v>821</v>
      </c>
      <c r="T1536" s="18" t="s">
        <v>781</v>
      </c>
      <c r="U15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36" s="19">
        <f>IF(AUDITORIA[[#This Row],[CAT]]="",0,1)</f>
        <v>1</v>
      </c>
      <c r="W1536" s="20">
        <v>46197</v>
      </c>
      <c r="X1536" s="21" t="str">
        <f>UPPER(IF(AUDITORIA[[#This Row],[DATA VERIFICAÇÃO]]="","",TEXT(AUDITORIA[[#This Row],[DATA VERIFICAÇÃO]],"mmm")))</f>
        <v>JUN</v>
      </c>
      <c r="Y1536" t="s">
        <v>598</v>
      </c>
      <c r="Z1536" t="s">
        <v>691</v>
      </c>
      <c r="AA1536" t="s">
        <v>832</v>
      </c>
    </row>
    <row r="1537" spans="1:27" ht="14.4" hidden="1" customHeight="1" x14ac:dyDescent="0.3">
      <c r="A1537" s="4" t="s">
        <v>0</v>
      </c>
      <c r="B1537" s="4" t="s">
        <v>17</v>
      </c>
      <c r="C1537" s="16" t="s">
        <v>18</v>
      </c>
      <c r="D1537" s="4">
        <v>10</v>
      </c>
      <c r="E1537" s="4" t="s">
        <v>745</v>
      </c>
      <c r="F1537" t="s">
        <v>647</v>
      </c>
      <c r="G1537" t="s">
        <v>837</v>
      </c>
      <c r="J1537" s="4" t="s">
        <v>55</v>
      </c>
      <c r="K1537" s="4" t="s">
        <v>20</v>
      </c>
      <c r="L1537" s="4" t="s">
        <v>742</v>
      </c>
      <c r="M1537" s="17">
        <v>30</v>
      </c>
      <c r="N1537" s="17">
        <v>664</v>
      </c>
      <c r="O1537" s="18" t="s">
        <v>55</v>
      </c>
      <c r="P1537" s="18">
        <v>664</v>
      </c>
      <c r="Q1537" s="18">
        <v>30</v>
      </c>
      <c r="R1537" s="18" t="s">
        <v>814</v>
      </c>
      <c r="S1537" s="18" t="s">
        <v>810</v>
      </c>
      <c r="T1537" s="18" t="s">
        <v>781</v>
      </c>
      <c r="U15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37" s="19">
        <f>IF(AUDITORIA[[#This Row],[CAT]]="",0,1)</f>
        <v>1</v>
      </c>
      <c r="W1537" s="20">
        <v>46197</v>
      </c>
      <c r="X1537" s="21" t="str">
        <f>UPPER(IF(AUDITORIA[[#This Row],[DATA VERIFICAÇÃO]]="","",TEXT(AUDITORIA[[#This Row],[DATA VERIFICAÇÃO]],"mmm")))</f>
        <v>JUN</v>
      </c>
      <c r="Y1537" t="s">
        <v>598</v>
      </c>
      <c r="Z1537" t="s">
        <v>691</v>
      </c>
      <c r="AA1537" t="s">
        <v>832</v>
      </c>
    </row>
    <row r="1538" spans="1:27" ht="14.4" hidden="1" customHeight="1" x14ac:dyDescent="0.3">
      <c r="A1538" s="4" t="s">
        <v>0</v>
      </c>
      <c r="B1538" s="4" t="s">
        <v>17</v>
      </c>
      <c r="C1538" s="16" t="s">
        <v>18</v>
      </c>
      <c r="D1538" s="4">
        <v>10</v>
      </c>
      <c r="E1538" s="4" t="s">
        <v>745</v>
      </c>
      <c r="F1538" t="s">
        <v>646</v>
      </c>
      <c r="G1538" t="s">
        <v>837</v>
      </c>
      <c r="J1538" s="4" t="s">
        <v>55</v>
      </c>
      <c r="K1538" s="4" t="s">
        <v>21</v>
      </c>
      <c r="L1538" s="4" t="s">
        <v>742</v>
      </c>
      <c r="M1538" s="17">
        <v>30</v>
      </c>
      <c r="N1538" s="17">
        <v>852</v>
      </c>
      <c r="O1538" s="18" t="s">
        <v>55</v>
      </c>
      <c r="P1538" s="18">
        <v>852</v>
      </c>
      <c r="Q1538" s="18">
        <v>30</v>
      </c>
      <c r="R1538" s="18" t="s">
        <v>814</v>
      </c>
      <c r="S1538" s="18" t="s">
        <v>779</v>
      </c>
      <c r="T1538" s="18" t="s">
        <v>781</v>
      </c>
      <c r="U15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38" s="19">
        <f>IF(AUDITORIA[[#This Row],[CAT]]="",0,1)</f>
        <v>1</v>
      </c>
      <c r="W1538" s="20">
        <v>46197</v>
      </c>
      <c r="X1538" s="21" t="str">
        <f>UPPER(IF(AUDITORIA[[#This Row],[DATA VERIFICAÇÃO]]="","",TEXT(AUDITORIA[[#This Row],[DATA VERIFICAÇÃO]],"mmm")))</f>
        <v>JUN</v>
      </c>
      <c r="Y1538" t="s">
        <v>598</v>
      </c>
      <c r="Z1538" t="s">
        <v>691</v>
      </c>
      <c r="AA1538" t="s">
        <v>832</v>
      </c>
    </row>
    <row r="1539" spans="1:27" ht="14.4" hidden="1" customHeight="1" x14ac:dyDescent="0.3">
      <c r="A1539" s="4" t="s">
        <v>0</v>
      </c>
      <c r="B1539" s="4" t="s">
        <v>17</v>
      </c>
      <c r="C1539" s="16" t="s">
        <v>18</v>
      </c>
      <c r="D1539" s="4">
        <v>10</v>
      </c>
      <c r="E1539" s="4" t="s">
        <v>745</v>
      </c>
      <c r="F1539" t="s">
        <v>644</v>
      </c>
      <c r="G1539" t="s">
        <v>837</v>
      </c>
      <c r="J1539" s="4" t="s">
        <v>55</v>
      </c>
      <c r="K1539" s="4" t="s">
        <v>20</v>
      </c>
      <c r="L1539" s="4" t="s">
        <v>742</v>
      </c>
      <c r="M1539" s="17">
        <v>30</v>
      </c>
      <c r="N1539" s="17">
        <v>645</v>
      </c>
      <c r="O1539" s="18" t="s">
        <v>55</v>
      </c>
      <c r="P1539" s="18">
        <v>645</v>
      </c>
      <c r="Q1539" s="18">
        <v>30</v>
      </c>
      <c r="R1539" s="18" t="s">
        <v>814</v>
      </c>
      <c r="S1539" s="18" t="s">
        <v>810</v>
      </c>
      <c r="T1539" s="18" t="s">
        <v>780</v>
      </c>
      <c r="U15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39" s="19">
        <f>IF(AUDITORIA[[#This Row],[CAT]]="",0,1)</f>
        <v>1</v>
      </c>
      <c r="W1539" s="20">
        <v>46197</v>
      </c>
      <c r="X1539" s="21" t="str">
        <f>UPPER(IF(AUDITORIA[[#This Row],[DATA VERIFICAÇÃO]]="","",TEXT(AUDITORIA[[#This Row],[DATA VERIFICAÇÃO]],"mmm")))</f>
        <v>JUN</v>
      </c>
      <c r="Y1539" t="s">
        <v>598</v>
      </c>
      <c r="Z1539" t="s">
        <v>691</v>
      </c>
      <c r="AA1539" t="s">
        <v>832</v>
      </c>
    </row>
    <row r="1540" spans="1:27" ht="14.4" hidden="1" customHeight="1" x14ac:dyDescent="0.3">
      <c r="A1540" s="4" t="s">
        <v>0</v>
      </c>
      <c r="B1540" s="4" t="s">
        <v>17</v>
      </c>
      <c r="C1540" s="16" t="s">
        <v>18</v>
      </c>
      <c r="D1540" s="4">
        <v>10</v>
      </c>
      <c r="E1540" s="4" t="s">
        <v>745</v>
      </c>
      <c r="F1540" t="s">
        <v>645</v>
      </c>
      <c r="G1540" t="s">
        <v>837</v>
      </c>
      <c r="J1540" s="4" t="s">
        <v>55</v>
      </c>
      <c r="K1540" s="4" t="s">
        <v>21</v>
      </c>
      <c r="L1540" s="4" t="s">
        <v>742</v>
      </c>
      <c r="M1540" s="17">
        <v>30</v>
      </c>
      <c r="N1540" s="17">
        <v>835</v>
      </c>
      <c r="O1540" s="18" t="s">
        <v>55</v>
      </c>
      <c r="P1540" s="18">
        <v>835</v>
      </c>
      <c r="Q1540" s="18">
        <v>30</v>
      </c>
      <c r="R1540" s="18" t="s">
        <v>814</v>
      </c>
      <c r="S1540" s="18" t="s">
        <v>821</v>
      </c>
      <c r="T1540" s="18" t="s">
        <v>794</v>
      </c>
      <c r="U15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40" s="19">
        <f>IF(AUDITORIA[[#This Row],[CAT]]="",0,1)</f>
        <v>1</v>
      </c>
      <c r="W1540" s="20">
        <v>46197</v>
      </c>
      <c r="X1540" s="21" t="str">
        <f>UPPER(IF(AUDITORIA[[#This Row],[DATA VERIFICAÇÃO]]="","",TEXT(AUDITORIA[[#This Row],[DATA VERIFICAÇÃO]],"mmm")))</f>
        <v>JUN</v>
      </c>
      <c r="Y1540" t="s">
        <v>598</v>
      </c>
      <c r="Z1540" t="s">
        <v>691</v>
      </c>
      <c r="AA1540" t="s">
        <v>832</v>
      </c>
    </row>
    <row r="1541" spans="1:27" ht="14.4" hidden="1" customHeight="1" x14ac:dyDescent="0.3">
      <c r="A1541" s="4" t="s">
        <v>0</v>
      </c>
      <c r="B1541" s="4" t="s">
        <v>17</v>
      </c>
      <c r="C1541" s="16" t="s">
        <v>18</v>
      </c>
      <c r="D1541" s="4">
        <v>10</v>
      </c>
      <c r="E1541" s="4" t="s">
        <v>745</v>
      </c>
      <c r="F1541" t="s">
        <v>643</v>
      </c>
      <c r="G1541" t="s">
        <v>837</v>
      </c>
      <c r="J1541" s="4" t="s">
        <v>55</v>
      </c>
      <c r="K1541" s="4" t="s">
        <v>21</v>
      </c>
      <c r="L1541" s="4" t="s">
        <v>742</v>
      </c>
      <c r="M1541" s="17">
        <v>30</v>
      </c>
      <c r="N1541" s="17">
        <v>826</v>
      </c>
      <c r="O1541" s="18" t="s">
        <v>55</v>
      </c>
      <c r="P1541" s="18">
        <v>826</v>
      </c>
      <c r="Q1541" s="18">
        <v>30</v>
      </c>
      <c r="R1541" s="18" t="s">
        <v>814</v>
      </c>
      <c r="S1541" s="18" t="s">
        <v>784</v>
      </c>
      <c r="T1541" s="18" t="s">
        <v>782</v>
      </c>
      <c r="U15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41" s="19">
        <f>IF(AUDITORIA[[#This Row],[CAT]]="",0,1)</f>
        <v>1</v>
      </c>
      <c r="W1541" s="20">
        <v>46197</v>
      </c>
      <c r="X1541" s="21" t="str">
        <f>UPPER(IF(AUDITORIA[[#This Row],[DATA VERIFICAÇÃO]]="","",TEXT(AUDITORIA[[#This Row],[DATA VERIFICAÇÃO]],"mmm")))</f>
        <v>JUN</v>
      </c>
      <c r="Y1541" t="s">
        <v>598</v>
      </c>
      <c r="Z1541" t="s">
        <v>691</v>
      </c>
      <c r="AA1541" t="s">
        <v>832</v>
      </c>
    </row>
    <row r="1542" spans="1:27" ht="14.4" hidden="1" customHeight="1" x14ac:dyDescent="0.3">
      <c r="A1542" s="4" t="s">
        <v>0</v>
      </c>
      <c r="B1542" s="4" t="s">
        <v>17</v>
      </c>
      <c r="C1542" s="16" t="s">
        <v>18</v>
      </c>
      <c r="D1542" s="4">
        <v>10</v>
      </c>
      <c r="E1542" s="4" t="s">
        <v>745</v>
      </c>
      <c r="F1542" t="s">
        <v>642</v>
      </c>
      <c r="G1542" t="s">
        <v>281</v>
      </c>
      <c r="J1542" s="4" t="s">
        <v>31</v>
      </c>
      <c r="K1542" s="4" t="s">
        <v>20</v>
      </c>
      <c r="L1542" s="4" t="s">
        <v>742</v>
      </c>
      <c r="M1542" s="17">
        <v>30</v>
      </c>
      <c r="N1542" s="17">
        <v>729</v>
      </c>
      <c r="O1542" s="18" t="s">
        <v>31</v>
      </c>
      <c r="P1542" s="18">
        <v>729</v>
      </c>
      <c r="Q1542" s="18">
        <v>30</v>
      </c>
      <c r="R1542" s="18" t="s">
        <v>814</v>
      </c>
      <c r="S1542" s="18" t="s">
        <v>783</v>
      </c>
      <c r="T1542" s="18" t="s">
        <v>780</v>
      </c>
      <c r="U15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42" s="19">
        <f>IF(AUDITORIA[[#This Row],[CAT]]="",0,1)</f>
        <v>1</v>
      </c>
      <c r="W1542" s="20">
        <v>46197</v>
      </c>
      <c r="X1542" s="21" t="str">
        <f>UPPER(IF(AUDITORIA[[#This Row],[DATA VERIFICAÇÃO]]="","",TEXT(AUDITORIA[[#This Row],[DATA VERIFICAÇÃO]],"mmm")))</f>
        <v>JUN</v>
      </c>
      <c r="Y1542" t="s">
        <v>598</v>
      </c>
      <c r="Z1542" t="s">
        <v>691</v>
      </c>
      <c r="AA1542" t="s">
        <v>832</v>
      </c>
    </row>
    <row r="1543" spans="1:27" ht="14.4" hidden="1" customHeight="1" x14ac:dyDescent="0.3">
      <c r="A1543" s="4" t="s">
        <v>0</v>
      </c>
      <c r="B1543" s="4" t="s">
        <v>17</v>
      </c>
      <c r="C1543" s="16" t="s">
        <v>18</v>
      </c>
      <c r="D1543" s="4">
        <v>10</v>
      </c>
      <c r="E1543" s="4" t="s">
        <v>745</v>
      </c>
      <c r="F1543" t="s">
        <v>641</v>
      </c>
      <c r="G1543" t="s">
        <v>281</v>
      </c>
      <c r="J1543" s="4" t="s">
        <v>31</v>
      </c>
      <c r="K1543" s="4" t="s">
        <v>21</v>
      </c>
      <c r="L1543" s="4" t="s">
        <v>742</v>
      </c>
      <c r="M1543" s="17">
        <v>30</v>
      </c>
      <c r="N1543" s="17">
        <v>929</v>
      </c>
      <c r="O1543" s="18" t="s">
        <v>31</v>
      </c>
      <c r="P1543" s="18">
        <v>929</v>
      </c>
      <c r="Q1543" s="18">
        <v>30</v>
      </c>
      <c r="R1543" s="18" t="s">
        <v>814</v>
      </c>
      <c r="S1543" s="18" t="s">
        <v>786</v>
      </c>
      <c r="T1543" s="18" t="s">
        <v>782</v>
      </c>
      <c r="U15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43" s="19">
        <f>IF(AUDITORIA[[#This Row],[CAT]]="",0,1)</f>
        <v>1</v>
      </c>
      <c r="W1543" s="20">
        <v>46197</v>
      </c>
      <c r="X1543" s="21" t="str">
        <f>UPPER(IF(AUDITORIA[[#This Row],[DATA VERIFICAÇÃO]]="","",TEXT(AUDITORIA[[#This Row],[DATA VERIFICAÇÃO]],"mmm")))</f>
        <v>JUN</v>
      </c>
      <c r="Y1543" t="s">
        <v>598</v>
      </c>
      <c r="Z1543" t="s">
        <v>691</v>
      </c>
      <c r="AA1543" t="s">
        <v>832</v>
      </c>
    </row>
    <row r="1544" spans="1:27" ht="14.4" hidden="1" customHeight="1" x14ac:dyDescent="0.3">
      <c r="A1544" s="4" t="s">
        <v>0</v>
      </c>
      <c r="B1544" s="4" t="s">
        <v>17</v>
      </c>
      <c r="C1544" s="16" t="s">
        <v>18</v>
      </c>
      <c r="D1544" s="4">
        <v>10</v>
      </c>
      <c r="E1544" s="4" t="s">
        <v>745</v>
      </c>
      <c r="F1544" t="s">
        <v>639</v>
      </c>
      <c r="G1544" t="s">
        <v>281</v>
      </c>
      <c r="J1544" s="4" t="s">
        <v>31</v>
      </c>
      <c r="K1544" s="4" t="s">
        <v>21</v>
      </c>
      <c r="L1544" s="4" t="s">
        <v>742</v>
      </c>
      <c r="M1544" s="17">
        <v>30</v>
      </c>
      <c r="N1544" s="17">
        <v>913</v>
      </c>
      <c r="O1544" s="18" t="s">
        <v>31</v>
      </c>
      <c r="P1544" s="18">
        <v>913</v>
      </c>
      <c r="Q1544" s="18">
        <v>30</v>
      </c>
      <c r="R1544" s="18" t="s">
        <v>814</v>
      </c>
      <c r="S1544" s="18" t="s">
        <v>786</v>
      </c>
      <c r="T1544" s="18" t="s">
        <v>780</v>
      </c>
      <c r="U15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44" s="19">
        <f>IF(AUDITORIA[[#This Row],[CAT]]="",0,1)</f>
        <v>1</v>
      </c>
      <c r="W1544" s="20">
        <v>46197</v>
      </c>
      <c r="X1544" s="21" t="str">
        <f>UPPER(IF(AUDITORIA[[#This Row],[DATA VERIFICAÇÃO]]="","",TEXT(AUDITORIA[[#This Row],[DATA VERIFICAÇÃO]],"mmm")))</f>
        <v>JUN</v>
      </c>
      <c r="Y1544" t="s">
        <v>598</v>
      </c>
      <c r="Z1544" t="s">
        <v>691</v>
      </c>
      <c r="AA1544" t="s">
        <v>832</v>
      </c>
    </row>
    <row r="1545" spans="1:27" ht="14.4" hidden="1" customHeight="1" x14ac:dyDescent="0.3">
      <c r="A1545" s="4" t="s">
        <v>0</v>
      </c>
      <c r="B1545" s="4" t="s">
        <v>17</v>
      </c>
      <c r="C1545" s="16" t="s">
        <v>18</v>
      </c>
      <c r="D1545" s="4">
        <v>10</v>
      </c>
      <c r="E1545" s="4" t="s">
        <v>745</v>
      </c>
      <c r="F1545" t="s">
        <v>640</v>
      </c>
      <c r="G1545" t="s">
        <v>281</v>
      </c>
      <c r="J1545" s="4" t="s">
        <v>31</v>
      </c>
      <c r="K1545" s="4" t="s">
        <v>20</v>
      </c>
      <c r="L1545" s="4" t="s">
        <v>742</v>
      </c>
      <c r="M1545" s="17">
        <v>30</v>
      </c>
      <c r="N1545" s="17">
        <v>760</v>
      </c>
      <c r="O1545" s="18" t="s">
        <v>31</v>
      </c>
      <c r="P1545" s="18">
        <v>760</v>
      </c>
      <c r="Q1545" s="18">
        <v>30</v>
      </c>
      <c r="R1545" s="18" t="s">
        <v>814</v>
      </c>
      <c r="S1545" s="18" t="s">
        <v>783</v>
      </c>
      <c r="T1545" s="18" t="s">
        <v>781</v>
      </c>
      <c r="U15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45" s="19">
        <f>IF(AUDITORIA[[#This Row],[CAT]]="",0,1)</f>
        <v>1</v>
      </c>
      <c r="W1545" s="20">
        <v>46197</v>
      </c>
      <c r="X1545" s="21" t="str">
        <f>UPPER(IF(AUDITORIA[[#This Row],[DATA VERIFICAÇÃO]]="","",TEXT(AUDITORIA[[#This Row],[DATA VERIFICAÇÃO]],"mmm")))</f>
        <v>JUN</v>
      </c>
      <c r="Y1545" t="s">
        <v>598</v>
      </c>
      <c r="Z1545" t="s">
        <v>691</v>
      </c>
      <c r="AA1545" t="s">
        <v>832</v>
      </c>
    </row>
    <row r="1546" spans="1:27" ht="14.4" hidden="1" customHeight="1" x14ac:dyDescent="0.3">
      <c r="A1546" s="4" t="s">
        <v>0</v>
      </c>
      <c r="B1546" s="4" t="s">
        <v>17</v>
      </c>
      <c r="C1546" s="16" t="s">
        <v>18</v>
      </c>
      <c r="D1546" s="4">
        <v>10</v>
      </c>
      <c r="E1546" s="4" t="s">
        <v>745</v>
      </c>
      <c r="F1546" t="s">
        <v>638</v>
      </c>
      <c r="G1546" t="s">
        <v>281</v>
      </c>
      <c r="J1546" s="4" t="s">
        <v>31</v>
      </c>
      <c r="K1546" s="4" t="s">
        <v>20</v>
      </c>
      <c r="L1546" s="4" t="s">
        <v>742</v>
      </c>
      <c r="M1546" s="17">
        <v>30</v>
      </c>
      <c r="N1546" s="17">
        <v>740</v>
      </c>
      <c r="O1546" s="18" t="s">
        <v>31</v>
      </c>
      <c r="P1546" s="18">
        <v>740</v>
      </c>
      <c r="Q1546" s="18">
        <v>30</v>
      </c>
      <c r="R1546" s="18" t="s">
        <v>814</v>
      </c>
      <c r="S1546" s="18" t="s">
        <v>783</v>
      </c>
      <c r="T1546" s="18" t="s">
        <v>782</v>
      </c>
      <c r="U15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46" s="19">
        <f>IF(AUDITORIA[[#This Row],[CAT]]="",0,1)</f>
        <v>1</v>
      </c>
      <c r="W1546" s="20">
        <v>46197</v>
      </c>
      <c r="X1546" s="21" t="str">
        <f>UPPER(IF(AUDITORIA[[#This Row],[DATA VERIFICAÇÃO]]="","",TEXT(AUDITORIA[[#This Row],[DATA VERIFICAÇÃO]],"mmm")))</f>
        <v>JUN</v>
      </c>
      <c r="Y1546" t="s">
        <v>598</v>
      </c>
      <c r="Z1546" t="s">
        <v>691</v>
      </c>
      <c r="AA1546" t="s">
        <v>832</v>
      </c>
    </row>
    <row r="1547" spans="1:27" ht="14.4" hidden="1" customHeight="1" x14ac:dyDescent="0.3">
      <c r="A1547" s="4" t="s">
        <v>0</v>
      </c>
      <c r="B1547" s="4" t="s">
        <v>17</v>
      </c>
      <c r="C1547" s="16" t="s">
        <v>18</v>
      </c>
      <c r="D1547" s="4">
        <v>10</v>
      </c>
      <c r="E1547" s="4" t="s">
        <v>745</v>
      </c>
      <c r="F1547" t="s">
        <v>636</v>
      </c>
      <c r="G1547" t="s">
        <v>281</v>
      </c>
      <c r="J1547" s="4" t="s">
        <v>31</v>
      </c>
      <c r="K1547" s="4" t="s">
        <v>21</v>
      </c>
      <c r="L1547" s="4" t="s">
        <v>742</v>
      </c>
      <c r="M1547" s="17">
        <v>30</v>
      </c>
      <c r="N1547" s="17">
        <v>900</v>
      </c>
      <c r="O1547" s="18" t="s">
        <v>31</v>
      </c>
      <c r="P1547" s="18">
        <v>900</v>
      </c>
      <c r="Q1547" s="18">
        <v>30</v>
      </c>
      <c r="R1547" s="18" t="s">
        <v>814</v>
      </c>
      <c r="S1547" s="18" t="s">
        <v>786</v>
      </c>
      <c r="T1547" s="18" t="s">
        <v>781</v>
      </c>
      <c r="U15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47" s="19">
        <f>IF(AUDITORIA[[#This Row],[CAT]]="",0,1)</f>
        <v>1</v>
      </c>
      <c r="W1547" s="20">
        <v>46197</v>
      </c>
      <c r="X1547" s="21" t="str">
        <f>UPPER(IF(AUDITORIA[[#This Row],[DATA VERIFICAÇÃO]]="","",TEXT(AUDITORIA[[#This Row],[DATA VERIFICAÇÃO]],"mmm")))</f>
        <v>JUN</v>
      </c>
      <c r="Y1547" t="s">
        <v>598</v>
      </c>
      <c r="Z1547" t="s">
        <v>691</v>
      </c>
      <c r="AA1547" t="s">
        <v>832</v>
      </c>
    </row>
    <row r="1548" spans="1:27" ht="14.4" hidden="1" customHeight="1" x14ac:dyDescent="0.3">
      <c r="A1548" s="4" t="s">
        <v>0</v>
      </c>
      <c r="B1548" s="4" t="s">
        <v>17</v>
      </c>
      <c r="C1548" s="16" t="s">
        <v>18</v>
      </c>
      <c r="D1548" s="4">
        <v>10</v>
      </c>
      <c r="E1548" s="4" t="s">
        <v>745</v>
      </c>
      <c r="F1548" t="s">
        <v>637</v>
      </c>
      <c r="G1548" t="s">
        <v>281</v>
      </c>
      <c r="J1548" s="4" t="s">
        <v>31</v>
      </c>
      <c r="K1548" s="4" t="s">
        <v>20</v>
      </c>
      <c r="L1548" s="4" t="s">
        <v>742</v>
      </c>
      <c r="M1548" s="17">
        <v>6</v>
      </c>
      <c r="N1548" s="17">
        <v>733</v>
      </c>
      <c r="O1548" s="18" t="s">
        <v>31</v>
      </c>
      <c r="P1548" s="18">
        <v>733</v>
      </c>
      <c r="Q1548" s="18">
        <v>6</v>
      </c>
      <c r="R1548" s="18" t="s">
        <v>814</v>
      </c>
      <c r="S1548" s="18" t="s">
        <v>798</v>
      </c>
      <c r="T1548" s="18" t="s">
        <v>782</v>
      </c>
      <c r="U15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48" s="19">
        <f>IF(AUDITORIA[[#This Row],[CAT]]="",0,1)</f>
        <v>1</v>
      </c>
      <c r="W1548" s="20">
        <v>46197</v>
      </c>
      <c r="X1548" s="21" t="str">
        <f>UPPER(IF(AUDITORIA[[#This Row],[DATA VERIFICAÇÃO]]="","",TEXT(AUDITORIA[[#This Row],[DATA VERIFICAÇÃO]],"mmm")))</f>
        <v>JUN</v>
      </c>
      <c r="Y1548" t="s">
        <v>598</v>
      </c>
      <c r="Z1548" t="s">
        <v>691</v>
      </c>
      <c r="AA1548" t="s">
        <v>832</v>
      </c>
    </row>
    <row r="1549" spans="1:27" ht="14.4" hidden="1" customHeight="1" x14ac:dyDescent="0.3">
      <c r="A1549" s="4" t="s">
        <v>0</v>
      </c>
      <c r="B1549" s="4" t="s">
        <v>17</v>
      </c>
      <c r="C1549" s="16" t="s">
        <v>18</v>
      </c>
      <c r="D1549" s="4">
        <v>10</v>
      </c>
      <c r="E1549" s="4" t="s">
        <v>745</v>
      </c>
      <c r="F1549" t="s">
        <v>635</v>
      </c>
      <c r="G1549" t="s">
        <v>625</v>
      </c>
      <c r="J1549" s="4" t="s">
        <v>31</v>
      </c>
      <c r="K1549" s="4" t="s">
        <v>21</v>
      </c>
      <c r="L1549" s="4" t="s">
        <v>742</v>
      </c>
      <c r="M1549" s="17">
        <v>30</v>
      </c>
      <c r="N1549" s="17">
        <v>712</v>
      </c>
      <c r="O1549" s="18" t="s">
        <v>31</v>
      </c>
      <c r="P1549" s="18">
        <v>712</v>
      </c>
      <c r="Q1549" s="18">
        <v>30</v>
      </c>
      <c r="R1549" s="18" t="s">
        <v>814</v>
      </c>
      <c r="S1549" s="18" t="s">
        <v>813</v>
      </c>
      <c r="T1549" s="18" t="s">
        <v>780</v>
      </c>
      <c r="U15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49" s="19">
        <f>IF(AUDITORIA[[#This Row],[CAT]]="",0,1)</f>
        <v>1</v>
      </c>
      <c r="W1549" s="20">
        <v>46197</v>
      </c>
      <c r="X1549" s="21" t="str">
        <f>UPPER(IF(AUDITORIA[[#This Row],[DATA VERIFICAÇÃO]]="","",TEXT(AUDITORIA[[#This Row],[DATA VERIFICAÇÃO]],"mmm")))</f>
        <v>JUN</v>
      </c>
      <c r="Y1549" t="s">
        <v>598</v>
      </c>
      <c r="Z1549" t="s">
        <v>691</v>
      </c>
      <c r="AA1549" t="s">
        <v>832</v>
      </c>
    </row>
    <row r="1550" spans="1:27" ht="14.4" hidden="1" customHeight="1" x14ac:dyDescent="0.3">
      <c r="A1550" s="4" t="s">
        <v>0</v>
      </c>
      <c r="B1550" s="4" t="s">
        <v>17</v>
      </c>
      <c r="C1550" s="16" t="s">
        <v>18</v>
      </c>
      <c r="D1550" s="4">
        <v>10</v>
      </c>
      <c r="E1550" s="4" t="s">
        <v>745</v>
      </c>
      <c r="F1550" t="s">
        <v>634</v>
      </c>
      <c r="G1550" t="s">
        <v>625</v>
      </c>
      <c r="J1550" s="4" t="s">
        <v>31</v>
      </c>
      <c r="K1550" s="4" t="s">
        <v>21</v>
      </c>
      <c r="L1550" s="4" t="s">
        <v>742</v>
      </c>
      <c r="M1550" s="17">
        <v>30</v>
      </c>
      <c r="N1550" s="17">
        <v>720</v>
      </c>
      <c r="O1550" s="18" t="s">
        <v>31</v>
      </c>
      <c r="P1550" s="18">
        <v>720</v>
      </c>
      <c r="Q1550" s="18">
        <v>30</v>
      </c>
      <c r="R1550" s="18" t="s">
        <v>814</v>
      </c>
      <c r="S1550" s="18" t="s">
        <v>813</v>
      </c>
      <c r="T1550" s="18" t="s">
        <v>781</v>
      </c>
      <c r="U15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50" s="19">
        <f>IF(AUDITORIA[[#This Row],[CAT]]="",0,1)</f>
        <v>1</v>
      </c>
      <c r="W1550" s="20">
        <v>46197</v>
      </c>
      <c r="X1550" s="21" t="str">
        <f>UPPER(IF(AUDITORIA[[#This Row],[DATA VERIFICAÇÃO]]="","",TEXT(AUDITORIA[[#This Row],[DATA VERIFICAÇÃO]],"mmm")))</f>
        <v>JUN</v>
      </c>
      <c r="Y1550" t="s">
        <v>598</v>
      </c>
      <c r="Z1550" t="s">
        <v>691</v>
      </c>
      <c r="AA1550" t="s">
        <v>832</v>
      </c>
    </row>
    <row r="1551" spans="1:27" ht="14.4" hidden="1" customHeight="1" x14ac:dyDescent="0.3">
      <c r="A1551" s="4" t="s">
        <v>0</v>
      </c>
      <c r="B1551" s="4" t="s">
        <v>17</v>
      </c>
      <c r="C1551" s="16" t="s">
        <v>18</v>
      </c>
      <c r="D1551" s="4">
        <v>10</v>
      </c>
      <c r="E1551" s="4" t="s">
        <v>745</v>
      </c>
      <c r="F1551" t="s">
        <v>632</v>
      </c>
      <c r="G1551" t="s">
        <v>625</v>
      </c>
      <c r="J1551" s="4" t="s">
        <v>31</v>
      </c>
      <c r="K1551" s="4" t="s">
        <v>20</v>
      </c>
      <c r="L1551" s="4" t="s">
        <v>742</v>
      </c>
      <c r="M1551" s="17">
        <v>30</v>
      </c>
      <c r="N1551" s="17">
        <v>583</v>
      </c>
      <c r="O1551" s="18" t="s">
        <v>31</v>
      </c>
      <c r="P1551" s="18">
        <v>583</v>
      </c>
      <c r="Q1551" s="18">
        <v>30</v>
      </c>
      <c r="R1551" s="18" t="s">
        <v>814</v>
      </c>
      <c r="S1551" s="18" t="s">
        <v>811</v>
      </c>
      <c r="T1551" s="18" t="s">
        <v>780</v>
      </c>
      <c r="U15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51" s="19">
        <f>IF(AUDITORIA[[#This Row],[CAT]]="",0,1)</f>
        <v>1</v>
      </c>
      <c r="W1551" s="20">
        <v>46197</v>
      </c>
      <c r="X1551" s="21" t="str">
        <f>UPPER(IF(AUDITORIA[[#This Row],[DATA VERIFICAÇÃO]]="","",TEXT(AUDITORIA[[#This Row],[DATA VERIFICAÇÃO]],"mmm")))</f>
        <v>JUN</v>
      </c>
      <c r="Y1551" t="s">
        <v>598</v>
      </c>
      <c r="Z1551" t="s">
        <v>691</v>
      </c>
      <c r="AA1551" t="s">
        <v>832</v>
      </c>
    </row>
    <row r="1552" spans="1:27" ht="14.4" hidden="1" customHeight="1" x14ac:dyDescent="0.3">
      <c r="A1552" s="4" t="s">
        <v>0</v>
      </c>
      <c r="B1552" s="4" t="s">
        <v>17</v>
      </c>
      <c r="C1552" s="16" t="s">
        <v>18</v>
      </c>
      <c r="D1552" s="4">
        <v>10</v>
      </c>
      <c r="E1552" s="4" t="s">
        <v>745</v>
      </c>
      <c r="F1552" t="s">
        <v>633</v>
      </c>
      <c r="G1552" t="s">
        <v>625</v>
      </c>
      <c r="J1552" s="4" t="s">
        <v>31</v>
      </c>
      <c r="K1552" s="4" t="s">
        <v>21</v>
      </c>
      <c r="L1552" s="4" t="s">
        <v>742</v>
      </c>
      <c r="M1552" s="17">
        <v>30</v>
      </c>
      <c r="N1552" s="17">
        <v>770</v>
      </c>
      <c r="O1552" s="18" t="s">
        <v>31</v>
      </c>
      <c r="P1552" s="18">
        <v>770</v>
      </c>
      <c r="Q1552" s="18">
        <v>30</v>
      </c>
      <c r="R1552" s="18" t="s">
        <v>814</v>
      </c>
      <c r="S1552" s="18" t="s">
        <v>813</v>
      </c>
      <c r="T1552" s="18" t="s">
        <v>782</v>
      </c>
      <c r="U15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52" s="19">
        <f>IF(AUDITORIA[[#This Row],[CAT]]="",0,1)</f>
        <v>1</v>
      </c>
      <c r="W1552" s="20">
        <v>46197</v>
      </c>
      <c r="X1552" s="21" t="str">
        <f>UPPER(IF(AUDITORIA[[#This Row],[DATA VERIFICAÇÃO]]="","",TEXT(AUDITORIA[[#This Row],[DATA VERIFICAÇÃO]],"mmm")))</f>
        <v>JUN</v>
      </c>
      <c r="Y1552" t="s">
        <v>598</v>
      </c>
      <c r="Z1552" t="s">
        <v>691</v>
      </c>
      <c r="AA1552" t="s">
        <v>832</v>
      </c>
    </row>
    <row r="1553" spans="1:27" ht="14.4" hidden="1" customHeight="1" x14ac:dyDescent="0.3">
      <c r="A1553" s="4" t="s">
        <v>0</v>
      </c>
      <c r="B1553" s="4" t="s">
        <v>17</v>
      </c>
      <c r="C1553" s="16" t="s">
        <v>18</v>
      </c>
      <c r="D1553" s="4">
        <v>10</v>
      </c>
      <c r="E1553" s="4" t="s">
        <v>745</v>
      </c>
      <c r="F1553" t="s">
        <v>631</v>
      </c>
      <c r="G1553" t="s">
        <v>625</v>
      </c>
      <c r="J1553" s="4" t="s">
        <v>31</v>
      </c>
      <c r="K1553" s="4" t="s">
        <v>21</v>
      </c>
      <c r="L1553" s="4" t="s">
        <v>742</v>
      </c>
      <c r="M1553" s="17">
        <v>30</v>
      </c>
      <c r="N1553" s="17">
        <v>718</v>
      </c>
      <c r="O1553" s="18" t="s">
        <v>31</v>
      </c>
      <c r="P1553" s="18">
        <v>718</v>
      </c>
      <c r="Q1553" s="18">
        <v>30</v>
      </c>
      <c r="R1553" s="18" t="s">
        <v>814</v>
      </c>
      <c r="S1553" s="18" t="s">
        <v>813</v>
      </c>
      <c r="T1553" s="18" t="s">
        <v>794</v>
      </c>
      <c r="U15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53" s="19">
        <f>IF(AUDITORIA[[#This Row],[CAT]]="",0,1)</f>
        <v>1</v>
      </c>
      <c r="W1553" s="20">
        <v>46197</v>
      </c>
      <c r="X1553" s="21" t="str">
        <f>UPPER(IF(AUDITORIA[[#This Row],[DATA VERIFICAÇÃO]]="","",TEXT(AUDITORIA[[#This Row],[DATA VERIFICAÇÃO]],"mmm")))</f>
        <v>JUN</v>
      </c>
      <c r="Y1553" t="s">
        <v>598</v>
      </c>
      <c r="Z1553" t="s">
        <v>691</v>
      </c>
      <c r="AA1553" t="s">
        <v>832</v>
      </c>
    </row>
    <row r="1554" spans="1:27" ht="14.4" hidden="1" customHeight="1" x14ac:dyDescent="0.3">
      <c r="A1554" s="4" t="s">
        <v>0</v>
      </c>
      <c r="B1554" s="4" t="s">
        <v>17</v>
      </c>
      <c r="C1554" s="16" t="s">
        <v>18</v>
      </c>
      <c r="D1554" s="4">
        <v>10</v>
      </c>
      <c r="E1554" s="4" t="s">
        <v>745</v>
      </c>
      <c r="F1554" t="s">
        <v>627</v>
      </c>
      <c r="G1554" t="s">
        <v>625</v>
      </c>
      <c r="J1554" s="4" t="s">
        <v>31</v>
      </c>
      <c r="K1554" s="4" t="s">
        <v>20</v>
      </c>
      <c r="L1554" s="4" t="s">
        <v>742</v>
      </c>
      <c r="M1554" s="17">
        <v>30</v>
      </c>
      <c r="N1554" s="17">
        <v>544</v>
      </c>
      <c r="O1554" s="18" t="s">
        <v>31</v>
      </c>
      <c r="P1554" s="18">
        <v>544</v>
      </c>
      <c r="Q1554" s="18">
        <v>30</v>
      </c>
      <c r="R1554" s="18" t="s">
        <v>814</v>
      </c>
      <c r="S1554" s="18" t="s">
        <v>811</v>
      </c>
      <c r="T1554" s="18" t="s">
        <v>781</v>
      </c>
      <c r="U15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54" s="19">
        <f>IF(AUDITORIA[[#This Row],[CAT]]="",0,1)</f>
        <v>1</v>
      </c>
      <c r="W1554" s="20">
        <v>46197</v>
      </c>
      <c r="X1554" s="21" t="str">
        <f>UPPER(IF(AUDITORIA[[#This Row],[DATA VERIFICAÇÃO]]="","",TEXT(AUDITORIA[[#This Row],[DATA VERIFICAÇÃO]],"mmm")))</f>
        <v>JUN</v>
      </c>
      <c r="Y1554" t="s">
        <v>598</v>
      </c>
      <c r="Z1554" t="s">
        <v>691</v>
      </c>
      <c r="AA1554" t="s">
        <v>832</v>
      </c>
    </row>
    <row r="1555" spans="1:27" ht="14.4" hidden="1" customHeight="1" x14ac:dyDescent="0.3">
      <c r="A1555" s="4" t="s">
        <v>0</v>
      </c>
      <c r="B1555" s="4" t="s">
        <v>17</v>
      </c>
      <c r="C1555" s="16" t="s">
        <v>18</v>
      </c>
      <c r="D1555" s="4">
        <v>10</v>
      </c>
      <c r="E1555" s="4" t="s">
        <v>745</v>
      </c>
      <c r="F1555" t="s">
        <v>630</v>
      </c>
      <c r="G1555" t="s">
        <v>625</v>
      </c>
      <c r="J1555" s="4" t="s">
        <v>31</v>
      </c>
      <c r="K1555" s="4" t="s">
        <v>21</v>
      </c>
      <c r="L1555" s="4" t="s">
        <v>742</v>
      </c>
      <c r="M1555" s="17">
        <v>30</v>
      </c>
      <c r="N1555" s="17">
        <v>720</v>
      </c>
      <c r="O1555" s="18" t="s">
        <v>31</v>
      </c>
      <c r="P1555" s="18">
        <v>720</v>
      </c>
      <c r="Q1555" s="18">
        <v>30</v>
      </c>
      <c r="R1555" s="18" t="s">
        <v>814</v>
      </c>
      <c r="S1555" s="18" t="s">
        <v>812</v>
      </c>
      <c r="T1555" s="18" t="s">
        <v>781</v>
      </c>
      <c r="U15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55" s="19">
        <f>IF(AUDITORIA[[#This Row],[CAT]]="",0,1)</f>
        <v>1</v>
      </c>
      <c r="W1555" s="20">
        <v>46197</v>
      </c>
      <c r="X1555" s="21" t="str">
        <f>UPPER(IF(AUDITORIA[[#This Row],[DATA VERIFICAÇÃO]]="","",TEXT(AUDITORIA[[#This Row],[DATA VERIFICAÇÃO]],"mmm")))</f>
        <v>JUN</v>
      </c>
      <c r="Y1555" t="s">
        <v>598</v>
      </c>
      <c r="Z1555" t="s">
        <v>691</v>
      </c>
      <c r="AA1555" t="s">
        <v>832</v>
      </c>
    </row>
    <row r="1556" spans="1:27" ht="14.4" hidden="1" customHeight="1" x14ac:dyDescent="0.3">
      <c r="A1556" s="4" t="s">
        <v>0</v>
      </c>
      <c r="B1556" s="4" t="s">
        <v>17</v>
      </c>
      <c r="C1556" s="16" t="s">
        <v>18</v>
      </c>
      <c r="D1556" s="4">
        <v>10</v>
      </c>
      <c r="E1556" s="4" t="s">
        <v>745</v>
      </c>
      <c r="F1556" t="s">
        <v>629</v>
      </c>
      <c r="G1556" t="s">
        <v>625</v>
      </c>
      <c r="J1556" s="4" t="s">
        <v>31</v>
      </c>
      <c r="K1556" s="4" t="s">
        <v>21</v>
      </c>
      <c r="L1556" s="4" t="s">
        <v>742</v>
      </c>
      <c r="M1556" s="17">
        <v>30</v>
      </c>
      <c r="N1556" s="17">
        <v>717</v>
      </c>
      <c r="O1556" s="18" t="s">
        <v>31</v>
      </c>
      <c r="P1556" s="18">
        <v>717</v>
      </c>
      <c r="Q1556" s="18">
        <v>30</v>
      </c>
      <c r="R1556" s="18" t="s">
        <v>814</v>
      </c>
      <c r="S1556" s="18" t="s">
        <v>812</v>
      </c>
      <c r="T1556" s="18" t="s">
        <v>782</v>
      </c>
      <c r="U15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56" s="19">
        <f>IF(AUDITORIA[[#This Row],[CAT]]="",0,1)</f>
        <v>1</v>
      </c>
      <c r="W1556" s="20">
        <v>46197</v>
      </c>
      <c r="X1556" s="21" t="str">
        <f>UPPER(IF(AUDITORIA[[#This Row],[DATA VERIFICAÇÃO]]="","",TEXT(AUDITORIA[[#This Row],[DATA VERIFICAÇÃO]],"mmm")))</f>
        <v>JUN</v>
      </c>
      <c r="Y1556" t="s">
        <v>598</v>
      </c>
      <c r="Z1556" t="s">
        <v>691</v>
      </c>
      <c r="AA1556" t="s">
        <v>832</v>
      </c>
    </row>
    <row r="1557" spans="1:27" ht="14.4" hidden="1" customHeight="1" x14ac:dyDescent="0.3">
      <c r="A1557" s="4" t="s">
        <v>0</v>
      </c>
      <c r="B1557" s="4" t="s">
        <v>17</v>
      </c>
      <c r="C1557" s="16" t="s">
        <v>18</v>
      </c>
      <c r="D1557" s="4">
        <v>10</v>
      </c>
      <c r="E1557" s="4" t="s">
        <v>745</v>
      </c>
      <c r="F1557" t="s">
        <v>628</v>
      </c>
      <c r="G1557" t="s">
        <v>625</v>
      </c>
      <c r="J1557" s="4" t="s">
        <v>31</v>
      </c>
      <c r="K1557" s="4" t="s">
        <v>21</v>
      </c>
      <c r="L1557" s="4" t="s">
        <v>742</v>
      </c>
      <c r="M1557" s="17">
        <v>30</v>
      </c>
      <c r="N1557" s="17">
        <v>725</v>
      </c>
      <c r="O1557" s="18" t="s">
        <v>31</v>
      </c>
      <c r="P1557" s="18">
        <v>725</v>
      </c>
      <c r="Q1557" s="18">
        <v>30</v>
      </c>
      <c r="R1557" s="18" t="s">
        <v>814</v>
      </c>
      <c r="S1557" s="18" t="s">
        <v>812</v>
      </c>
      <c r="T1557" s="18" t="s">
        <v>780</v>
      </c>
      <c r="U15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57" s="19">
        <f>IF(AUDITORIA[[#This Row],[CAT]]="",0,1)</f>
        <v>1</v>
      </c>
      <c r="W1557" s="20">
        <v>46197</v>
      </c>
      <c r="X1557" s="21" t="str">
        <f>UPPER(IF(AUDITORIA[[#This Row],[DATA VERIFICAÇÃO]]="","",TEXT(AUDITORIA[[#This Row],[DATA VERIFICAÇÃO]],"mmm")))</f>
        <v>JUN</v>
      </c>
      <c r="Y1557" t="s">
        <v>598</v>
      </c>
      <c r="Z1557" t="s">
        <v>691</v>
      </c>
      <c r="AA1557" t="s">
        <v>832</v>
      </c>
    </row>
    <row r="1558" spans="1:27" ht="14.4" hidden="1" customHeight="1" x14ac:dyDescent="0.3">
      <c r="A1558" s="4" t="s">
        <v>0</v>
      </c>
      <c r="B1558" s="4" t="s">
        <v>17</v>
      </c>
      <c r="C1558" s="16" t="s">
        <v>18</v>
      </c>
      <c r="D1558" s="4">
        <v>10</v>
      </c>
      <c r="E1558" s="4" t="s">
        <v>745</v>
      </c>
      <c r="F1558" t="s">
        <v>624</v>
      </c>
      <c r="G1558" t="s">
        <v>625</v>
      </c>
      <c r="J1558" s="4" t="s">
        <v>31</v>
      </c>
      <c r="K1558" s="4" t="s">
        <v>21</v>
      </c>
      <c r="L1558" s="4" t="s">
        <v>742</v>
      </c>
      <c r="M1558" s="17">
        <v>18</v>
      </c>
      <c r="N1558" s="17">
        <v>723</v>
      </c>
      <c r="O1558" s="18" t="s">
        <v>31</v>
      </c>
      <c r="P1558" s="18">
        <v>723</v>
      </c>
      <c r="Q1558" s="18">
        <v>18</v>
      </c>
      <c r="R1558" s="18" t="s">
        <v>814</v>
      </c>
      <c r="S1558" s="18" t="s">
        <v>799</v>
      </c>
      <c r="T1558" s="18" t="s">
        <v>780</v>
      </c>
      <c r="U15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58" s="19">
        <f>IF(AUDITORIA[[#This Row],[CAT]]="",0,1)</f>
        <v>1</v>
      </c>
      <c r="W1558" s="20">
        <v>46197</v>
      </c>
      <c r="X1558" s="21" t="str">
        <f>UPPER(IF(AUDITORIA[[#This Row],[DATA VERIFICAÇÃO]]="","",TEXT(AUDITORIA[[#This Row],[DATA VERIFICAÇÃO]],"mmm")))</f>
        <v>JUN</v>
      </c>
      <c r="Y1558" t="s">
        <v>598</v>
      </c>
      <c r="Z1558" t="s">
        <v>691</v>
      </c>
      <c r="AA1558" t="s">
        <v>832</v>
      </c>
    </row>
    <row r="1559" spans="1:27" ht="14.4" hidden="1" customHeight="1" x14ac:dyDescent="0.3">
      <c r="A1559" s="4" t="s">
        <v>0</v>
      </c>
      <c r="B1559" s="4" t="s">
        <v>17</v>
      </c>
      <c r="C1559" s="16" t="s">
        <v>18</v>
      </c>
      <c r="D1559" s="4">
        <v>10</v>
      </c>
      <c r="E1559" s="4" t="s">
        <v>745</v>
      </c>
      <c r="F1559" t="s">
        <v>626</v>
      </c>
      <c r="G1559" t="s">
        <v>625</v>
      </c>
      <c r="J1559" s="4" t="s">
        <v>31</v>
      </c>
      <c r="K1559" s="4" t="s">
        <v>20</v>
      </c>
      <c r="L1559" s="4" t="s">
        <v>742</v>
      </c>
      <c r="M1559" s="17">
        <v>9</v>
      </c>
      <c r="N1559" s="17">
        <v>553</v>
      </c>
      <c r="O1559" s="18" t="s">
        <v>31</v>
      </c>
      <c r="P1559" s="18">
        <v>553</v>
      </c>
      <c r="Q1559" s="18">
        <v>9</v>
      </c>
      <c r="R1559" s="18" t="s">
        <v>814</v>
      </c>
      <c r="S1559" s="18" t="s">
        <v>798</v>
      </c>
      <c r="T1559" s="18" t="s">
        <v>781</v>
      </c>
      <c r="U15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59" s="19">
        <f>IF(AUDITORIA[[#This Row],[CAT]]="",0,1)</f>
        <v>1</v>
      </c>
      <c r="W1559" s="20">
        <v>46197</v>
      </c>
      <c r="X1559" s="21" t="str">
        <f>UPPER(IF(AUDITORIA[[#This Row],[DATA VERIFICAÇÃO]]="","",TEXT(AUDITORIA[[#This Row],[DATA VERIFICAÇÃO]],"mmm")))</f>
        <v>JUN</v>
      </c>
      <c r="Y1559" t="s">
        <v>598</v>
      </c>
      <c r="Z1559" t="s">
        <v>691</v>
      </c>
      <c r="AA1559" t="s">
        <v>832</v>
      </c>
    </row>
    <row r="1560" spans="1:27" ht="14.4" hidden="1" customHeight="1" x14ac:dyDescent="0.3">
      <c r="A1560" s="4" t="s">
        <v>0</v>
      </c>
      <c r="B1560" s="4" t="s">
        <v>17</v>
      </c>
      <c r="C1560" s="16" t="s">
        <v>18</v>
      </c>
      <c r="D1560" s="4">
        <v>10</v>
      </c>
      <c r="E1560" s="4" t="s">
        <v>745</v>
      </c>
      <c r="F1560" t="s">
        <v>623</v>
      </c>
      <c r="G1560" t="s">
        <v>836</v>
      </c>
      <c r="J1560" s="4" t="s">
        <v>55</v>
      </c>
      <c r="K1560" s="4" t="s">
        <v>21</v>
      </c>
      <c r="L1560" s="4" t="s">
        <v>742</v>
      </c>
      <c r="M1560" s="17">
        <v>30</v>
      </c>
      <c r="N1560" s="17">
        <v>906</v>
      </c>
      <c r="O1560" s="18" t="s">
        <v>55</v>
      </c>
      <c r="P1560" s="18">
        <v>906</v>
      </c>
      <c r="Q1560" s="18">
        <v>30</v>
      </c>
      <c r="R1560" s="18" t="s">
        <v>814</v>
      </c>
      <c r="S1560" s="18" t="s">
        <v>811</v>
      </c>
      <c r="T1560" s="18" t="s">
        <v>794</v>
      </c>
      <c r="U15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60" s="19">
        <f>IF(AUDITORIA[[#This Row],[CAT]]="",0,1)</f>
        <v>1</v>
      </c>
      <c r="W1560" s="20">
        <v>46197</v>
      </c>
      <c r="X1560" s="21" t="str">
        <f>UPPER(IF(AUDITORIA[[#This Row],[DATA VERIFICAÇÃO]]="","",TEXT(AUDITORIA[[#This Row],[DATA VERIFICAÇÃO]],"mmm")))</f>
        <v>JUN</v>
      </c>
      <c r="Y1560" t="s">
        <v>598</v>
      </c>
      <c r="Z1560" t="s">
        <v>691</v>
      </c>
      <c r="AA1560" t="s">
        <v>832</v>
      </c>
    </row>
    <row r="1561" spans="1:27" ht="14.4" hidden="1" customHeight="1" x14ac:dyDescent="0.3">
      <c r="A1561" s="4" t="s">
        <v>0</v>
      </c>
      <c r="B1561" s="4" t="s">
        <v>17</v>
      </c>
      <c r="C1561" s="16" t="s">
        <v>18</v>
      </c>
      <c r="D1561" s="4">
        <v>10</v>
      </c>
      <c r="E1561" s="4" t="s">
        <v>745</v>
      </c>
      <c r="F1561" t="s">
        <v>621</v>
      </c>
      <c r="G1561" t="s">
        <v>836</v>
      </c>
      <c r="J1561" s="4" t="s">
        <v>55</v>
      </c>
      <c r="K1561" s="4" t="s">
        <v>20</v>
      </c>
      <c r="L1561" s="4" t="s">
        <v>742</v>
      </c>
      <c r="M1561" s="17">
        <v>30</v>
      </c>
      <c r="N1561" s="17">
        <v>702</v>
      </c>
      <c r="O1561" s="18" t="s">
        <v>55</v>
      </c>
      <c r="P1561" s="18">
        <v>702</v>
      </c>
      <c r="Q1561" s="18">
        <v>30</v>
      </c>
      <c r="R1561" s="18" t="s">
        <v>814</v>
      </c>
      <c r="S1561" s="18" t="s">
        <v>812</v>
      </c>
      <c r="T1561" s="18" t="s">
        <v>794</v>
      </c>
      <c r="U15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61" s="19">
        <f>IF(AUDITORIA[[#This Row],[CAT]]="",0,1)</f>
        <v>1</v>
      </c>
      <c r="W1561" s="20">
        <v>46197</v>
      </c>
      <c r="X1561" s="21" t="str">
        <f>UPPER(IF(AUDITORIA[[#This Row],[DATA VERIFICAÇÃO]]="","",TEXT(AUDITORIA[[#This Row],[DATA VERIFICAÇÃO]],"mmm")))</f>
        <v>JUN</v>
      </c>
      <c r="Y1561" t="s">
        <v>598</v>
      </c>
      <c r="Z1561" t="s">
        <v>691</v>
      </c>
      <c r="AA1561" t="s">
        <v>832</v>
      </c>
    </row>
    <row r="1562" spans="1:27" ht="14.4" hidden="1" customHeight="1" x14ac:dyDescent="0.3">
      <c r="A1562" s="4" t="s">
        <v>0</v>
      </c>
      <c r="B1562" s="4" t="s">
        <v>17</v>
      </c>
      <c r="C1562" s="16" t="s">
        <v>18</v>
      </c>
      <c r="D1562" s="4">
        <v>10</v>
      </c>
      <c r="E1562" s="4" t="s">
        <v>745</v>
      </c>
      <c r="F1562" t="s">
        <v>622</v>
      </c>
      <c r="G1562" t="s">
        <v>836</v>
      </c>
      <c r="J1562" s="4" t="s">
        <v>55</v>
      </c>
      <c r="K1562" s="4" t="s">
        <v>21</v>
      </c>
      <c r="L1562" s="4" t="s">
        <v>742</v>
      </c>
      <c r="M1562" s="17">
        <v>27</v>
      </c>
      <c r="N1562" s="17">
        <v>936</v>
      </c>
      <c r="O1562" s="18" t="s">
        <v>55</v>
      </c>
      <c r="P1562" s="18">
        <v>936</v>
      </c>
      <c r="Q1562" s="18">
        <v>27</v>
      </c>
      <c r="R1562" s="18" t="s">
        <v>814</v>
      </c>
      <c r="S1562" s="18" t="s">
        <v>811</v>
      </c>
      <c r="T1562" s="18" t="s">
        <v>782</v>
      </c>
      <c r="U15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62" s="19">
        <f>IF(AUDITORIA[[#This Row],[CAT]]="",0,1)</f>
        <v>1</v>
      </c>
      <c r="W1562" s="20">
        <v>46197</v>
      </c>
      <c r="X1562" s="21" t="str">
        <f>UPPER(IF(AUDITORIA[[#This Row],[DATA VERIFICAÇÃO]]="","",TEXT(AUDITORIA[[#This Row],[DATA VERIFICAÇÃO]],"mmm")))</f>
        <v>JUN</v>
      </c>
      <c r="Y1562" t="s">
        <v>598</v>
      </c>
      <c r="Z1562" t="s">
        <v>691</v>
      </c>
      <c r="AA1562" t="s">
        <v>832</v>
      </c>
    </row>
    <row r="1563" spans="1:27" ht="14.4" hidden="1" customHeight="1" x14ac:dyDescent="0.3">
      <c r="A1563" s="4" t="s">
        <v>0</v>
      </c>
      <c r="B1563" s="4" t="s">
        <v>17</v>
      </c>
      <c r="C1563" s="16" t="s">
        <v>18</v>
      </c>
      <c r="D1563" s="4">
        <v>10</v>
      </c>
      <c r="E1563" s="4" t="s">
        <v>745</v>
      </c>
      <c r="F1563" t="s">
        <v>620</v>
      </c>
      <c r="G1563" t="s">
        <v>836</v>
      </c>
      <c r="J1563" s="4" t="s">
        <v>55</v>
      </c>
      <c r="K1563" s="4" t="s">
        <v>21</v>
      </c>
      <c r="L1563" s="4" t="s">
        <v>742</v>
      </c>
      <c r="M1563" s="17">
        <v>14</v>
      </c>
      <c r="N1563" s="17">
        <v>920</v>
      </c>
      <c r="O1563" s="18" t="s">
        <v>55</v>
      </c>
      <c r="P1563" s="18">
        <v>920</v>
      </c>
      <c r="Q1563" s="18">
        <v>14</v>
      </c>
      <c r="R1563" s="18" t="s">
        <v>814</v>
      </c>
      <c r="S1563" s="18" t="s">
        <v>797</v>
      </c>
      <c r="T1563" s="18" t="s">
        <v>780</v>
      </c>
      <c r="U15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63" s="19">
        <f>IF(AUDITORIA[[#This Row],[CAT]]="",0,1)</f>
        <v>1</v>
      </c>
      <c r="W1563" s="20">
        <v>46197</v>
      </c>
      <c r="X1563" s="21" t="str">
        <f>UPPER(IF(AUDITORIA[[#This Row],[DATA VERIFICAÇÃO]]="","",TEXT(AUDITORIA[[#This Row],[DATA VERIFICAÇÃO]],"mmm")))</f>
        <v>JUN</v>
      </c>
      <c r="Y1563" t="s">
        <v>598</v>
      </c>
      <c r="Z1563" t="s">
        <v>691</v>
      </c>
      <c r="AA1563" t="s">
        <v>832</v>
      </c>
    </row>
    <row r="1564" spans="1:27" ht="14.4" hidden="1" customHeight="1" x14ac:dyDescent="0.3">
      <c r="A1564" s="4" t="s">
        <v>0</v>
      </c>
      <c r="B1564" s="4" t="s">
        <v>17</v>
      </c>
      <c r="C1564" s="16" t="s">
        <v>18</v>
      </c>
      <c r="D1564" s="4">
        <v>10</v>
      </c>
      <c r="E1564" s="4" t="s">
        <v>745</v>
      </c>
      <c r="F1564" t="s">
        <v>619</v>
      </c>
      <c r="G1564" t="s">
        <v>836</v>
      </c>
      <c r="J1564" s="4" t="s">
        <v>55</v>
      </c>
      <c r="K1564" s="4" t="s">
        <v>20</v>
      </c>
      <c r="L1564" s="4" t="s">
        <v>742</v>
      </c>
      <c r="M1564" s="17">
        <v>8</v>
      </c>
      <c r="N1564" s="17">
        <v>715</v>
      </c>
      <c r="O1564" s="18" t="s">
        <v>55</v>
      </c>
      <c r="P1564" s="18">
        <v>715</v>
      </c>
      <c r="Q1564" s="18">
        <v>8</v>
      </c>
      <c r="R1564" s="18" t="s">
        <v>814</v>
      </c>
      <c r="S1564" s="18" t="s">
        <v>798</v>
      </c>
      <c r="T1564" s="18" t="s">
        <v>840</v>
      </c>
      <c r="U15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64" s="19">
        <f>IF(AUDITORIA[[#This Row],[CAT]]="",0,1)</f>
        <v>1</v>
      </c>
      <c r="W1564" s="20">
        <v>46197</v>
      </c>
      <c r="X1564" s="21" t="str">
        <f>UPPER(IF(AUDITORIA[[#This Row],[DATA VERIFICAÇÃO]]="","",TEXT(AUDITORIA[[#This Row],[DATA VERIFICAÇÃO]],"mmm")))</f>
        <v>JUN</v>
      </c>
      <c r="Y1564" t="s">
        <v>598</v>
      </c>
      <c r="Z1564" t="s">
        <v>691</v>
      </c>
      <c r="AA1564" t="s">
        <v>832</v>
      </c>
    </row>
    <row r="1565" spans="1:27" ht="14.4" hidden="1" customHeight="1" x14ac:dyDescent="0.3">
      <c r="A1565" s="4" t="s">
        <v>0</v>
      </c>
      <c r="B1565" s="4" t="s">
        <v>17</v>
      </c>
      <c r="C1565" s="16" t="s">
        <v>18</v>
      </c>
      <c r="D1565" s="4">
        <v>10</v>
      </c>
      <c r="E1565" s="4" t="s">
        <v>745</v>
      </c>
      <c r="F1565" t="s">
        <v>618</v>
      </c>
      <c r="G1565" t="s">
        <v>837</v>
      </c>
      <c r="J1565" s="4" t="s">
        <v>55</v>
      </c>
      <c r="K1565" s="4" t="s">
        <v>20</v>
      </c>
      <c r="L1565" s="4" t="s">
        <v>742</v>
      </c>
      <c r="M1565" s="17">
        <v>30</v>
      </c>
      <c r="N1565" s="17">
        <v>652</v>
      </c>
      <c r="O1565" s="18" t="s">
        <v>55</v>
      </c>
      <c r="P1565" s="18">
        <v>652</v>
      </c>
      <c r="Q1565" s="18">
        <v>30</v>
      </c>
      <c r="R1565" s="18" t="s">
        <v>814</v>
      </c>
      <c r="S1565" s="18" t="s">
        <v>796</v>
      </c>
      <c r="T1565" s="18" t="s">
        <v>780</v>
      </c>
      <c r="U15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65" s="19">
        <f>IF(AUDITORIA[[#This Row],[CAT]]="",0,1)</f>
        <v>1</v>
      </c>
      <c r="W1565" s="20">
        <v>46197</v>
      </c>
      <c r="X1565" s="21" t="str">
        <f>UPPER(IF(AUDITORIA[[#This Row],[DATA VERIFICAÇÃO]]="","",TEXT(AUDITORIA[[#This Row],[DATA VERIFICAÇÃO]],"mmm")))</f>
        <v>JUN</v>
      </c>
      <c r="Y1565" t="s">
        <v>598</v>
      </c>
      <c r="Z1565" t="s">
        <v>691</v>
      </c>
      <c r="AA1565" t="s">
        <v>832</v>
      </c>
    </row>
    <row r="1566" spans="1:27" ht="14.4" hidden="1" customHeight="1" x14ac:dyDescent="0.3">
      <c r="A1566" s="4" t="s">
        <v>0</v>
      </c>
      <c r="B1566" s="4" t="s">
        <v>17</v>
      </c>
      <c r="C1566" s="16" t="s">
        <v>18</v>
      </c>
      <c r="D1566" s="4">
        <v>10</v>
      </c>
      <c r="E1566" s="4" t="s">
        <v>745</v>
      </c>
      <c r="F1566" t="s">
        <v>617</v>
      </c>
      <c r="G1566" t="s">
        <v>837</v>
      </c>
      <c r="J1566" s="4" t="s">
        <v>55</v>
      </c>
      <c r="K1566" s="4" t="s">
        <v>21</v>
      </c>
      <c r="L1566" s="4" t="s">
        <v>742</v>
      </c>
      <c r="M1566" s="17">
        <v>30</v>
      </c>
      <c r="N1566" s="17">
        <v>837</v>
      </c>
      <c r="O1566" s="18" t="s">
        <v>55</v>
      </c>
      <c r="P1566" s="18">
        <v>837</v>
      </c>
      <c r="Q1566" s="18">
        <v>30</v>
      </c>
      <c r="R1566" s="18" t="s">
        <v>814</v>
      </c>
      <c r="S1566" s="18" t="s">
        <v>795</v>
      </c>
      <c r="T1566" s="18" t="s">
        <v>781</v>
      </c>
      <c r="U15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66" s="19">
        <f>IF(AUDITORIA[[#This Row],[CAT]]="",0,1)</f>
        <v>1</v>
      </c>
      <c r="W1566" s="20">
        <v>46197</v>
      </c>
      <c r="X1566" s="21" t="str">
        <f>UPPER(IF(AUDITORIA[[#This Row],[DATA VERIFICAÇÃO]]="","",TEXT(AUDITORIA[[#This Row],[DATA VERIFICAÇÃO]],"mmm")))</f>
        <v>JUN</v>
      </c>
      <c r="Y1566" t="s">
        <v>598</v>
      </c>
      <c r="Z1566" t="s">
        <v>691</v>
      </c>
      <c r="AA1566" t="s">
        <v>832</v>
      </c>
    </row>
    <row r="1567" spans="1:27" ht="14.4" hidden="1" customHeight="1" x14ac:dyDescent="0.3">
      <c r="A1567" s="4" t="s">
        <v>0</v>
      </c>
      <c r="B1567" s="4" t="s">
        <v>17</v>
      </c>
      <c r="C1567" s="16" t="s">
        <v>18</v>
      </c>
      <c r="D1567" s="4">
        <v>10</v>
      </c>
      <c r="E1567" s="4" t="s">
        <v>745</v>
      </c>
      <c r="F1567" t="s">
        <v>616</v>
      </c>
      <c r="G1567" t="s">
        <v>837</v>
      </c>
      <c r="J1567" s="4" t="s">
        <v>55</v>
      </c>
      <c r="K1567" s="4" t="s">
        <v>20</v>
      </c>
      <c r="L1567" s="4" t="s">
        <v>742</v>
      </c>
      <c r="M1567" s="17">
        <v>30</v>
      </c>
      <c r="N1567" s="17">
        <v>660</v>
      </c>
      <c r="O1567" s="18" t="s">
        <v>55</v>
      </c>
      <c r="P1567" s="18">
        <v>660</v>
      </c>
      <c r="Q1567" s="18">
        <v>30</v>
      </c>
      <c r="R1567" s="18" t="s">
        <v>814</v>
      </c>
      <c r="S1567" s="18" t="s">
        <v>796</v>
      </c>
      <c r="T1567" s="18" t="s">
        <v>781</v>
      </c>
      <c r="U15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67" s="19">
        <f>IF(AUDITORIA[[#This Row],[CAT]]="",0,1)</f>
        <v>1</v>
      </c>
      <c r="W1567" s="20">
        <v>46197</v>
      </c>
      <c r="X1567" s="21" t="str">
        <f>UPPER(IF(AUDITORIA[[#This Row],[DATA VERIFICAÇÃO]]="","",TEXT(AUDITORIA[[#This Row],[DATA VERIFICAÇÃO]],"mmm")))</f>
        <v>JUN</v>
      </c>
      <c r="Y1567" t="s">
        <v>598</v>
      </c>
      <c r="Z1567" t="s">
        <v>691</v>
      </c>
      <c r="AA1567" t="s">
        <v>832</v>
      </c>
    </row>
    <row r="1568" spans="1:27" ht="14.4" hidden="1" customHeight="1" x14ac:dyDescent="0.3">
      <c r="A1568" s="4" t="s">
        <v>0</v>
      </c>
      <c r="B1568" s="4" t="s">
        <v>17</v>
      </c>
      <c r="C1568" s="16" t="s">
        <v>18</v>
      </c>
      <c r="D1568" s="4">
        <v>10</v>
      </c>
      <c r="E1568" s="4" t="s">
        <v>745</v>
      </c>
      <c r="F1568" t="s">
        <v>615</v>
      </c>
      <c r="G1568" t="s">
        <v>837</v>
      </c>
      <c r="J1568" s="4" t="s">
        <v>55</v>
      </c>
      <c r="K1568" s="4" t="s">
        <v>21</v>
      </c>
      <c r="L1568" s="4" t="s">
        <v>742</v>
      </c>
      <c r="M1568" s="17">
        <v>30</v>
      </c>
      <c r="N1568" s="17">
        <v>833</v>
      </c>
      <c r="O1568" s="18" t="s">
        <v>55</v>
      </c>
      <c r="P1568" s="18">
        <v>833</v>
      </c>
      <c r="Q1568" s="18">
        <v>30</v>
      </c>
      <c r="R1568" s="18" t="s">
        <v>814</v>
      </c>
      <c r="S1568" s="18" t="s">
        <v>784</v>
      </c>
      <c r="T1568" s="18" t="s">
        <v>781</v>
      </c>
      <c r="U15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68" s="19">
        <f>IF(AUDITORIA[[#This Row],[CAT]]="",0,1)</f>
        <v>1</v>
      </c>
      <c r="W1568" s="20">
        <v>46197</v>
      </c>
      <c r="X1568" s="21" t="str">
        <f>UPPER(IF(AUDITORIA[[#This Row],[DATA VERIFICAÇÃO]]="","",TEXT(AUDITORIA[[#This Row],[DATA VERIFICAÇÃO]],"mmm")))</f>
        <v>JUN</v>
      </c>
      <c r="Y1568" t="s">
        <v>598</v>
      </c>
      <c r="Z1568" t="s">
        <v>691</v>
      </c>
      <c r="AA1568" t="s">
        <v>832</v>
      </c>
    </row>
    <row r="1569" spans="1:27" ht="14.4" hidden="1" customHeight="1" x14ac:dyDescent="0.3">
      <c r="A1569" s="4" t="s">
        <v>0</v>
      </c>
      <c r="B1569" s="4" t="s">
        <v>17</v>
      </c>
      <c r="C1569" s="16" t="s">
        <v>18</v>
      </c>
      <c r="D1569" s="4">
        <v>10</v>
      </c>
      <c r="E1569" s="4" t="s">
        <v>745</v>
      </c>
      <c r="F1569" t="s">
        <v>613</v>
      </c>
      <c r="G1569" t="s">
        <v>837</v>
      </c>
      <c r="J1569" s="4" t="s">
        <v>55</v>
      </c>
      <c r="K1569" s="4" t="s">
        <v>20</v>
      </c>
      <c r="L1569" s="4" t="s">
        <v>742</v>
      </c>
      <c r="M1569" s="17">
        <v>30</v>
      </c>
      <c r="N1569" s="17">
        <v>645</v>
      </c>
      <c r="O1569" s="18" t="s">
        <v>55</v>
      </c>
      <c r="P1569" s="18">
        <v>645</v>
      </c>
      <c r="Q1569" s="18">
        <v>30</v>
      </c>
      <c r="R1569" s="18" t="s">
        <v>814</v>
      </c>
      <c r="S1569" s="18" t="s">
        <v>796</v>
      </c>
      <c r="T1569" s="18" t="s">
        <v>782</v>
      </c>
      <c r="U15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69" s="19">
        <f>IF(AUDITORIA[[#This Row],[CAT]]="",0,1)</f>
        <v>1</v>
      </c>
      <c r="W1569" s="20">
        <v>46197</v>
      </c>
      <c r="X1569" s="21" t="str">
        <f>UPPER(IF(AUDITORIA[[#This Row],[DATA VERIFICAÇÃO]]="","",TEXT(AUDITORIA[[#This Row],[DATA VERIFICAÇÃO]],"mmm")))</f>
        <v>JUN</v>
      </c>
      <c r="Y1569" t="s">
        <v>598</v>
      </c>
      <c r="Z1569" t="s">
        <v>691</v>
      </c>
      <c r="AA1569" t="s">
        <v>832</v>
      </c>
    </row>
    <row r="1570" spans="1:27" ht="14.4" hidden="1" customHeight="1" x14ac:dyDescent="0.3">
      <c r="A1570" s="4" t="s">
        <v>0</v>
      </c>
      <c r="B1570" s="4" t="s">
        <v>17</v>
      </c>
      <c r="C1570" s="16" t="s">
        <v>18</v>
      </c>
      <c r="D1570" s="4">
        <v>10</v>
      </c>
      <c r="E1570" s="4" t="s">
        <v>745</v>
      </c>
      <c r="F1570" t="s">
        <v>614</v>
      </c>
      <c r="G1570" t="s">
        <v>837</v>
      </c>
      <c r="J1570" s="4" t="s">
        <v>55</v>
      </c>
      <c r="K1570" s="4" t="s">
        <v>21</v>
      </c>
      <c r="L1570" s="4" t="s">
        <v>742</v>
      </c>
      <c r="M1570" s="17">
        <v>30</v>
      </c>
      <c r="N1570" s="17">
        <v>833</v>
      </c>
      <c r="O1570" s="18" t="s">
        <v>55</v>
      </c>
      <c r="P1570" s="18">
        <v>833</v>
      </c>
      <c r="Q1570" s="18">
        <v>30</v>
      </c>
      <c r="R1570" s="18" t="s">
        <v>817</v>
      </c>
      <c r="S1570" s="18" t="s">
        <v>810</v>
      </c>
      <c r="T1570" s="18" t="s">
        <v>782</v>
      </c>
      <c r="U15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70" s="19">
        <f>IF(AUDITORIA[[#This Row],[CAT]]="",0,1)</f>
        <v>1</v>
      </c>
      <c r="W1570" s="20">
        <v>46197</v>
      </c>
      <c r="X1570" s="21" t="str">
        <f>UPPER(IF(AUDITORIA[[#This Row],[DATA VERIFICAÇÃO]]="","",TEXT(AUDITORIA[[#This Row],[DATA VERIFICAÇÃO]],"mmm")))</f>
        <v>JUN</v>
      </c>
      <c r="Y1570" t="s">
        <v>598</v>
      </c>
      <c r="Z1570" t="s">
        <v>691</v>
      </c>
      <c r="AA1570" t="s">
        <v>832</v>
      </c>
    </row>
    <row r="1571" spans="1:27" ht="14.4" hidden="1" customHeight="1" x14ac:dyDescent="0.3">
      <c r="A1571" s="4" t="s">
        <v>0</v>
      </c>
      <c r="B1571" s="4" t="s">
        <v>17</v>
      </c>
      <c r="C1571" s="16" t="s">
        <v>18</v>
      </c>
      <c r="D1571" s="4">
        <v>10</v>
      </c>
      <c r="E1571" s="4" t="s">
        <v>745</v>
      </c>
      <c r="F1571" t="s">
        <v>773</v>
      </c>
      <c r="G1571" t="s">
        <v>837</v>
      </c>
      <c r="J1571" s="4" t="s">
        <v>55</v>
      </c>
      <c r="K1571" s="4" t="s">
        <v>21</v>
      </c>
      <c r="L1571" s="4" t="s">
        <v>742</v>
      </c>
      <c r="M1571" s="17">
        <v>30</v>
      </c>
      <c r="N1571" s="17">
        <v>824</v>
      </c>
      <c r="O1571" s="18" t="s">
        <v>55</v>
      </c>
      <c r="P1571" s="18">
        <v>824</v>
      </c>
      <c r="Q1571" s="18">
        <v>30</v>
      </c>
      <c r="R1571" s="18" t="s">
        <v>814</v>
      </c>
      <c r="S1571" s="18" t="s">
        <v>795</v>
      </c>
      <c r="T1571" s="18" t="s">
        <v>780</v>
      </c>
      <c r="U15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71" s="19">
        <f>IF(AUDITORIA[[#This Row],[CAT]]="",0,1)</f>
        <v>1</v>
      </c>
      <c r="W1571" s="20">
        <v>46197</v>
      </c>
      <c r="X1571" s="21" t="str">
        <f>UPPER(IF(AUDITORIA[[#This Row],[DATA VERIFICAÇÃO]]="","",TEXT(AUDITORIA[[#This Row],[DATA VERIFICAÇÃO]],"mmm")))</f>
        <v>JUN</v>
      </c>
      <c r="Y1571" t="s">
        <v>598</v>
      </c>
      <c r="Z1571" t="s">
        <v>691</v>
      </c>
      <c r="AA1571" t="s">
        <v>832</v>
      </c>
    </row>
    <row r="1572" spans="1:27" ht="14.4" hidden="1" customHeight="1" x14ac:dyDescent="0.3">
      <c r="A1572" s="4" t="s">
        <v>0</v>
      </c>
      <c r="B1572" s="4" t="s">
        <v>17</v>
      </c>
      <c r="C1572" s="16" t="s">
        <v>18</v>
      </c>
      <c r="D1572" s="4">
        <v>10</v>
      </c>
      <c r="E1572" s="4" t="s">
        <v>745</v>
      </c>
      <c r="F1572" t="s">
        <v>612</v>
      </c>
      <c r="G1572" t="s">
        <v>837</v>
      </c>
      <c r="J1572" s="4" t="s">
        <v>55</v>
      </c>
      <c r="K1572" s="4" t="s">
        <v>20</v>
      </c>
      <c r="L1572" s="4" t="s">
        <v>742</v>
      </c>
      <c r="M1572" s="17">
        <v>30</v>
      </c>
      <c r="N1572" s="17">
        <v>628</v>
      </c>
      <c r="O1572" s="18" t="s">
        <v>55</v>
      </c>
      <c r="P1572" s="18">
        <v>628</v>
      </c>
      <c r="Q1572" s="18">
        <v>30</v>
      </c>
      <c r="R1572" s="18" t="s">
        <v>817</v>
      </c>
      <c r="S1572" s="18" t="s">
        <v>805</v>
      </c>
      <c r="T1572" s="18" t="s">
        <v>782</v>
      </c>
      <c r="U15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72" s="19">
        <f>IF(AUDITORIA[[#This Row],[CAT]]="",0,1)</f>
        <v>1</v>
      </c>
      <c r="W1572" s="20">
        <v>46197</v>
      </c>
      <c r="X1572" s="21" t="str">
        <f>UPPER(IF(AUDITORIA[[#This Row],[DATA VERIFICAÇÃO]]="","",TEXT(AUDITORIA[[#This Row],[DATA VERIFICAÇÃO]],"mmm")))</f>
        <v>JUN</v>
      </c>
      <c r="Y1572" t="s">
        <v>598</v>
      </c>
      <c r="Z1572" t="s">
        <v>691</v>
      </c>
      <c r="AA1572" t="s">
        <v>832</v>
      </c>
    </row>
    <row r="1573" spans="1:27" ht="14.4" hidden="1" customHeight="1" x14ac:dyDescent="0.3">
      <c r="A1573" s="4" t="s">
        <v>0</v>
      </c>
      <c r="B1573" s="4" t="s">
        <v>17</v>
      </c>
      <c r="C1573" s="16" t="s">
        <v>18</v>
      </c>
      <c r="D1573" s="4">
        <v>10</v>
      </c>
      <c r="E1573" s="4" t="s">
        <v>745</v>
      </c>
      <c r="F1573" t="s">
        <v>610</v>
      </c>
      <c r="G1573" t="s">
        <v>837</v>
      </c>
      <c r="J1573" s="4" t="s">
        <v>55</v>
      </c>
      <c r="K1573" s="4" t="s">
        <v>20</v>
      </c>
      <c r="L1573" s="4" t="s">
        <v>742</v>
      </c>
      <c r="M1573" s="17">
        <v>30</v>
      </c>
      <c r="N1573" s="17">
        <v>635</v>
      </c>
      <c r="O1573" s="18" t="s">
        <v>55</v>
      </c>
      <c r="P1573" s="18">
        <v>635</v>
      </c>
      <c r="Q1573" s="18">
        <v>30</v>
      </c>
      <c r="R1573" s="18" t="s">
        <v>817</v>
      </c>
      <c r="S1573" s="18" t="s">
        <v>805</v>
      </c>
      <c r="T1573" s="18" t="s">
        <v>781</v>
      </c>
      <c r="U15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73" s="19">
        <f>IF(AUDITORIA[[#This Row],[CAT]]="",0,1)</f>
        <v>1</v>
      </c>
      <c r="W1573" s="20">
        <v>46197</v>
      </c>
      <c r="X1573" s="21" t="str">
        <f>UPPER(IF(AUDITORIA[[#This Row],[DATA VERIFICAÇÃO]]="","",TEXT(AUDITORIA[[#This Row],[DATA VERIFICAÇÃO]],"mmm")))</f>
        <v>JUN</v>
      </c>
      <c r="Y1573" t="s">
        <v>598</v>
      </c>
      <c r="Z1573" t="s">
        <v>691</v>
      </c>
      <c r="AA1573" t="s">
        <v>832</v>
      </c>
    </row>
    <row r="1574" spans="1:27" ht="14.4" hidden="1" customHeight="1" x14ac:dyDescent="0.3">
      <c r="A1574" s="4" t="s">
        <v>0</v>
      </c>
      <c r="B1574" s="4" t="s">
        <v>17</v>
      </c>
      <c r="C1574" s="16" t="s">
        <v>18</v>
      </c>
      <c r="D1574" s="4">
        <v>10</v>
      </c>
      <c r="E1574" s="4" t="s">
        <v>745</v>
      </c>
      <c r="F1574" t="s">
        <v>611</v>
      </c>
      <c r="G1574" t="s">
        <v>837</v>
      </c>
      <c r="J1574" s="4" t="s">
        <v>55</v>
      </c>
      <c r="K1574" s="4" t="s">
        <v>21</v>
      </c>
      <c r="L1574" s="4" t="s">
        <v>742</v>
      </c>
      <c r="M1574" s="17">
        <v>30</v>
      </c>
      <c r="N1574" s="17">
        <v>827</v>
      </c>
      <c r="O1574" s="18" t="s">
        <v>55</v>
      </c>
      <c r="P1574" s="18">
        <v>827</v>
      </c>
      <c r="Q1574" s="18">
        <v>30</v>
      </c>
      <c r="R1574" s="18" t="s">
        <v>817</v>
      </c>
      <c r="S1574" s="18" t="s">
        <v>810</v>
      </c>
      <c r="T1574" s="18" t="s">
        <v>781</v>
      </c>
      <c r="U15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74" s="19">
        <f>IF(AUDITORIA[[#This Row],[CAT]]="",0,1)</f>
        <v>1</v>
      </c>
      <c r="W1574" s="20">
        <v>46197</v>
      </c>
      <c r="X1574" s="21" t="str">
        <f>UPPER(IF(AUDITORIA[[#This Row],[DATA VERIFICAÇÃO]]="","",TEXT(AUDITORIA[[#This Row],[DATA VERIFICAÇÃO]],"mmm")))</f>
        <v>JUN</v>
      </c>
      <c r="Y1574" t="s">
        <v>598</v>
      </c>
      <c r="Z1574" t="s">
        <v>691</v>
      </c>
      <c r="AA1574" t="s">
        <v>832</v>
      </c>
    </row>
    <row r="1575" spans="1:27" ht="14.4" hidden="1" customHeight="1" x14ac:dyDescent="0.3">
      <c r="A1575" s="4" t="s">
        <v>0</v>
      </c>
      <c r="B1575" s="4" t="s">
        <v>17</v>
      </c>
      <c r="C1575" s="16" t="s">
        <v>18</v>
      </c>
      <c r="D1575" s="4">
        <v>10</v>
      </c>
      <c r="E1575" s="4" t="s">
        <v>745</v>
      </c>
      <c r="F1575" t="s">
        <v>609</v>
      </c>
      <c r="G1575" t="s">
        <v>837</v>
      </c>
      <c r="J1575" s="4" t="s">
        <v>55</v>
      </c>
      <c r="K1575" s="4" t="s">
        <v>21</v>
      </c>
      <c r="L1575" s="4" t="s">
        <v>742</v>
      </c>
      <c r="M1575" s="17">
        <v>30</v>
      </c>
      <c r="N1575" s="17">
        <v>835</v>
      </c>
      <c r="O1575" s="18" t="s">
        <v>55</v>
      </c>
      <c r="P1575" s="18">
        <v>835</v>
      </c>
      <c r="Q1575" s="18">
        <v>30</v>
      </c>
      <c r="R1575" s="18" t="s">
        <v>814</v>
      </c>
      <c r="S1575" s="18" t="s">
        <v>795</v>
      </c>
      <c r="T1575" s="18" t="s">
        <v>782</v>
      </c>
      <c r="U15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75" s="19">
        <f>IF(AUDITORIA[[#This Row],[CAT]]="",0,1)</f>
        <v>1</v>
      </c>
      <c r="W1575" s="20">
        <v>46197</v>
      </c>
      <c r="X1575" s="21" t="str">
        <f>UPPER(IF(AUDITORIA[[#This Row],[DATA VERIFICAÇÃO]]="","",TEXT(AUDITORIA[[#This Row],[DATA VERIFICAÇÃO]],"mmm")))</f>
        <v>JUN</v>
      </c>
      <c r="Y1575" t="s">
        <v>598</v>
      </c>
      <c r="Z1575" t="s">
        <v>691</v>
      </c>
      <c r="AA1575" t="s">
        <v>832</v>
      </c>
    </row>
    <row r="1576" spans="1:27" ht="14.4" hidden="1" customHeight="1" x14ac:dyDescent="0.3">
      <c r="A1576" s="4" t="s">
        <v>0</v>
      </c>
      <c r="B1576" s="4" t="s">
        <v>17</v>
      </c>
      <c r="C1576" s="16" t="s">
        <v>18</v>
      </c>
      <c r="D1576" s="4">
        <v>10</v>
      </c>
      <c r="E1576" s="4" t="s">
        <v>745</v>
      </c>
      <c r="F1576" t="s">
        <v>608</v>
      </c>
      <c r="G1576" t="s">
        <v>837</v>
      </c>
      <c r="J1576" s="4" t="s">
        <v>55</v>
      </c>
      <c r="K1576" s="4" t="s">
        <v>20</v>
      </c>
      <c r="L1576" s="4" t="s">
        <v>742</v>
      </c>
      <c r="M1576" s="17">
        <v>30</v>
      </c>
      <c r="N1576" s="17">
        <v>648</v>
      </c>
      <c r="O1576" s="18" t="s">
        <v>55</v>
      </c>
      <c r="P1576" s="18">
        <v>648</v>
      </c>
      <c r="Q1576" s="18">
        <v>30</v>
      </c>
      <c r="R1576" s="18" t="s">
        <v>817</v>
      </c>
      <c r="S1576" s="18" t="s">
        <v>805</v>
      </c>
      <c r="T1576" s="18" t="s">
        <v>780</v>
      </c>
      <c r="U15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76" s="19">
        <f>IF(AUDITORIA[[#This Row],[CAT]]="",0,1)</f>
        <v>1</v>
      </c>
      <c r="W1576" s="20">
        <v>46197</v>
      </c>
      <c r="X1576" s="21" t="str">
        <f>UPPER(IF(AUDITORIA[[#This Row],[DATA VERIFICAÇÃO]]="","",TEXT(AUDITORIA[[#This Row],[DATA VERIFICAÇÃO]],"mmm")))</f>
        <v>JUN</v>
      </c>
      <c r="Y1576" t="s">
        <v>598</v>
      </c>
      <c r="Z1576" t="s">
        <v>691</v>
      </c>
      <c r="AA1576" t="s">
        <v>832</v>
      </c>
    </row>
    <row r="1577" spans="1:27" ht="14.4" hidden="1" customHeight="1" x14ac:dyDescent="0.3">
      <c r="A1577" s="4" t="s">
        <v>0</v>
      </c>
      <c r="B1577" s="4" t="s">
        <v>17</v>
      </c>
      <c r="C1577" s="16" t="s">
        <v>18</v>
      </c>
      <c r="D1577" s="4">
        <v>10</v>
      </c>
      <c r="E1577" s="4" t="s">
        <v>745</v>
      </c>
      <c r="F1577" t="s">
        <v>607</v>
      </c>
      <c r="G1577" t="s">
        <v>837</v>
      </c>
      <c r="J1577" s="4" t="s">
        <v>55</v>
      </c>
      <c r="K1577" s="4" t="s">
        <v>21</v>
      </c>
      <c r="L1577" s="4" t="s">
        <v>742</v>
      </c>
      <c r="M1577" s="17">
        <v>30</v>
      </c>
      <c r="N1577" s="17">
        <v>828</v>
      </c>
      <c r="O1577" s="18" t="s">
        <v>55</v>
      </c>
      <c r="P1577" s="18">
        <v>828</v>
      </c>
      <c r="Q1577" s="18">
        <v>30</v>
      </c>
      <c r="R1577" s="18" t="s">
        <v>817</v>
      </c>
      <c r="S1577" s="18" t="s">
        <v>820</v>
      </c>
      <c r="T1577" s="18" t="s">
        <v>781</v>
      </c>
      <c r="U15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77" s="19">
        <f>IF(AUDITORIA[[#This Row],[CAT]]="",0,1)</f>
        <v>1</v>
      </c>
      <c r="W1577" s="20">
        <v>46197</v>
      </c>
      <c r="X1577" s="21" t="str">
        <f>UPPER(IF(AUDITORIA[[#This Row],[DATA VERIFICAÇÃO]]="","",TEXT(AUDITORIA[[#This Row],[DATA VERIFICAÇÃO]],"mmm")))</f>
        <v>JUN</v>
      </c>
      <c r="Y1577" t="s">
        <v>598</v>
      </c>
      <c r="Z1577" t="s">
        <v>691</v>
      </c>
      <c r="AA1577" t="s">
        <v>832</v>
      </c>
    </row>
    <row r="1578" spans="1:27" ht="14.4" hidden="1" customHeight="1" x14ac:dyDescent="0.3">
      <c r="A1578" s="4" t="s">
        <v>0</v>
      </c>
      <c r="B1578" s="4" t="s">
        <v>17</v>
      </c>
      <c r="C1578" s="16" t="s">
        <v>18</v>
      </c>
      <c r="D1578" s="4">
        <v>10</v>
      </c>
      <c r="E1578" s="4" t="s">
        <v>745</v>
      </c>
      <c r="F1578" t="s">
        <v>771</v>
      </c>
      <c r="G1578" t="s">
        <v>837</v>
      </c>
      <c r="J1578" s="4" t="s">
        <v>55</v>
      </c>
      <c r="K1578" s="4" t="s">
        <v>20</v>
      </c>
      <c r="L1578" s="4" t="s">
        <v>742</v>
      </c>
      <c r="M1578" s="17">
        <v>30</v>
      </c>
      <c r="N1578" s="17">
        <v>641</v>
      </c>
      <c r="O1578" s="18" t="s">
        <v>55</v>
      </c>
      <c r="P1578" s="18">
        <v>641</v>
      </c>
      <c r="Q1578" s="18">
        <v>30</v>
      </c>
      <c r="R1578" s="18" t="s">
        <v>817</v>
      </c>
      <c r="S1578" s="18" t="s">
        <v>810</v>
      </c>
      <c r="T1578" s="18" t="s">
        <v>794</v>
      </c>
      <c r="U15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78" s="19">
        <f>IF(AUDITORIA[[#This Row],[CAT]]="",0,1)</f>
        <v>1</v>
      </c>
      <c r="W1578" s="20">
        <v>46197</v>
      </c>
      <c r="X1578" s="21" t="str">
        <f>UPPER(IF(AUDITORIA[[#This Row],[DATA VERIFICAÇÃO]]="","",TEXT(AUDITORIA[[#This Row],[DATA VERIFICAÇÃO]],"mmm")))</f>
        <v>JUN</v>
      </c>
      <c r="Y1578" t="s">
        <v>598</v>
      </c>
      <c r="Z1578" t="s">
        <v>691</v>
      </c>
      <c r="AA1578" t="s">
        <v>832</v>
      </c>
    </row>
    <row r="1579" spans="1:27" ht="14.4" hidden="1" customHeight="1" x14ac:dyDescent="0.3">
      <c r="A1579" s="4" t="s">
        <v>0</v>
      </c>
      <c r="B1579" s="4" t="s">
        <v>17</v>
      </c>
      <c r="C1579" s="16" t="s">
        <v>18</v>
      </c>
      <c r="D1579" s="4">
        <v>10</v>
      </c>
      <c r="E1579" s="4" t="s">
        <v>745</v>
      </c>
      <c r="F1579" t="s">
        <v>772</v>
      </c>
      <c r="G1579" t="s">
        <v>837</v>
      </c>
      <c r="J1579" s="4" t="s">
        <v>55</v>
      </c>
      <c r="K1579" s="4" t="s">
        <v>21</v>
      </c>
      <c r="L1579" s="4" t="s">
        <v>742</v>
      </c>
      <c r="M1579" s="17">
        <v>30</v>
      </c>
      <c r="N1579" s="17">
        <v>840</v>
      </c>
      <c r="O1579" s="18" t="s">
        <v>55</v>
      </c>
      <c r="P1579" s="18">
        <v>840</v>
      </c>
      <c r="Q1579" s="18">
        <v>30</v>
      </c>
      <c r="R1579" s="18" t="s">
        <v>817</v>
      </c>
      <c r="S1579" s="18" t="s">
        <v>820</v>
      </c>
      <c r="T1579" s="18" t="s">
        <v>782</v>
      </c>
      <c r="U15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79" s="19">
        <f>IF(AUDITORIA[[#This Row],[CAT]]="",0,1)</f>
        <v>1</v>
      </c>
      <c r="W1579" s="20">
        <v>46197</v>
      </c>
      <c r="X1579" s="21" t="str">
        <f>UPPER(IF(AUDITORIA[[#This Row],[DATA VERIFICAÇÃO]]="","",TEXT(AUDITORIA[[#This Row],[DATA VERIFICAÇÃO]],"mmm")))</f>
        <v>JUN</v>
      </c>
      <c r="Y1579" t="s">
        <v>598</v>
      </c>
      <c r="Z1579" t="s">
        <v>691</v>
      </c>
      <c r="AA1579" t="s">
        <v>832</v>
      </c>
    </row>
    <row r="1580" spans="1:27" ht="14.4" hidden="1" customHeight="1" x14ac:dyDescent="0.3">
      <c r="A1580" s="4" t="s">
        <v>0</v>
      </c>
      <c r="B1580" s="4" t="s">
        <v>17</v>
      </c>
      <c r="C1580" s="16" t="s">
        <v>18</v>
      </c>
      <c r="D1580" s="4">
        <v>10</v>
      </c>
      <c r="E1580" s="4" t="s">
        <v>745</v>
      </c>
      <c r="F1580" t="s">
        <v>769</v>
      </c>
      <c r="G1580" t="s">
        <v>837</v>
      </c>
      <c r="J1580" s="4" t="s">
        <v>55</v>
      </c>
      <c r="K1580" s="4" t="s">
        <v>21</v>
      </c>
      <c r="L1580" s="4" t="s">
        <v>742</v>
      </c>
      <c r="M1580" s="17">
        <v>18</v>
      </c>
      <c r="N1580" s="17">
        <v>836</v>
      </c>
      <c r="O1580" s="18" t="s">
        <v>55</v>
      </c>
      <c r="P1580" s="18">
        <v>836</v>
      </c>
      <c r="Q1580" s="18">
        <v>18</v>
      </c>
      <c r="R1580" s="18" t="s">
        <v>814</v>
      </c>
      <c r="S1580" s="18" t="s">
        <v>799</v>
      </c>
      <c r="T1580" s="18" t="s">
        <v>782</v>
      </c>
      <c r="U15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80" s="19">
        <f>IF(AUDITORIA[[#This Row],[CAT]]="",0,1)</f>
        <v>1</v>
      </c>
      <c r="W1580" s="20">
        <v>46197</v>
      </c>
      <c r="X1580" s="21" t="str">
        <f>UPPER(IF(AUDITORIA[[#This Row],[DATA VERIFICAÇÃO]]="","",TEXT(AUDITORIA[[#This Row],[DATA VERIFICAÇÃO]],"mmm")))</f>
        <v>JUN</v>
      </c>
      <c r="Y1580" t="s">
        <v>598</v>
      </c>
      <c r="Z1580" t="s">
        <v>691</v>
      </c>
      <c r="AA1580" t="s">
        <v>832</v>
      </c>
    </row>
    <row r="1581" spans="1:27" ht="14.4" hidden="1" customHeight="1" x14ac:dyDescent="0.3">
      <c r="A1581" s="4" t="s">
        <v>0</v>
      </c>
      <c r="B1581" s="4" t="s">
        <v>17</v>
      </c>
      <c r="C1581" s="16" t="s">
        <v>18</v>
      </c>
      <c r="D1581" s="4">
        <v>10</v>
      </c>
      <c r="E1581" s="4" t="s">
        <v>745</v>
      </c>
      <c r="F1581" t="s">
        <v>770</v>
      </c>
      <c r="G1581" t="s">
        <v>837</v>
      </c>
      <c r="J1581" s="4" t="s">
        <v>55</v>
      </c>
      <c r="K1581" s="4" t="s">
        <v>20</v>
      </c>
      <c r="L1581" s="4" t="s">
        <v>742</v>
      </c>
      <c r="M1581" s="17">
        <v>10</v>
      </c>
      <c r="N1581" s="17">
        <v>652</v>
      </c>
      <c r="O1581" s="18" t="s">
        <v>55</v>
      </c>
      <c r="P1581" s="18">
        <v>652</v>
      </c>
      <c r="Q1581" s="18">
        <v>10</v>
      </c>
      <c r="R1581" s="18" t="s">
        <v>814</v>
      </c>
      <c r="S1581" s="18" t="s">
        <v>798</v>
      </c>
      <c r="T1581" s="18" t="s">
        <v>780</v>
      </c>
      <c r="U15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81" s="19">
        <f>IF(AUDITORIA[[#This Row],[CAT]]="",0,1)</f>
        <v>1</v>
      </c>
      <c r="W1581" s="20">
        <v>46197</v>
      </c>
      <c r="X1581" s="21" t="str">
        <f>UPPER(IF(AUDITORIA[[#This Row],[DATA VERIFICAÇÃO]]="","",TEXT(AUDITORIA[[#This Row],[DATA VERIFICAÇÃO]],"mmm")))</f>
        <v>JUN</v>
      </c>
      <c r="Y1581" t="s">
        <v>598</v>
      </c>
      <c r="Z1581" t="s">
        <v>691</v>
      </c>
      <c r="AA1581" t="s">
        <v>832</v>
      </c>
    </row>
    <row r="1582" spans="1:27" ht="14.4" hidden="1" customHeight="1" x14ac:dyDescent="0.3">
      <c r="A1582" s="4" t="s">
        <v>0</v>
      </c>
      <c r="B1582" s="4" t="s">
        <v>17</v>
      </c>
      <c r="C1582" s="16" t="s">
        <v>18</v>
      </c>
      <c r="D1582" s="4">
        <v>10</v>
      </c>
      <c r="E1582" s="4" t="s">
        <v>745</v>
      </c>
      <c r="F1582" t="s">
        <v>768</v>
      </c>
      <c r="G1582" t="s">
        <v>233</v>
      </c>
      <c r="J1582" s="4" t="s">
        <v>88</v>
      </c>
      <c r="K1582" s="4" t="s">
        <v>21</v>
      </c>
      <c r="L1582" s="4" t="s">
        <v>742</v>
      </c>
      <c r="M1582" s="17">
        <v>27</v>
      </c>
      <c r="N1582" s="17">
        <v>988</v>
      </c>
      <c r="O1582" s="18" t="s">
        <v>88</v>
      </c>
      <c r="P1582" s="18">
        <v>988</v>
      </c>
      <c r="Q1582" s="18">
        <v>27</v>
      </c>
      <c r="R1582" s="18" t="s">
        <v>817</v>
      </c>
      <c r="S1582" s="18" t="s">
        <v>806</v>
      </c>
      <c r="T1582" s="18" t="s">
        <v>782</v>
      </c>
      <c r="U15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82" s="19">
        <f>IF(AUDITORIA[[#This Row],[CAT]]="",0,1)</f>
        <v>1</v>
      </c>
      <c r="W1582" s="20">
        <v>46197</v>
      </c>
      <c r="X1582" s="21" t="str">
        <f>UPPER(IF(AUDITORIA[[#This Row],[DATA VERIFICAÇÃO]]="","",TEXT(AUDITORIA[[#This Row],[DATA VERIFICAÇÃO]],"mmm")))</f>
        <v>JUN</v>
      </c>
      <c r="Y1582" t="s">
        <v>598</v>
      </c>
      <c r="Z1582" t="s">
        <v>691</v>
      </c>
      <c r="AA1582" t="s">
        <v>832</v>
      </c>
    </row>
    <row r="1583" spans="1:27" ht="14.4" hidden="1" customHeight="1" x14ac:dyDescent="0.3">
      <c r="A1583" s="4" t="s">
        <v>0</v>
      </c>
      <c r="B1583" s="4" t="s">
        <v>17</v>
      </c>
      <c r="C1583" s="16" t="s">
        <v>18</v>
      </c>
      <c r="D1583" s="4">
        <v>10</v>
      </c>
      <c r="E1583" s="4" t="s">
        <v>745</v>
      </c>
      <c r="F1583" t="s">
        <v>767</v>
      </c>
      <c r="G1583" t="s">
        <v>233</v>
      </c>
      <c r="J1583" s="4" t="s">
        <v>88</v>
      </c>
      <c r="K1583" s="4" t="s">
        <v>20</v>
      </c>
      <c r="L1583" s="4" t="s">
        <v>742</v>
      </c>
      <c r="M1583" s="17">
        <v>30</v>
      </c>
      <c r="N1583" s="17">
        <v>824</v>
      </c>
      <c r="O1583" s="18" t="s">
        <v>88</v>
      </c>
      <c r="P1583" s="18">
        <v>824</v>
      </c>
      <c r="Q1583" s="18">
        <v>30</v>
      </c>
      <c r="R1583" s="18" t="s">
        <v>817</v>
      </c>
      <c r="S1583" s="18" t="s">
        <v>793</v>
      </c>
      <c r="T1583" s="18" t="s">
        <v>780</v>
      </c>
      <c r="U15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83" s="19">
        <f>IF(AUDITORIA[[#This Row],[CAT]]="",0,1)</f>
        <v>1</v>
      </c>
      <c r="W1583" s="20">
        <v>46197</v>
      </c>
      <c r="X1583" s="21" t="str">
        <f>UPPER(IF(AUDITORIA[[#This Row],[DATA VERIFICAÇÃO]]="","",TEXT(AUDITORIA[[#This Row],[DATA VERIFICAÇÃO]],"mmm")))</f>
        <v>JUN</v>
      </c>
      <c r="Y1583" t="s">
        <v>598</v>
      </c>
      <c r="Z1583" t="s">
        <v>691</v>
      </c>
      <c r="AA1583" t="s">
        <v>832</v>
      </c>
    </row>
    <row r="1584" spans="1:27" ht="14.4" hidden="1" customHeight="1" x14ac:dyDescent="0.3">
      <c r="A1584" s="4" t="s">
        <v>0</v>
      </c>
      <c r="B1584" s="4" t="s">
        <v>17</v>
      </c>
      <c r="C1584" s="16" t="s">
        <v>18</v>
      </c>
      <c r="D1584" s="4">
        <v>10</v>
      </c>
      <c r="E1584" s="4" t="s">
        <v>745</v>
      </c>
      <c r="F1584" t="s">
        <v>766</v>
      </c>
      <c r="G1584" t="s">
        <v>233</v>
      </c>
      <c r="J1584" s="4" t="s">
        <v>88</v>
      </c>
      <c r="K1584" s="4" t="s">
        <v>21</v>
      </c>
      <c r="L1584" s="4" t="s">
        <v>742</v>
      </c>
      <c r="M1584" s="17">
        <v>27</v>
      </c>
      <c r="N1584" s="17">
        <v>977</v>
      </c>
      <c r="O1584" s="18" t="s">
        <v>88</v>
      </c>
      <c r="P1584" s="18">
        <v>977</v>
      </c>
      <c r="Q1584" s="18">
        <v>27</v>
      </c>
      <c r="R1584" s="18" t="s">
        <v>817</v>
      </c>
      <c r="S1584" s="18" t="s">
        <v>793</v>
      </c>
      <c r="T1584" s="18" t="s">
        <v>781</v>
      </c>
      <c r="U15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84" s="19">
        <f>IF(AUDITORIA[[#This Row],[CAT]]="",0,1)</f>
        <v>1</v>
      </c>
      <c r="W1584" s="20">
        <v>46197</v>
      </c>
      <c r="X1584" s="21" t="str">
        <f>UPPER(IF(AUDITORIA[[#This Row],[DATA VERIFICAÇÃO]]="","",TEXT(AUDITORIA[[#This Row],[DATA VERIFICAÇÃO]],"mmm")))</f>
        <v>JUN</v>
      </c>
      <c r="Y1584" t="s">
        <v>598</v>
      </c>
      <c r="Z1584" t="s">
        <v>691</v>
      </c>
      <c r="AA1584" t="s">
        <v>832</v>
      </c>
    </row>
    <row r="1585" spans="1:27" ht="14.4" hidden="1" customHeight="1" x14ac:dyDescent="0.3">
      <c r="A1585" s="4" t="s">
        <v>0</v>
      </c>
      <c r="B1585" s="4" t="s">
        <v>17</v>
      </c>
      <c r="C1585" s="16" t="s">
        <v>18</v>
      </c>
      <c r="D1585" s="4">
        <v>10</v>
      </c>
      <c r="E1585" s="4" t="s">
        <v>745</v>
      </c>
      <c r="F1585" t="s">
        <v>763</v>
      </c>
      <c r="G1585" t="s">
        <v>233</v>
      </c>
      <c r="J1585" s="4" t="s">
        <v>88</v>
      </c>
      <c r="K1585" s="4" t="s">
        <v>20</v>
      </c>
      <c r="L1585" s="4" t="s">
        <v>742</v>
      </c>
      <c r="M1585" s="17">
        <v>30</v>
      </c>
      <c r="N1585" s="17">
        <v>818</v>
      </c>
      <c r="O1585" s="18" t="s">
        <v>88</v>
      </c>
      <c r="P1585" s="18">
        <v>818</v>
      </c>
      <c r="Q1585" s="18">
        <v>30</v>
      </c>
      <c r="R1585" s="18" t="s">
        <v>817</v>
      </c>
      <c r="S1585" s="18" t="s">
        <v>784</v>
      </c>
      <c r="T1585" s="18" t="s">
        <v>780</v>
      </c>
      <c r="U15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85" s="19">
        <f>IF(AUDITORIA[[#This Row],[CAT]]="",0,1)</f>
        <v>1</v>
      </c>
      <c r="W1585" s="20">
        <v>46197</v>
      </c>
      <c r="X1585" s="21" t="str">
        <f>UPPER(IF(AUDITORIA[[#This Row],[DATA VERIFICAÇÃO]]="","",TEXT(AUDITORIA[[#This Row],[DATA VERIFICAÇÃO]],"mmm")))</f>
        <v>JUN</v>
      </c>
      <c r="Y1585" t="s">
        <v>598</v>
      </c>
      <c r="Z1585" t="s">
        <v>691</v>
      </c>
      <c r="AA1585" t="s">
        <v>832</v>
      </c>
    </row>
    <row r="1586" spans="1:27" ht="14.4" hidden="1" customHeight="1" x14ac:dyDescent="0.3">
      <c r="A1586" s="4" t="s">
        <v>0</v>
      </c>
      <c r="B1586" s="4" t="s">
        <v>17</v>
      </c>
      <c r="C1586" s="16" t="s">
        <v>18</v>
      </c>
      <c r="D1586" s="4">
        <v>10</v>
      </c>
      <c r="E1586" s="4" t="s">
        <v>745</v>
      </c>
      <c r="F1586" t="s">
        <v>765</v>
      </c>
      <c r="G1586" t="s">
        <v>233</v>
      </c>
      <c r="J1586" s="4" t="s">
        <v>88</v>
      </c>
      <c r="K1586" s="4" t="s">
        <v>21</v>
      </c>
      <c r="L1586" s="4" t="s">
        <v>742</v>
      </c>
      <c r="M1586" s="17">
        <v>27</v>
      </c>
      <c r="N1586" s="17">
        <v>986</v>
      </c>
      <c r="O1586" s="18" t="s">
        <v>88</v>
      </c>
      <c r="P1586" s="18">
        <v>986</v>
      </c>
      <c r="Q1586" s="18">
        <v>27</v>
      </c>
      <c r="R1586" s="18" t="s">
        <v>817</v>
      </c>
      <c r="S1586" s="18" t="s">
        <v>793</v>
      </c>
      <c r="T1586" s="18" t="s">
        <v>782</v>
      </c>
      <c r="U15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86" s="19">
        <f>IF(AUDITORIA[[#This Row],[CAT]]="",0,1)</f>
        <v>1</v>
      </c>
      <c r="W1586" s="20">
        <v>46197</v>
      </c>
      <c r="X1586" s="21" t="str">
        <f>UPPER(IF(AUDITORIA[[#This Row],[DATA VERIFICAÇÃO]]="","",TEXT(AUDITORIA[[#This Row],[DATA VERIFICAÇÃO]],"mmm")))</f>
        <v>JUN</v>
      </c>
      <c r="Y1586" t="s">
        <v>598</v>
      </c>
      <c r="Z1586" t="s">
        <v>691</v>
      </c>
      <c r="AA1586" t="s">
        <v>832</v>
      </c>
    </row>
    <row r="1587" spans="1:27" ht="14.4" hidden="1" customHeight="1" x14ac:dyDescent="0.3">
      <c r="A1587" s="4" t="s">
        <v>0</v>
      </c>
      <c r="B1587" s="4" t="s">
        <v>17</v>
      </c>
      <c r="C1587" s="16" t="s">
        <v>18</v>
      </c>
      <c r="D1587" s="4">
        <v>10</v>
      </c>
      <c r="E1587" s="4" t="s">
        <v>745</v>
      </c>
      <c r="F1587" t="s">
        <v>764</v>
      </c>
      <c r="G1587" t="s">
        <v>233</v>
      </c>
      <c r="J1587" s="4" t="s">
        <v>88</v>
      </c>
      <c r="K1587" s="4" t="s">
        <v>21</v>
      </c>
      <c r="L1587" s="4" t="s">
        <v>742</v>
      </c>
      <c r="M1587" s="17">
        <v>27</v>
      </c>
      <c r="N1587" s="17">
        <v>983</v>
      </c>
      <c r="O1587" s="18" t="s">
        <v>88</v>
      </c>
      <c r="P1587" s="18">
        <v>983</v>
      </c>
      <c r="Q1587" s="18">
        <v>27</v>
      </c>
      <c r="R1587" s="18" t="s">
        <v>817</v>
      </c>
      <c r="S1587" s="18" t="s">
        <v>784</v>
      </c>
      <c r="T1587" s="18" t="s">
        <v>781</v>
      </c>
      <c r="U15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87" s="19">
        <f>IF(AUDITORIA[[#This Row],[CAT]]="",0,1)</f>
        <v>1</v>
      </c>
      <c r="W1587" s="20">
        <v>46197</v>
      </c>
      <c r="X1587" s="21" t="str">
        <f>UPPER(IF(AUDITORIA[[#This Row],[DATA VERIFICAÇÃO]]="","",TEXT(AUDITORIA[[#This Row],[DATA VERIFICAÇÃO]],"mmm")))</f>
        <v>JUN</v>
      </c>
      <c r="Y1587" t="s">
        <v>598</v>
      </c>
      <c r="Z1587" t="s">
        <v>691</v>
      </c>
      <c r="AA1587" t="s">
        <v>832</v>
      </c>
    </row>
    <row r="1588" spans="1:27" ht="14.4" hidden="1" customHeight="1" x14ac:dyDescent="0.3">
      <c r="A1588" s="4" t="s">
        <v>0</v>
      </c>
      <c r="B1588" s="4" t="s">
        <v>17</v>
      </c>
      <c r="C1588" s="16" t="s">
        <v>18</v>
      </c>
      <c r="D1588" s="4">
        <v>10</v>
      </c>
      <c r="E1588" s="4" t="s">
        <v>745</v>
      </c>
      <c r="F1588" t="s">
        <v>762</v>
      </c>
      <c r="G1588" t="s">
        <v>233</v>
      </c>
      <c r="J1588" s="4" t="s">
        <v>88</v>
      </c>
      <c r="K1588" s="4" t="s">
        <v>21</v>
      </c>
      <c r="L1588" s="4" t="s">
        <v>742</v>
      </c>
      <c r="M1588" s="17">
        <v>27</v>
      </c>
      <c r="N1588" s="17">
        <v>968</v>
      </c>
      <c r="O1588" s="18" t="s">
        <v>88</v>
      </c>
      <c r="P1588" s="18">
        <v>968</v>
      </c>
      <c r="Q1588" s="18">
        <v>27</v>
      </c>
      <c r="R1588" s="18" t="s">
        <v>817</v>
      </c>
      <c r="S1588" s="18" t="s">
        <v>784</v>
      </c>
      <c r="T1588" s="18" t="s">
        <v>782</v>
      </c>
      <c r="U15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88" s="19">
        <f>IF(AUDITORIA[[#This Row],[CAT]]="",0,1)</f>
        <v>1</v>
      </c>
      <c r="W1588" s="20">
        <v>46197</v>
      </c>
      <c r="X1588" s="21" t="str">
        <f>UPPER(IF(AUDITORIA[[#This Row],[DATA VERIFICAÇÃO]]="","",TEXT(AUDITORIA[[#This Row],[DATA VERIFICAÇÃO]],"mmm")))</f>
        <v>JUN</v>
      </c>
      <c r="Y1588" t="s">
        <v>598</v>
      </c>
      <c r="Z1588" t="s">
        <v>691</v>
      </c>
      <c r="AA1588" t="s">
        <v>832</v>
      </c>
    </row>
    <row r="1589" spans="1:27" ht="14.4" hidden="1" customHeight="1" x14ac:dyDescent="0.3">
      <c r="A1589" s="4" t="s">
        <v>0</v>
      </c>
      <c r="B1589" s="4" t="s">
        <v>17</v>
      </c>
      <c r="C1589" s="16" t="s">
        <v>18</v>
      </c>
      <c r="D1589" s="4">
        <v>10</v>
      </c>
      <c r="E1589" s="4" t="s">
        <v>745</v>
      </c>
      <c r="F1589" t="s">
        <v>761</v>
      </c>
      <c r="G1589" t="s">
        <v>233</v>
      </c>
      <c r="J1589" s="4" t="s">
        <v>88</v>
      </c>
      <c r="K1589" s="4" t="s">
        <v>20</v>
      </c>
      <c r="L1589" s="4" t="s">
        <v>742</v>
      </c>
      <c r="M1589" s="17">
        <v>30</v>
      </c>
      <c r="N1589" s="17">
        <v>827</v>
      </c>
      <c r="O1589" s="18" t="s">
        <v>88</v>
      </c>
      <c r="P1589" s="18">
        <v>827</v>
      </c>
      <c r="Q1589" s="18">
        <v>30</v>
      </c>
      <c r="R1589" s="18" t="s">
        <v>817</v>
      </c>
      <c r="S1589" s="18" t="s">
        <v>804</v>
      </c>
      <c r="T1589" s="18" t="s">
        <v>780</v>
      </c>
      <c r="U15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89" s="19">
        <f>IF(AUDITORIA[[#This Row],[CAT]]="",0,1)</f>
        <v>1</v>
      </c>
      <c r="W1589" s="20">
        <v>46197</v>
      </c>
      <c r="X1589" s="21" t="str">
        <f>UPPER(IF(AUDITORIA[[#This Row],[DATA VERIFICAÇÃO]]="","",TEXT(AUDITORIA[[#This Row],[DATA VERIFICAÇÃO]],"mmm")))</f>
        <v>JUN</v>
      </c>
      <c r="Y1589" t="s">
        <v>598</v>
      </c>
      <c r="Z1589" t="s">
        <v>691</v>
      </c>
      <c r="AA1589" t="s">
        <v>832</v>
      </c>
    </row>
    <row r="1590" spans="1:27" ht="14.4" hidden="1" customHeight="1" x14ac:dyDescent="0.3">
      <c r="A1590" s="4" t="s">
        <v>0</v>
      </c>
      <c r="B1590" s="4" t="s">
        <v>17</v>
      </c>
      <c r="C1590" s="16" t="s">
        <v>18</v>
      </c>
      <c r="D1590" s="4">
        <v>10</v>
      </c>
      <c r="E1590" s="4" t="s">
        <v>745</v>
      </c>
      <c r="F1590" t="s">
        <v>759</v>
      </c>
      <c r="G1590" t="s">
        <v>233</v>
      </c>
      <c r="J1590" s="4" t="s">
        <v>88</v>
      </c>
      <c r="K1590" s="4" t="s">
        <v>20</v>
      </c>
      <c r="L1590" s="4" t="s">
        <v>742</v>
      </c>
      <c r="M1590" s="17">
        <v>30</v>
      </c>
      <c r="N1590" s="17">
        <v>822</v>
      </c>
      <c r="O1590" s="18" t="s">
        <v>88</v>
      </c>
      <c r="P1590" s="18">
        <v>822</v>
      </c>
      <c r="Q1590" s="18">
        <v>30</v>
      </c>
      <c r="R1590" s="18" t="s">
        <v>817</v>
      </c>
      <c r="S1590" s="18" t="s">
        <v>804</v>
      </c>
      <c r="T1590" s="18" t="s">
        <v>781</v>
      </c>
      <c r="U15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90" s="19">
        <f>IF(AUDITORIA[[#This Row],[CAT]]="",0,1)</f>
        <v>1</v>
      </c>
      <c r="W1590" s="20">
        <v>46197</v>
      </c>
      <c r="X1590" s="21" t="str">
        <f>UPPER(IF(AUDITORIA[[#This Row],[DATA VERIFICAÇÃO]]="","",TEXT(AUDITORIA[[#This Row],[DATA VERIFICAÇÃO]],"mmm")))</f>
        <v>JUN</v>
      </c>
      <c r="Y1590" t="s">
        <v>598</v>
      </c>
      <c r="Z1590" t="s">
        <v>691</v>
      </c>
      <c r="AA1590" t="s">
        <v>832</v>
      </c>
    </row>
    <row r="1591" spans="1:27" ht="14.4" hidden="1" customHeight="1" x14ac:dyDescent="0.3">
      <c r="A1591" s="4" t="s">
        <v>0</v>
      </c>
      <c r="B1591" s="4" t="s">
        <v>17</v>
      </c>
      <c r="C1591" s="16" t="s">
        <v>18</v>
      </c>
      <c r="D1591" s="4">
        <v>10</v>
      </c>
      <c r="E1591" s="4" t="s">
        <v>745</v>
      </c>
      <c r="F1591" t="s">
        <v>760</v>
      </c>
      <c r="G1591" t="s">
        <v>233</v>
      </c>
      <c r="J1591" s="4" t="s">
        <v>19</v>
      </c>
      <c r="K1591" s="4" t="s">
        <v>21</v>
      </c>
      <c r="L1591" s="4" t="s">
        <v>742</v>
      </c>
      <c r="M1591" s="17">
        <v>27</v>
      </c>
      <c r="N1591" s="17">
        <v>955</v>
      </c>
      <c r="O1591" s="18" t="s">
        <v>19</v>
      </c>
      <c r="P1591" s="18">
        <v>955</v>
      </c>
      <c r="Q1591" s="18">
        <v>27</v>
      </c>
      <c r="R1591" s="18" t="s">
        <v>817</v>
      </c>
      <c r="S1591" s="18" t="s">
        <v>787</v>
      </c>
      <c r="T1591" s="18" t="s">
        <v>782</v>
      </c>
      <c r="U15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91" s="19">
        <f>IF(AUDITORIA[[#This Row],[CAT]]="",0,1)</f>
        <v>1</v>
      </c>
      <c r="W1591" s="20">
        <v>46197</v>
      </c>
      <c r="X1591" s="21" t="str">
        <f>UPPER(IF(AUDITORIA[[#This Row],[DATA VERIFICAÇÃO]]="","",TEXT(AUDITORIA[[#This Row],[DATA VERIFICAÇÃO]],"mmm")))</f>
        <v>JUN</v>
      </c>
      <c r="Y1591" t="s">
        <v>598</v>
      </c>
      <c r="Z1591" t="s">
        <v>691</v>
      </c>
      <c r="AA1591" t="s">
        <v>832</v>
      </c>
    </row>
    <row r="1592" spans="1:27" ht="14.4" hidden="1" customHeight="1" x14ac:dyDescent="0.3">
      <c r="A1592" s="4" t="s">
        <v>0</v>
      </c>
      <c r="B1592" s="4" t="s">
        <v>17</v>
      </c>
      <c r="C1592" s="16" t="s">
        <v>18</v>
      </c>
      <c r="D1592" s="4">
        <v>10</v>
      </c>
      <c r="E1592" s="4" t="s">
        <v>745</v>
      </c>
      <c r="F1592" t="s">
        <v>758</v>
      </c>
      <c r="G1592" t="s">
        <v>233</v>
      </c>
      <c r="J1592" s="4" t="s">
        <v>19</v>
      </c>
      <c r="K1592" s="4" t="s">
        <v>21</v>
      </c>
      <c r="L1592" s="4" t="s">
        <v>742</v>
      </c>
      <c r="M1592" s="17">
        <v>27</v>
      </c>
      <c r="N1592" s="17">
        <v>939</v>
      </c>
      <c r="O1592" s="18" t="s">
        <v>19</v>
      </c>
      <c r="P1592" s="18">
        <v>939</v>
      </c>
      <c r="Q1592" s="18">
        <v>27</v>
      </c>
      <c r="R1592" s="18" t="s">
        <v>817</v>
      </c>
      <c r="S1592" s="18" t="s">
        <v>806</v>
      </c>
      <c r="T1592" s="18" t="s">
        <v>781</v>
      </c>
      <c r="U15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92" s="19">
        <f>IF(AUDITORIA[[#This Row],[CAT]]="",0,1)</f>
        <v>1</v>
      </c>
      <c r="W1592" s="20">
        <v>46197</v>
      </c>
      <c r="X1592" s="21" t="str">
        <f>UPPER(IF(AUDITORIA[[#This Row],[DATA VERIFICAÇÃO]]="","",TEXT(AUDITORIA[[#This Row],[DATA VERIFICAÇÃO]],"mmm")))</f>
        <v>JUN</v>
      </c>
      <c r="Y1592" t="s">
        <v>598</v>
      </c>
      <c r="Z1592" t="s">
        <v>691</v>
      </c>
      <c r="AA1592" t="s">
        <v>832</v>
      </c>
    </row>
    <row r="1593" spans="1:27" ht="14.4" hidden="1" customHeight="1" x14ac:dyDescent="0.3">
      <c r="A1593" s="4" t="s">
        <v>0</v>
      </c>
      <c r="B1593" s="4" t="s">
        <v>17</v>
      </c>
      <c r="C1593" s="16" t="s">
        <v>18</v>
      </c>
      <c r="D1593" s="4">
        <v>10</v>
      </c>
      <c r="E1593" s="4" t="s">
        <v>745</v>
      </c>
      <c r="F1593" t="s">
        <v>755</v>
      </c>
      <c r="G1593" t="s">
        <v>233</v>
      </c>
      <c r="J1593" s="4" t="s">
        <v>774</v>
      </c>
      <c r="K1593" s="4" t="s">
        <v>20</v>
      </c>
      <c r="L1593" s="4" t="s">
        <v>742</v>
      </c>
      <c r="M1593" s="17">
        <v>20</v>
      </c>
      <c r="N1593" s="17">
        <v>828</v>
      </c>
      <c r="O1593" s="18" t="s">
        <v>774</v>
      </c>
      <c r="P1593" s="18">
        <v>828</v>
      </c>
      <c r="Q1593" s="18">
        <v>20</v>
      </c>
      <c r="R1593" s="18" t="s">
        <v>817</v>
      </c>
      <c r="S1593" s="18" t="s">
        <v>809</v>
      </c>
      <c r="T1593" s="18" t="s">
        <v>780</v>
      </c>
      <c r="U15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93" s="19">
        <f>IF(AUDITORIA[[#This Row],[CAT]]="",0,1)</f>
        <v>1</v>
      </c>
      <c r="W1593" s="20">
        <v>46197</v>
      </c>
      <c r="X1593" s="21" t="str">
        <f>UPPER(IF(AUDITORIA[[#This Row],[DATA VERIFICAÇÃO]]="","",TEXT(AUDITORIA[[#This Row],[DATA VERIFICAÇÃO]],"mmm")))</f>
        <v>JUN</v>
      </c>
      <c r="Y1593" t="s">
        <v>598</v>
      </c>
      <c r="Z1593" t="s">
        <v>691</v>
      </c>
      <c r="AA1593" t="s">
        <v>832</v>
      </c>
    </row>
    <row r="1594" spans="1:27" ht="14.4" hidden="1" customHeight="1" x14ac:dyDescent="0.3">
      <c r="A1594" s="4" t="s">
        <v>0</v>
      </c>
      <c r="B1594" s="4" t="s">
        <v>17</v>
      </c>
      <c r="C1594" s="16" t="s">
        <v>18</v>
      </c>
      <c r="D1594" s="4">
        <v>10</v>
      </c>
      <c r="E1594" s="4" t="s">
        <v>745</v>
      </c>
      <c r="F1594" t="s">
        <v>757</v>
      </c>
      <c r="G1594" t="s">
        <v>233</v>
      </c>
      <c r="J1594" s="4" t="s">
        <v>19</v>
      </c>
      <c r="K1594" s="4" t="s">
        <v>21</v>
      </c>
      <c r="L1594" s="4" t="s">
        <v>742</v>
      </c>
      <c r="M1594" s="17">
        <v>27</v>
      </c>
      <c r="N1594" s="17">
        <v>970</v>
      </c>
      <c r="O1594" s="18" t="s">
        <v>19</v>
      </c>
      <c r="P1594" s="18">
        <v>970</v>
      </c>
      <c r="Q1594" s="18">
        <v>27</v>
      </c>
      <c r="R1594" s="18" t="s">
        <v>817</v>
      </c>
      <c r="S1594" s="18" t="s">
        <v>787</v>
      </c>
      <c r="T1594" s="18" t="s">
        <v>781</v>
      </c>
      <c r="U15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94" s="19">
        <f>IF(AUDITORIA[[#This Row],[CAT]]="",0,1)</f>
        <v>1</v>
      </c>
      <c r="W1594" s="20">
        <v>46197</v>
      </c>
      <c r="X1594" s="21" t="str">
        <f>UPPER(IF(AUDITORIA[[#This Row],[DATA VERIFICAÇÃO]]="","",TEXT(AUDITORIA[[#This Row],[DATA VERIFICAÇÃO]],"mmm")))</f>
        <v>JUN</v>
      </c>
      <c r="Y1594" t="s">
        <v>598</v>
      </c>
      <c r="Z1594" t="s">
        <v>691</v>
      </c>
      <c r="AA1594" t="s">
        <v>832</v>
      </c>
    </row>
    <row r="1595" spans="1:27" ht="14.4" hidden="1" customHeight="1" x14ac:dyDescent="0.3">
      <c r="A1595" s="4" t="s">
        <v>0</v>
      </c>
      <c r="B1595" s="4" t="s">
        <v>17</v>
      </c>
      <c r="C1595" s="16" t="s">
        <v>18</v>
      </c>
      <c r="D1595" s="4">
        <v>10</v>
      </c>
      <c r="E1595" s="4" t="s">
        <v>745</v>
      </c>
      <c r="F1595" t="s">
        <v>756</v>
      </c>
      <c r="G1595" t="s">
        <v>233</v>
      </c>
      <c r="J1595" s="4" t="s">
        <v>19</v>
      </c>
      <c r="K1595" s="4" t="s">
        <v>21</v>
      </c>
      <c r="L1595" s="4" t="s">
        <v>742</v>
      </c>
      <c r="M1595" s="17">
        <v>27</v>
      </c>
      <c r="N1595" s="17">
        <v>985</v>
      </c>
      <c r="O1595" s="18" t="s">
        <v>19</v>
      </c>
      <c r="P1595" s="18">
        <v>985</v>
      </c>
      <c r="Q1595" s="18">
        <v>27</v>
      </c>
      <c r="R1595" s="18" t="s">
        <v>817</v>
      </c>
      <c r="S1595" s="18" t="s">
        <v>804</v>
      </c>
      <c r="T1595" s="18" t="s">
        <v>782</v>
      </c>
      <c r="U15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95" s="19">
        <f>IF(AUDITORIA[[#This Row],[CAT]]="",0,1)</f>
        <v>1</v>
      </c>
      <c r="W1595" s="20">
        <v>46197</v>
      </c>
      <c r="X1595" s="21" t="str">
        <f>UPPER(IF(AUDITORIA[[#This Row],[DATA VERIFICAÇÃO]]="","",TEXT(AUDITORIA[[#This Row],[DATA VERIFICAÇÃO]],"mmm")))</f>
        <v>JUN</v>
      </c>
      <c r="Y1595" t="s">
        <v>598</v>
      </c>
      <c r="Z1595" t="s">
        <v>691</v>
      </c>
      <c r="AA1595" t="s">
        <v>832</v>
      </c>
    </row>
    <row r="1596" spans="1:27" ht="14.4" hidden="1" customHeight="1" x14ac:dyDescent="0.3">
      <c r="A1596" s="4" t="s">
        <v>0</v>
      </c>
      <c r="B1596" s="4" t="s">
        <v>17</v>
      </c>
      <c r="C1596" s="16" t="s">
        <v>18</v>
      </c>
      <c r="D1596" s="4">
        <v>10</v>
      </c>
      <c r="E1596" s="4" t="s">
        <v>745</v>
      </c>
      <c r="F1596" t="s">
        <v>754</v>
      </c>
      <c r="G1596" t="s">
        <v>233</v>
      </c>
      <c r="J1596" s="4" t="s">
        <v>19</v>
      </c>
      <c r="K1596" s="4" t="s">
        <v>21</v>
      </c>
      <c r="L1596" s="4" t="s">
        <v>742</v>
      </c>
      <c r="M1596" s="17">
        <v>16</v>
      </c>
      <c r="N1596" s="17">
        <v>989</v>
      </c>
      <c r="O1596" s="18" t="s">
        <v>19</v>
      </c>
      <c r="P1596" s="18">
        <v>989</v>
      </c>
      <c r="Q1596" s="18">
        <v>16</v>
      </c>
      <c r="R1596" s="18" t="s">
        <v>817</v>
      </c>
      <c r="S1596" s="18" t="s">
        <v>788</v>
      </c>
      <c r="T1596" s="18" t="s">
        <v>794</v>
      </c>
      <c r="U15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96" s="19">
        <f>IF(AUDITORIA[[#This Row],[CAT]]="",0,1)</f>
        <v>1</v>
      </c>
      <c r="W1596" s="20">
        <v>46197</v>
      </c>
      <c r="X1596" s="21" t="str">
        <f>UPPER(IF(AUDITORIA[[#This Row],[DATA VERIFICAÇÃO]]="","",TEXT(AUDITORIA[[#This Row],[DATA VERIFICAÇÃO]],"mmm")))</f>
        <v>JUN</v>
      </c>
      <c r="Y1596" t="s">
        <v>598</v>
      </c>
      <c r="Z1596" t="s">
        <v>691</v>
      </c>
      <c r="AA1596" t="s">
        <v>832</v>
      </c>
    </row>
    <row r="1597" spans="1:27" ht="14.4" hidden="1" customHeight="1" x14ac:dyDescent="0.3">
      <c r="A1597" s="4" t="s">
        <v>0</v>
      </c>
      <c r="B1597" s="4" t="s">
        <v>17</v>
      </c>
      <c r="C1597" s="16" t="s">
        <v>18</v>
      </c>
      <c r="D1597" s="4">
        <v>10</v>
      </c>
      <c r="E1597" s="4" t="s">
        <v>745</v>
      </c>
      <c r="F1597" t="s">
        <v>752</v>
      </c>
      <c r="G1597" t="s">
        <v>839</v>
      </c>
      <c r="J1597" s="4" t="s">
        <v>31</v>
      </c>
      <c r="K1597" s="4" t="s">
        <v>20</v>
      </c>
      <c r="L1597" s="4" t="s">
        <v>742</v>
      </c>
      <c r="M1597" s="17">
        <v>30</v>
      </c>
      <c r="N1597" s="17">
        <v>752</v>
      </c>
      <c r="O1597" s="18" t="s">
        <v>31</v>
      </c>
      <c r="P1597" s="18">
        <v>752</v>
      </c>
      <c r="Q1597" s="18">
        <v>30</v>
      </c>
      <c r="R1597" s="18" t="s">
        <v>817</v>
      </c>
      <c r="S1597" s="18" t="s">
        <v>807</v>
      </c>
      <c r="T1597" s="18" t="s">
        <v>780</v>
      </c>
      <c r="U15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97" s="19">
        <f>IF(AUDITORIA[[#This Row],[CAT]]="",0,1)</f>
        <v>1</v>
      </c>
      <c r="W1597" s="20">
        <v>46197</v>
      </c>
      <c r="X1597" s="21" t="str">
        <f>UPPER(IF(AUDITORIA[[#This Row],[DATA VERIFICAÇÃO]]="","",TEXT(AUDITORIA[[#This Row],[DATA VERIFICAÇÃO]],"mmm")))</f>
        <v>JUN</v>
      </c>
      <c r="Y1597" t="s">
        <v>598</v>
      </c>
      <c r="Z1597" t="s">
        <v>691</v>
      </c>
      <c r="AA1597" t="s">
        <v>832</v>
      </c>
    </row>
    <row r="1598" spans="1:27" ht="14.4" hidden="1" customHeight="1" x14ac:dyDescent="0.3">
      <c r="A1598" s="4" t="s">
        <v>0</v>
      </c>
      <c r="B1598" s="4" t="s">
        <v>17</v>
      </c>
      <c r="C1598" s="16" t="s">
        <v>18</v>
      </c>
      <c r="D1598" s="4">
        <v>10</v>
      </c>
      <c r="E1598" s="4" t="s">
        <v>745</v>
      </c>
      <c r="F1598" t="s">
        <v>753</v>
      </c>
      <c r="G1598" t="s">
        <v>839</v>
      </c>
      <c r="J1598" s="4" t="s">
        <v>31</v>
      </c>
      <c r="K1598" s="4" t="s">
        <v>21</v>
      </c>
      <c r="L1598" s="4" t="s">
        <v>742</v>
      </c>
      <c r="M1598" s="17">
        <v>30</v>
      </c>
      <c r="N1598" s="17">
        <v>888</v>
      </c>
      <c r="O1598" s="18" t="s">
        <v>31</v>
      </c>
      <c r="P1598" s="18">
        <v>888</v>
      </c>
      <c r="Q1598" s="18">
        <v>30</v>
      </c>
      <c r="R1598" s="18" t="s">
        <v>817</v>
      </c>
      <c r="S1598" s="18" t="s">
        <v>807</v>
      </c>
      <c r="T1598" s="18" t="s">
        <v>782</v>
      </c>
      <c r="U15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98" s="19">
        <f>IF(AUDITORIA[[#This Row],[CAT]]="",0,1)</f>
        <v>1</v>
      </c>
      <c r="W1598" s="20">
        <v>46197</v>
      </c>
      <c r="X1598" s="21" t="str">
        <f>UPPER(IF(AUDITORIA[[#This Row],[DATA VERIFICAÇÃO]]="","",TEXT(AUDITORIA[[#This Row],[DATA VERIFICAÇÃO]],"mmm")))</f>
        <v>JUN</v>
      </c>
      <c r="Y1598" t="s">
        <v>598</v>
      </c>
      <c r="Z1598" t="s">
        <v>691</v>
      </c>
      <c r="AA1598" t="s">
        <v>832</v>
      </c>
    </row>
    <row r="1599" spans="1:27" ht="14.4" hidden="1" customHeight="1" x14ac:dyDescent="0.3">
      <c r="A1599" s="4" t="s">
        <v>0</v>
      </c>
      <c r="B1599" s="4" t="s">
        <v>17</v>
      </c>
      <c r="C1599" s="16" t="s">
        <v>18</v>
      </c>
      <c r="D1599" s="4">
        <v>10</v>
      </c>
      <c r="E1599" s="4" t="s">
        <v>745</v>
      </c>
      <c r="F1599" t="s">
        <v>751</v>
      </c>
      <c r="G1599" t="s">
        <v>839</v>
      </c>
      <c r="J1599" s="4" t="s">
        <v>31</v>
      </c>
      <c r="K1599" s="4" t="s">
        <v>21</v>
      </c>
      <c r="L1599" s="4" t="s">
        <v>742</v>
      </c>
      <c r="M1599" s="17">
        <v>30</v>
      </c>
      <c r="N1599" s="17">
        <v>889</v>
      </c>
      <c r="O1599" s="18" t="s">
        <v>31</v>
      </c>
      <c r="P1599" s="18">
        <v>889</v>
      </c>
      <c r="Q1599" s="18">
        <v>30</v>
      </c>
      <c r="R1599" s="18" t="s">
        <v>817</v>
      </c>
      <c r="S1599" s="18" t="s">
        <v>807</v>
      </c>
      <c r="T1599" s="18" t="s">
        <v>781</v>
      </c>
      <c r="U15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599" s="19">
        <f>IF(AUDITORIA[[#This Row],[CAT]]="",0,1)</f>
        <v>1</v>
      </c>
      <c r="W1599" s="20">
        <v>46197</v>
      </c>
      <c r="X1599" s="21" t="str">
        <f>UPPER(IF(AUDITORIA[[#This Row],[DATA VERIFICAÇÃO]]="","",TEXT(AUDITORIA[[#This Row],[DATA VERIFICAÇÃO]],"mmm")))</f>
        <v>JUN</v>
      </c>
      <c r="Y1599" t="s">
        <v>598</v>
      </c>
      <c r="Z1599" t="s">
        <v>691</v>
      </c>
      <c r="AA1599" t="s">
        <v>832</v>
      </c>
    </row>
    <row r="1600" spans="1:27" ht="14.4" hidden="1" customHeight="1" x14ac:dyDescent="0.3">
      <c r="A1600" s="4" t="s">
        <v>0</v>
      </c>
      <c r="B1600" s="4" t="s">
        <v>17</v>
      </c>
      <c r="C1600" s="16" t="s">
        <v>18</v>
      </c>
      <c r="D1600" s="4">
        <v>10</v>
      </c>
      <c r="E1600" s="4" t="s">
        <v>745</v>
      </c>
      <c r="F1600" t="s">
        <v>750</v>
      </c>
      <c r="G1600" t="s">
        <v>839</v>
      </c>
      <c r="J1600" s="4" t="s">
        <v>31</v>
      </c>
      <c r="K1600" s="4" t="s">
        <v>20</v>
      </c>
      <c r="L1600" s="4" t="s">
        <v>742</v>
      </c>
      <c r="M1600" s="17">
        <v>8</v>
      </c>
      <c r="N1600" s="17">
        <v>746</v>
      </c>
      <c r="O1600" s="18" t="s">
        <v>31</v>
      </c>
      <c r="P1600" s="18">
        <v>746</v>
      </c>
      <c r="Q1600" s="18">
        <v>8</v>
      </c>
      <c r="R1600" s="18" t="s">
        <v>817</v>
      </c>
      <c r="S1600" s="18" t="s">
        <v>800</v>
      </c>
      <c r="T1600" s="18" t="s">
        <v>780</v>
      </c>
      <c r="U16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00" s="19">
        <f>IF(AUDITORIA[[#This Row],[CAT]]="",0,1)</f>
        <v>1</v>
      </c>
      <c r="W1600" s="20">
        <v>46197</v>
      </c>
      <c r="X1600" s="21" t="str">
        <f>UPPER(IF(AUDITORIA[[#This Row],[DATA VERIFICAÇÃO]]="","",TEXT(AUDITORIA[[#This Row],[DATA VERIFICAÇÃO]],"mmm")))</f>
        <v>JUN</v>
      </c>
      <c r="Y1600" t="s">
        <v>598</v>
      </c>
      <c r="Z1600" t="s">
        <v>691</v>
      </c>
      <c r="AA1600" t="s">
        <v>832</v>
      </c>
    </row>
    <row r="1601" spans="1:27" ht="14.4" hidden="1" customHeight="1" x14ac:dyDescent="0.3">
      <c r="A1601" s="4" t="s">
        <v>0</v>
      </c>
      <c r="B1601" s="4" t="s">
        <v>17</v>
      </c>
      <c r="C1601" s="16" t="s">
        <v>18</v>
      </c>
      <c r="D1601" s="4">
        <v>10</v>
      </c>
      <c r="E1601" s="4" t="s">
        <v>745</v>
      </c>
      <c r="F1601" t="s">
        <v>748</v>
      </c>
      <c r="G1601" t="s">
        <v>839</v>
      </c>
      <c r="J1601" s="4" t="s">
        <v>31</v>
      </c>
      <c r="K1601" s="4" t="s">
        <v>21</v>
      </c>
      <c r="L1601" s="4" t="s">
        <v>742</v>
      </c>
      <c r="M1601" s="17">
        <v>10</v>
      </c>
      <c r="N1601" s="17">
        <v>878</v>
      </c>
      <c r="O1601" s="18" t="s">
        <v>31</v>
      </c>
      <c r="P1601" s="18">
        <v>878</v>
      </c>
      <c r="Q1601" s="18">
        <v>10</v>
      </c>
      <c r="R1601" s="18" t="s">
        <v>817</v>
      </c>
      <c r="S1601" s="18" t="s">
        <v>800</v>
      </c>
      <c r="T1601" s="18" t="s">
        <v>781</v>
      </c>
      <c r="U16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01" s="19">
        <f>IF(AUDITORIA[[#This Row],[CAT]]="",0,1)</f>
        <v>1</v>
      </c>
      <c r="W1601" s="20">
        <v>46197</v>
      </c>
      <c r="X1601" s="21" t="str">
        <f>UPPER(IF(AUDITORIA[[#This Row],[DATA VERIFICAÇÃO]]="","",TEXT(AUDITORIA[[#This Row],[DATA VERIFICAÇÃO]],"mmm")))</f>
        <v>JUN</v>
      </c>
      <c r="Y1601" t="s">
        <v>598</v>
      </c>
      <c r="Z1601" t="s">
        <v>691</v>
      </c>
      <c r="AA1601" t="s">
        <v>832</v>
      </c>
    </row>
    <row r="1602" spans="1:27" ht="14.4" hidden="1" customHeight="1" x14ac:dyDescent="0.3">
      <c r="A1602" s="4" t="s">
        <v>0</v>
      </c>
      <c r="B1602" s="4" t="s">
        <v>17</v>
      </c>
      <c r="C1602" s="16" t="s">
        <v>18</v>
      </c>
      <c r="D1602" s="4">
        <v>10</v>
      </c>
      <c r="E1602" s="4" t="s">
        <v>745</v>
      </c>
      <c r="F1602" t="s">
        <v>118</v>
      </c>
      <c r="G1602" t="s">
        <v>835</v>
      </c>
      <c r="J1602" s="4" t="s">
        <v>19</v>
      </c>
      <c r="K1602" s="4" t="s">
        <v>21</v>
      </c>
      <c r="L1602" s="4" t="s">
        <v>742</v>
      </c>
      <c r="M1602" s="17">
        <v>24</v>
      </c>
      <c r="N1602" s="17">
        <v>1062</v>
      </c>
      <c r="O1602" s="18" t="s">
        <v>19</v>
      </c>
      <c r="P1602" s="18">
        <v>1062</v>
      </c>
      <c r="Q1602" s="18">
        <v>24</v>
      </c>
      <c r="R1602" s="18" t="s">
        <v>778</v>
      </c>
      <c r="S1602" s="18" t="s">
        <v>790</v>
      </c>
      <c r="T1602" s="18" t="s">
        <v>780</v>
      </c>
      <c r="U16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02" s="19">
        <f>IF(AUDITORIA[[#This Row],[CAT]]="",0,1)</f>
        <v>1</v>
      </c>
      <c r="W1602" s="20">
        <v>46197</v>
      </c>
      <c r="X1602" s="21" t="str">
        <f>UPPER(IF(AUDITORIA[[#This Row],[DATA VERIFICAÇÃO]]="","",TEXT(AUDITORIA[[#This Row],[DATA VERIFICAÇÃO]],"mmm")))</f>
        <v>JUN</v>
      </c>
      <c r="Y1602" t="s">
        <v>598</v>
      </c>
      <c r="Z1602" t="s">
        <v>691</v>
      </c>
      <c r="AA1602" t="s">
        <v>832</v>
      </c>
    </row>
    <row r="1603" spans="1:27" ht="14.4" hidden="1" customHeight="1" x14ac:dyDescent="0.3">
      <c r="A1603" s="4" t="s">
        <v>279</v>
      </c>
      <c r="B1603" s="4" t="s">
        <v>17</v>
      </c>
      <c r="C1603" s="16" t="s">
        <v>18</v>
      </c>
      <c r="D1603" s="4">
        <v>11</v>
      </c>
      <c r="E1603" s="4" t="s">
        <v>745</v>
      </c>
      <c r="F1603" t="s">
        <v>490</v>
      </c>
      <c r="G1603" t="s">
        <v>399</v>
      </c>
      <c r="J1603" s="4" t="s">
        <v>88</v>
      </c>
      <c r="K1603" s="4" t="s">
        <v>21</v>
      </c>
      <c r="L1603" s="4" t="s">
        <v>742</v>
      </c>
      <c r="M1603" s="17">
        <v>24</v>
      </c>
      <c r="N1603" s="17">
        <v>1010</v>
      </c>
      <c r="O1603" s="18" t="s">
        <v>88</v>
      </c>
      <c r="P1603" s="18">
        <v>1010</v>
      </c>
      <c r="Q1603" s="18">
        <v>24</v>
      </c>
      <c r="R1603" s="18" t="s">
        <v>778</v>
      </c>
      <c r="S1603" s="18" t="s">
        <v>820</v>
      </c>
      <c r="T1603" s="18" t="s">
        <v>843</v>
      </c>
      <c r="U16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03" s="19">
        <f>IF(AUDITORIA[[#This Row],[CAT]]="",0,1)</f>
        <v>1</v>
      </c>
      <c r="W1603" s="20">
        <v>46198</v>
      </c>
      <c r="X1603" s="21" t="str">
        <f>UPPER(IF(AUDITORIA[[#This Row],[DATA VERIFICAÇÃO]]="","",TEXT(AUDITORIA[[#This Row],[DATA VERIFICAÇÃO]],"mmm")))</f>
        <v>JUN</v>
      </c>
      <c r="Y1603" t="s">
        <v>598</v>
      </c>
      <c r="Z1603" t="s">
        <v>894</v>
      </c>
      <c r="AA1603" t="s">
        <v>895</v>
      </c>
    </row>
    <row r="1604" spans="1:27" ht="14.4" hidden="1" customHeight="1" x14ac:dyDescent="0.3">
      <c r="A1604" s="4" t="s">
        <v>279</v>
      </c>
      <c r="B1604" s="4" t="s">
        <v>17</v>
      </c>
      <c r="C1604" s="16" t="s">
        <v>18</v>
      </c>
      <c r="D1604" s="4">
        <v>11</v>
      </c>
      <c r="E1604" s="4" t="s">
        <v>745</v>
      </c>
      <c r="F1604" t="s">
        <v>491</v>
      </c>
      <c r="G1604" t="s">
        <v>399</v>
      </c>
      <c r="J1604" s="4" t="s">
        <v>88</v>
      </c>
      <c r="K1604" s="4" t="s">
        <v>20</v>
      </c>
      <c r="L1604" s="4" t="s">
        <v>742</v>
      </c>
      <c r="M1604" s="17">
        <v>30</v>
      </c>
      <c r="N1604" s="17">
        <v>812</v>
      </c>
      <c r="O1604" s="18" t="s">
        <v>88</v>
      </c>
      <c r="P1604" s="18">
        <v>812</v>
      </c>
      <c r="Q1604" s="18">
        <v>30</v>
      </c>
      <c r="R1604" s="18" t="s">
        <v>778</v>
      </c>
      <c r="S1604" s="18" t="s">
        <v>824</v>
      </c>
      <c r="T1604" s="18" t="s">
        <v>840</v>
      </c>
      <c r="U16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04" s="19">
        <f>IF(AUDITORIA[[#This Row],[CAT]]="",0,1)</f>
        <v>1</v>
      </c>
      <c r="W1604" s="20">
        <v>46198</v>
      </c>
      <c r="X1604" s="21" t="str">
        <f>UPPER(IF(AUDITORIA[[#This Row],[DATA VERIFICAÇÃO]]="","",TEXT(AUDITORIA[[#This Row],[DATA VERIFICAÇÃO]],"mmm")))</f>
        <v>JUN</v>
      </c>
      <c r="Y1604" t="s">
        <v>598</v>
      </c>
      <c r="Z1604" t="s">
        <v>894</v>
      </c>
      <c r="AA1604" t="s">
        <v>895</v>
      </c>
    </row>
    <row r="1605" spans="1:27" ht="14.4" hidden="1" customHeight="1" x14ac:dyDescent="0.3">
      <c r="A1605" s="4" t="s">
        <v>279</v>
      </c>
      <c r="B1605" s="4" t="s">
        <v>17</v>
      </c>
      <c r="C1605" s="16" t="s">
        <v>18</v>
      </c>
      <c r="D1605" s="4">
        <v>11</v>
      </c>
      <c r="E1605" s="4" t="s">
        <v>745</v>
      </c>
      <c r="F1605" t="s">
        <v>492</v>
      </c>
      <c r="G1605" t="s">
        <v>399</v>
      </c>
      <c r="J1605" s="4" t="s">
        <v>88</v>
      </c>
      <c r="K1605" s="4" t="s">
        <v>20</v>
      </c>
      <c r="L1605" s="4" t="s">
        <v>742</v>
      </c>
      <c r="M1605" s="17">
        <v>30</v>
      </c>
      <c r="N1605" s="17">
        <v>828</v>
      </c>
      <c r="O1605" s="18" t="s">
        <v>88</v>
      </c>
      <c r="P1605" s="18">
        <v>828</v>
      </c>
      <c r="Q1605" s="18">
        <v>30</v>
      </c>
      <c r="R1605" s="18" t="s">
        <v>778</v>
      </c>
      <c r="S1605" s="18" t="s">
        <v>824</v>
      </c>
      <c r="T1605" s="18" t="s">
        <v>843</v>
      </c>
      <c r="U16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05" s="19">
        <f>IF(AUDITORIA[[#This Row],[CAT]]="",0,1)</f>
        <v>1</v>
      </c>
      <c r="W1605" s="20">
        <v>46198</v>
      </c>
      <c r="X1605" s="21" t="str">
        <f>UPPER(IF(AUDITORIA[[#This Row],[DATA VERIFICAÇÃO]]="","",TEXT(AUDITORIA[[#This Row],[DATA VERIFICAÇÃO]],"mmm")))</f>
        <v>JUN</v>
      </c>
      <c r="Y1605" t="s">
        <v>598</v>
      </c>
      <c r="Z1605" t="s">
        <v>894</v>
      </c>
      <c r="AA1605" t="s">
        <v>895</v>
      </c>
    </row>
    <row r="1606" spans="1:27" ht="14.4" hidden="1" customHeight="1" x14ac:dyDescent="0.3">
      <c r="A1606" s="4" t="s">
        <v>279</v>
      </c>
      <c r="B1606" s="4" t="s">
        <v>17</v>
      </c>
      <c r="C1606" s="16" t="s">
        <v>18</v>
      </c>
      <c r="D1606" s="4">
        <v>11</v>
      </c>
      <c r="E1606" s="4" t="s">
        <v>745</v>
      </c>
      <c r="F1606" t="s">
        <v>493</v>
      </c>
      <c r="G1606" t="s">
        <v>399</v>
      </c>
      <c r="J1606" s="4" t="s">
        <v>88</v>
      </c>
      <c r="K1606" s="4" t="s">
        <v>21</v>
      </c>
      <c r="L1606" s="4" t="s">
        <v>742</v>
      </c>
      <c r="M1606" s="17">
        <v>24</v>
      </c>
      <c r="N1606" s="17">
        <v>1035</v>
      </c>
      <c r="O1606" s="18" t="s">
        <v>88</v>
      </c>
      <c r="P1606" s="18">
        <v>1035</v>
      </c>
      <c r="Q1606" s="18">
        <v>24</v>
      </c>
      <c r="R1606" s="18" t="s">
        <v>778</v>
      </c>
      <c r="S1606" s="18" t="s">
        <v>820</v>
      </c>
      <c r="T1606" s="18" t="s">
        <v>844</v>
      </c>
      <c r="U16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06" s="19">
        <f>IF(AUDITORIA[[#This Row],[CAT]]="",0,1)</f>
        <v>1</v>
      </c>
      <c r="W1606" s="20">
        <v>46198</v>
      </c>
      <c r="X1606" s="21" t="str">
        <f>UPPER(IF(AUDITORIA[[#This Row],[DATA VERIFICAÇÃO]]="","",TEXT(AUDITORIA[[#This Row],[DATA VERIFICAÇÃO]],"mmm")))</f>
        <v>JUN</v>
      </c>
      <c r="Y1606" t="s">
        <v>598</v>
      </c>
      <c r="Z1606" t="s">
        <v>894</v>
      </c>
      <c r="AA1606" t="s">
        <v>895</v>
      </c>
    </row>
    <row r="1607" spans="1:27" ht="14.4" hidden="1" customHeight="1" x14ac:dyDescent="0.3">
      <c r="A1607" s="4" t="s">
        <v>279</v>
      </c>
      <c r="B1607" s="4" t="s">
        <v>17</v>
      </c>
      <c r="C1607" s="16" t="s">
        <v>18</v>
      </c>
      <c r="D1607" s="4">
        <v>11</v>
      </c>
      <c r="E1607" s="4" t="s">
        <v>745</v>
      </c>
      <c r="F1607" t="s">
        <v>494</v>
      </c>
      <c r="G1607" t="s">
        <v>399</v>
      </c>
      <c r="J1607" s="4" t="s">
        <v>88</v>
      </c>
      <c r="K1607" s="4" t="s">
        <v>20</v>
      </c>
      <c r="L1607" s="4" t="s">
        <v>742</v>
      </c>
      <c r="M1607" s="17">
        <v>30</v>
      </c>
      <c r="N1607" s="17">
        <v>835</v>
      </c>
      <c r="O1607" s="18" t="s">
        <v>88</v>
      </c>
      <c r="P1607" s="18">
        <v>835</v>
      </c>
      <c r="Q1607" s="18">
        <v>30</v>
      </c>
      <c r="R1607" s="18" t="s">
        <v>778</v>
      </c>
      <c r="S1607" s="18" t="s">
        <v>824</v>
      </c>
      <c r="T1607" s="18" t="s">
        <v>844</v>
      </c>
      <c r="U16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07" s="19">
        <f>IF(AUDITORIA[[#This Row],[CAT]]="",0,1)</f>
        <v>1</v>
      </c>
      <c r="W1607" s="20">
        <v>46198</v>
      </c>
      <c r="X1607" s="21" t="str">
        <f>UPPER(IF(AUDITORIA[[#This Row],[DATA VERIFICAÇÃO]]="","",TEXT(AUDITORIA[[#This Row],[DATA VERIFICAÇÃO]],"mmm")))</f>
        <v>JUN</v>
      </c>
      <c r="Y1607" t="s">
        <v>598</v>
      </c>
      <c r="Z1607" t="s">
        <v>894</v>
      </c>
      <c r="AA1607" t="s">
        <v>895</v>
      </c>
    </row>
    <row r="1608" spans="1:27" ht="14.4" hidden="1" customHeight="1" x14ac:dyDescent="0.3">
      <c r="A1608" s="4" t="s">
        <v>279</v>
      </c>
      <c r="B1608" s="4" t="s">
        <v>17</v>
      </c>
      <c r="C1608" s="16" t="s">
        <v>18</v>
      </c>
      <c r="D1608" s="4">
        <v>11</v>
      </c>
      <c r="E1608" s="4" t="s">
        <v>745</v>
      </c>
      <c r="F1608" t="s">
        <v>351</v>
      </c>
      <c r="G1608" t="s">
        <v>290</v>
      </c>
      <c r="J1608" s="4" t="s">
        <v>19</v>
      </c>
      <c r="K1608" s="4" t="s">
        <v>20</v>
      </c>
      <c r="L1608" s="4" t="s">
        <v>742</v>
      </c>
      <c r="M1608" s="17">
        <v>30</v>
      </c>
      <c r="N1608" s="17">
        <v>765</v>
      </c>
      <c r="O1608" s="18" t="s">
        <v>19</v>
      </c>
      <c r="P1608" s="18">
        <v>765</v>
      </c>
      <c r="Q1608" s="18">
        <v>30</v>
      </c>
      <c r="R1608" s="18" t="s">
        <v>778</v>
      </c>
      <c r="S1608" s="18" t="s">
        <v>889</v>
      </c>
      <c r="T1608" s="18" t="s">
        <v>843</v>
      </c>
      <c r="U16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08" s="19">
        <f>IF(AUDITORIA[[#This Row],[CAT]]="",0,1)</f>
        <v>1</v>
      </c>
      <c r="W1608" s="20">
        <v>46198</v>
      </c>
      <c r="X1608" s="21" t="str">
        <f>UPPER(IF(AUDITORIA[[#This Row],[DATA VERIFICAÇÃO]]="","",TEXT(AUDITORIA[[#This Row],[DATA VERIFICAÇÃO]],"mmm")))</f>
        <v>JUN</v>
      </c>
      <c r="Y1608" t="s">
        <v>598</v>
      </c>
      <c r="Z1608" t="s">
        <v>894</v>
      </c>
      <c r="AA1608" t="s">
        <v>895</v>
      </c>
    </row>
    <row r="1609" spans="1:27" ht="14.4" hidden="1" customHeight="1" x14ac:dyDescent="0.3">
      <c r="A1609" s="4" t="s">
        <v>279</v>
      </c>
      <c r="B1609" s="4" t="s">
        <v>17</v>
      </c>
      <c r="C1609" s="16" t="s">
        <v>18</v>
      </c>
      <c r="D1609" s="4">
        <v>11</v>
      </c>
      <c r="E1609" s="4" t="s">
        <v>745</v>
      </c>
      <c r="F1609" t="s">
        <v>489</v>
      </c>
      <c r="G1609" t="s">
        <v>399</v>
      </c>
      <c r="J1609" s="4" t="s">
        <v>88</v>
      </c>
      <c r="K1609" s="4" t="s">
        <v>20</v>
      </c>
      <c r="L1609" s="4" t="s">
        <v>742</v>
      </c>
      <c r="M1609" s="17">
        <v>30</v>
      </c>
      <c r="N1609" s="17">
        <v>801</v>
      </c>
      <c r="O1609" s="18" t="s">
        <v>88</v>
      </c>
      <c r="P1609" s="18">
        <v>801</v>
      </c>
      <c r="Q1609" s="18">
        <v>30</v>
      </c>
      <c r="R1609" s="18" t="s">
        <v>778</v>
      </c>
      <c r="S1609" s="18" t="s">
        <v>824</v>
      </c>
      <c r="T1609" s="18" t="s">
        <v>794</v>
      </c>
      <c r="U16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09" s="19">
        <f>IF(AUDITORIA[[#This Row],[CAT]]="",0,1)</f>
        <v>1</v>
      </c>
      <c r="W1609" s="20">
        <v>46198</v>
      </c>
      <c r="X1609" s="21" t="str">
        <f>UPPER(IF(AUDITORIA[[#This Row],[DATA VERIFICAÇÃO]]="","",TEXT(AUDITORIA[[#This Row],[DATA VERIFICAÇÃO]],"mmm")))</f>
        <v>JUN</v>
      </c>
      <c r="Y1609" t="s">
        <v>598</v>
      </c>
      <c r="Z1609" t="s">
        <v>894</v>
      </c>
      <c r="AA1609" t="s">
        <v>895</v>
      </c>
    </row>
    <row r="1610" spans="1:27" ht="14.4" hidden="1" customHeight="1" x14ac:dyDescent="0.3">
      <c r="A1610" s="4" t="s">
        <v>279</v>
      </c>
      <c r="B1610" s="4" t="s">
        <v>17</v>
      </c>
      <c r="C1610" s="16" t="s">
        <v>18</v>
      </c>
      <c r="D1610" s="4">
        <v>11</v>
      </c>
      <c r="E1610" s="4" t="s">
        <v>745</v>
      </c>
      <c r="F1610" t="s">
        <v>423</v>
      </c>
      <c r="G1610" t="s">
        <v>399</v>
      </c>
      <c r="J1610" s="4" t="s">
        <v>88</v>
      </c>
      <c r="K1610" s="4" t="s">
        <v>21</v>
      </c>
      <c r="L1610" s="4" t="s">
        <v>742</v>
      </c>
      <c r="M1610" s="17">
        <v>24</v>
      </c>
      <c r="N1610" s="17">
        <v>1019</v>
      </c>
      <c r="O1610" s="18" t="s">
        <v>88</v>
      </c>
      <c r="P1610" s="18">
        <v>1019</v>
      </c>
      <c r="Q1610" s="18">
        <v>24</v>
      </c>
      <c r="R1610" s="18" t="s">
        <v>778</v>
      </c>
      <c r="S1610" s="18" t="s">
        <v>820</v>
      </c>
      <c r="T1610" s="18" t="s">
        <v>782</v>
      </c>
      <c r="U16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10" s="19">
        <f>IF(AUDITORIA[[#This Row],[CAT]]="",0,1)</f>
        <v>1</v>
      </c>
      <c r="W1610" s="20">
        <v>46198</v>
      </c>
      <c r="X1610" s="21" t="str">
        <f>UPPER(IF(AUDITORIA[[#This Row],[DATA VERIFICAÇÃO]]="","",TEXT(AUDITORIA[[#This Row],[DATA VERIFICAÇÃO]],"mmm")))</f>
        <v>JUN</v>
      </c>
      <c r="Y1610" t="s">
        <v>598</v>
      </c>
      <c r="Z1610" t="s">
        <v>894</v>
      </c>
      <c r="AA1610" t="s">
        <v>895</v>
      </c>
    </row>
    <row r="1611" spans="1:27" ht="14.4" hidden="1" customHeight="1" x14ac:dyDescent="0.3">
      <c r="A1611" s="4" t="s">
        <v>279</v>
      </c>
      <c r="B1611" s="4" t="s">
        <v>17</v>
      </c>
      <c r="C1611" s="16" t="s">
        <v>18</v>
      </c>
      <c r="D1611" s="4">
        <v>11</v>
      </c>
      <c r="E1611" s="4" t="s">
        <v>745</v>
      </c>
      <c r="F1611" t="s">
        <v>424</v>
      </c>
      <c r="G1611" t="s">
        <v>399</v>
      </c>
      <c r="J1611" s="4" t="s">
        <v>88</v>
      </c>
      <c r="K1611" s="4" t="s">
        <v>21</v>
      </c>
      <c r="L1611" s="4" t="s">
        <v>742</v>
      </c>
      <c r="M1611" s="17">
        <v>24</v>
      </c>
      <c r="N1611" s="17">
        <v>1021</v>
      </c>
      <c r="O1611" s="18" t="s">
        <v>88</v>
      </c>
      <c r="P1611" s="18">
        <v>1021</v>
      </c>
      <c r="Q1611" s="18">
        <v>24</v>
      </c>
      <c r="R1611" s="18" t="s">
        <v>778</v>
      </c>
      <c r="S1611" s="18" t="s">
        <v>820</v>
      </c>
      <c r="T1611" s="18" t="s">
        <v>794</v>
      </c>
      <c r="U16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11" s="19">
        <f>IF(AUDITORIA[[#This Row],[CAT]]="",0,1)</f>
        <v>1</v>
      </c>
      <c r="W1611" s="20">
        <v>46198</v>
      </c>
      <c r="X1611" s="21" t="str">
        <f>UPPER(IF(AUDITORIA[[#This Row],[DATA VERIFICAÇÃO]]="","",TEXT(AUDITORIA[[#This Row],[DATA VERIFICAÇÃO]],"mmm")))</f>
        <v>JUN</v>
      </c>
      <c r="Y1611" t="s">
        <v>598</v>
      </c>
      <c r="Z1611" t="s">
        <v>894</v>
      </c>
      <c r="AA1611" t="s">
        <v>895</v>
      </c>
    </row>
    <row r="1612" spans="1:27" ht="14.4" hidden="1" customHeight="1" x14ac:dyDescent="0.3">
      <c r="A1612" s="4" t="s">
        <v>279</v>
      </c>
      <c r="B1612" s="4" t="s">
        <v>17</v>
      </c>
      <c r="C1612" s="16" t="s">
        <v>18</v>
      </c>
      <c r="D1612" s="4">
        <v>11</v>
      </c>
      <c r="E1612" s="4" t="s">
        <v>745</v>
      </c>
      <c r="F1612" t="s">
        <v>486</v>
      </c>
      <c r="G1612" t="s">
        <v>399</v>
      </c>
      <c r="J1612" s="4" t="s">
        <v>88</v>
      </c>
      <c r="K1612" s="4" t="s">
        <v>20</v>
      </c>
      <c r="L1612" s="4" t="s">
        <v>742</v>
      </c>
      <c r="M1612" s="17">
        <v>30</v>
      </c>
      <c r="N1612" s="17">
        <v>827</v>
      </c>
      <c r="O1612" s="18" t="s">
        <v>88</v>
      </c>
      <c r="P1612" s="18">
        <v>827</v>
      </c>
      <c r="Q1612" s="18">
        <v>30</v>
      </c>
      <c r="R1612" s="18" t="s">
        <v>778</v>
      </c>
      <c r="S1612" s="18" t="s">
        <v>824</v>
      </c>
      <c r="T1612" s="18" t="s">
        <v>781</v>
      </c>
      <c r="U16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12" s="19">
        <f>IF(AUDITORIA[[#This Row],[CAT]]="",0,1)</f>
        <v>1</v>
      </c>
      <c r="W1612" s="20">
        <v>46198</v>
      </c>
      <c r="X1612" s="21" t="str">
        <f>UPPER(IF(AUDITORIA[[#This Row],[DATA VERIFICAÇÃO]]="","",TEXT(AUDITORIA[[#This Row],[DATA VERIFICAÇÃO]],"mmm")))</f>
        <v>JUN</v>
      </c>
      <c r="Y1612" t="s">
        <v>598</v>
      </c>
      <c r="Z1612" t="s">
        <v>894</v>
      </c>
      <c r="AA1612" t="s">
        <v>895</v>
      </c>
    </row>
    <row r="1613" spans="1:27" ht="14.4" hidden="1" customHeight="1" x14ac:dyDescent="0.3">
      <c r="A1613" s="4" t="s">
        <v>279</v>
      </c>
      <c r="B1613" s="4" t="s">
        <v>17</v>
      </c>
      <c r="C1613" s="16" t="s">
        <v>18</v>
      </c>
      <c r="D1613" s="4">
        <v>11</v>
      </c>
      <c r="E1613" s="4" t="s">
        <v>745</v>
      </c>
      <c r="F1613" t="s">
        <v>487</v>
      </c>
      <c r="G1613" t="s">
        <v>399</v>
      </c>
      <c r="J1613" s="4" t="s">
        <v>88</v>
      </c>
      <c r="K1613" s="4" t="s">
        <v>20</v>
      </c>
      <c r="L1613" s="4" t="s">
        <v>742</v>
      </c>
      <c r="M1613" s="17">
        <v>30</v>
      </c>
      <c r="N1613" s="17">
        <v>821</v>
      </c>
      <c r="O1613" s="18" t="s">
        <v>88</v>
      </c>
      <c r="P1613" s="18">
        <v>821</v>
      </c>
      <c r="Q1613" s="18">
        <v>30</v>
      </c>
      <c r="R1613" s="18" t="s">
        <v>778</v>
      </c>
      <c r="S1613" s="18" t="s">
        <v>824</v>
      </c>
      <c r="T1613" s="18" t="s">
        <v>782</v>
      </c>
      <c r="U16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13" s="19">
        <f>IF(AUDITORIA[[#This Row],[CAT]]="",0,1)</f>
        <v>1</v>
      </c>
      <c r="W1613" s="20">
        <v>46198</v>
      </c>
      <c r="X1613" s="21" t="str">
        <f>UPPER(IF(AUDITORIA[[#This Row],[DATA VERIFICAÇÃO]]="","",TEXT(AUDITORIA[[#This Row],[DATA VERIFICAÇÃO]],"mmm")))</f>
        <v>JUN</v>
      </c>
      <c r="Y1613" t="s">
        <v>598</v>
      </c>
      <c r="Z1613" t="s">
        <v>894</v>
      </c>
      <c r="AA1613" t="s">
        <v>895</v>
      </c>
    </row>
    <row r="1614" spans="1:27" ht="14.4" hidden="1" customHeight="1" x14ac:dyDescent="0.3">
      <c r="A1614" s="4" t="s">
        <v>279</v>
      </c>
      <c r="B1614" s="4" t="s">
        <v>17</v>
      </c>
      <c r="C1614" s="16" t="s">
        <v>18</v>
      </c>
      <c r="D1614" s="4">
        <v>11</v>
      </c>
      <c r="E1614" s="4" t="s">
        <v>745</v>
      </c>
      <c r="F1614" t="s">
        <v>488</v>
      </c>
      <c r="G1614" t="s">
        <v>399</v>
      </c>
      <c r="J1614" s="4" t="s">
        <v>88</v>
      </c>
      <c r="K1614" s="4" t="s">
        <v>21</v>
      </c>
      <c r="L1614" s="4" t="s">
        <v>742</v>
      </c>
      <c r="M1614" s="17">
        <v>24</v>
      </c>
      <c r="N1614" s="17">
        <v>1010</v>
      </c>
      <c r="O1614" s="18" t="s">
        <v>88</v>
      </c>
      <c r="P1614" s="18">
        <v>1010</v>
      </c>
      <c r="Q1614" s="18">
        <v>24</v>
      </c>
      <c r="R1614" s="18" t="s">
        <v>778</v>
      </c>
      <c r="S1614" s="18" t="s">
        <v>820</v>
      </c>
      <c r="T1614" s="18" t="s">
        <v>840</v>
      </c>
      <c r="U16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14" s="19">
        <f>IF(AUDITORIA[[#This Row],[CAT]]="",0,1)</f>
        <v>1</v>
      </c>
      <c r="W1614" s="20">
        <v>46198</v>
      </c>
      <c r="X1614" s="21" t="str">
        <f>UPPER(IF(AUDITORIA[[#This Row],[DATA VERIFICAÇÃO]]="","",TEXT(AUDITORIA[[#This Row],[DATA VERIFICAÇÃO]],"mmm")))</f>
        <v>JUN</v>
      </c>
      <c r="Y1614" t="s">
        <v>598</v>
      </c>
      <c r="Z1614" t="s">
        <v>894</v>
      </c>
      <c r="AA1614" t="s">
        <v>895</v>
      </c>
    </row>
    <row r="1615" spans="1:27" ht="14.4" hidden="1" customHeight="1" x14ac:dyDescent="0.3">
      <c r="A1615" s="4" t="s">
        <v>279</v>
      </c>
      <c r="B1615" s="4" t="s">
        <v>17</v>
      </c>
      <c r="C1615" s="16" t="s">
        <v>18</v>
      </c>
      <c r="D1615" s="4">
        <v>11</v>
      </c>
      <c r="E1615" s="4" t="s">
        <v>745</v>
      </c>
      <c r="F1615" t="s">
        <v>422</v>
      </c>
      <c r="G1615" t="s">
        <v>399</v>
      </c>
      <c r="J1615" s="4" t="s">
        <v>88</v>
      </c>
      <c r="K1615" s="4" t="s">
        <v>21</v>
      </c>
      <c r="L1615" s="4" t="s">
        <v>742</v>
      </c>
      <c r="M1615" s="17">
        <v>24</v>
      </c>
      <c r="N1615" s="17">
        <v>1056</v>
      </c>
      <c r="O1615" s="18" t="s">
        <v>88</v>
      </c>
      <c r="P1615" s="18">
        <v>1056</v>
      </c>
      <c r="Q1615" s="18">
        <v>24</v>
      </c>
      <c r="R1615" s="18" t="s">
        <v>778</v>
      </c>
      <c r="S1615" s="18" t="s">
        <v>820</v>
      </c>
      <c r="T1615" s="18" t="s">
        <v>781</v>
      </c>
      <c r="U16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15" s="19">
        <f>IF(AUDITORIA[[#This Row],[CAT]]="",0,1)</f>
        <v>1</v>
      </c>
      <c r="W1615" s="20">
        <v>46198</v>
      </c>
      <c r="X1615" s="21" t="str">
        <f>UPPER(IF(AUDITORIA[[#This Row],[DATA VERIFICAÇÃO]]="","",TEXT(AUDITORIA[[#This Row],[DATA VERIFICAÇÃO]],"mmm")))</f>
        <v>JUN</v>
      </c>
      <c r="Y1615" t="s">
        <v>598</v>
      </c>
      <c r="Z1615" t="s">
        <v>894</v>
      </c>
      <c r="AA1615" t="s">
        <v>895</v>
      </c>
    </row>
    <row r="1616" spans="1:27" ht="14.4" hidden="1" customHeight="1" x14ac:dyDescent="0.3">
      <c r="A1616" s="4" t="s">
        <v>279</v>
      </c>
      <c r="B1616" s="4" t="s">
        <v>17</v>
      </c>
      <c r="C1616" s="16" t="s">
        <v>18</v>
      </c>
      <c r="D1616" s="4">
        <v>11</v>
      </c>
      <c r="E1616" s="4" t="s">
        <v>745</v>
      </c>
      <c r="F1616" t="s">
        <v>484</v>
      </c>
      <c r="G1616" t="s">
        <v>399</v>
      </c>
      <c r="J1616" s="4" t="s">
        <v>88</v>
      </c>
      <c r="K1616" s="4" t="s">
        <v>20</v>
      </c>
      <c r="L1616" s="4" t="s">
        <v>742</v>
      </c>
      <c r="M1616" s="17">
        <v>30</v>
      </c>
      <c r="N1616" s="17">
        <v>804</v>
      </c>
      <c r="O1616" s="18" t="s">
        <v>88</v>
      </c>
      <c r="P1616" s="18">
        <v>804</v>
      </c>
      <c r="Q1616" s="18">
        <v>30</v>
      </c>
      <c r="R1616" s="18" t="s">
        <v>778</v>
      </c>
      <c r="S1616" s="18" t="s">
        <v>825</v>
      </c>
      <c r="T1616" s="18" t="s">
        <v>844</v>
      </c>
      <c r="U16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16" s="19">
        <f>IF(AUDITORIA[[#This Row],[CAT]]="",0,1)</f>
        <v>1</v>
      </c>
      <c r="W1616" s="20">
        <v>46198</v>
      </c>
      <c r="X1616" s="21" t="str">
        <f>UPPER(IF(AUDITORIA[[#This Row],[DATA VERIFICAÇÃO]]="","",TEXT(AUDITORIA[[#This Row],[DATA VERIFICAÇÃO]],"mmm")))</f>
        <v>JUN</v>
      </c>
      <c r="Y1616" t="s">
        <v>598</v>
      </c>
      <c r="Z1616" t="s">
        <v>894</v>
      </c>
      <c r="AA1616" t="s">
        <v>895</v>
      </c>
    </row>
    <row r="1617" spans="1:27" ht="14.4" hidden="1" customHeight="1" x14ac:dyDescent="0.3">
      <c r="A1617" s="4" t="s">
        <v>279</v>
      </c>
      <c r="B1617" s="4" t="s">
        <v>17</v>
      </c>
      <c r="C1617" s="16" t="s">
        <v>18</v>
      </c>
      <c r="D1617" s="4">
        <v>11</v>
      </c>
      <c r="E1617" s="4" t="s">
        <v>745</v>
      </c>
      <c r="F1617" t="s">
        <v>485</v>
      </c>
      <c r="G1617" t="s">
        <v>399</v>
      </c>
      <c r="J1617" s="4" t="s">
        <v>88</v>
      </c>
      <c r="K1617" s="4" t="s">
        <v>20</v>
      </c>
      <c r="L1617" s="4" t="s">
        <v>742</v>
      </c>
      <c r="M1617" s="17">
        <v>30</v>
      </c>
      <c r="N1617" s="17">
        <v>813</v>
      </c>
      <c r="O1617" s="18" t="s">
        <v>88</v>
      </c>
      <c r="P1617" s="18">
        <v>813</v>
      </c>
      <c r="Q1617" s="18">
        <v>30</v>
      </c>
      <c r="R1617" s="18" t="s">
        <v>778</v>
      </c>
      <c r="S1617" s="18" t="s">
        <v>824</v>
      </c>
      <c r="T1617" s="18" t="s">
        <v>780</v>
      </c>
      <c r="U16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17" s="19">
        <f>IF(AUDITORIA[[#This Row],[CAT]]="",0,1)</f>
        <v>1</v>
      </c>
      <c r="W1617" s="20">
        <v>46198</v>
      </c>
      <c r="X1617" s="21" t="str">
        <f>UPPER(IF(AUDITORIA[[#This Row],[DATA VERIFICAÇÃO]]="","",TEXT(AUDITORIA[[#This Row],[DATA VERIFICAÇÃO]],"mmm")))</f>
        <v>JUN</v>
      </c>
      <c r="Y1617" t="s">
        <v>598</v>
      </c>
      <c r="Z1617" t="s">
        <v>894</v>
      </c>
      <c r="AA1617" t="s">
        <v>895</v>
      </c>
    </row>
    <row r="1618" spans="1:27" ht="14.4" hidden="1" customHeight="1" x14ac:dyDescent="0.3">
      <c r="A1618" s="4" t="s">
        <v>279</v>
      </c>
      <c r="B1618" s="4" t="s">
        <v>17</v>
      </c>
      <c r="C1618" s="16" t="s">
        <v>18</v>
      </c>
      <c r="D1618" s="4">
        <v>11</v>
      </c>
      <c r="E1618" s="4" t="s">
        <v>745</v>
      </c>
      <c r="F1618" t="s">
        <v>482</v>
      </c>
      <c r="G1618" t="s">
        <v>66</v>
      </c>
      <c r="J1618" s="4" t="s">
        <v>55</v>
      </c>
      <c r="K1618" s="4" t="s">
        <v>21</v>
      </c>
      <c r="L1618" s="4" t="s">
        <v>742</v>
      </c>
      <c r="M1618" s="17">
        <v>24</v>
      </c>
      <c r="N1618" s="17">
        <v>1028</v>
      </c>
      <c r="O1618" s="18" t="s">
        <v>55</v>
      </c>
      <c r="P1618" s="18">
        <v>1028</v>
      </c>
      <c r="Q1618" s="18">
        <v>24</v>
      </c>
      <c r="R1618" s="18" t="s">
        <v>814</v>
      </c>
      <c r="S1618" s="18" t="s">
        <v>848</v>
      </c>
      <c r="T1618" s="18" t="s">
        <v>843</v>
      </c>
      <c r="U16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18" s="19">
        <f>IF(AUDITORIA[[#This Row],[CAT]]="",0,1)</f>
        <v>1</v>
      </c>
      <c r="W1618" s="20">
        <v>46198</v>
      </c>
      <c r="X1618" s="21" t="str">
        <f>UPPER(IF(AUDITORIA[[#This Row],[DATA VERIFICAÇÃO]]="","",TEXT(AUDITORIA[[#This Row],[DATA VERIFICAÇÃO]],"mmm")))</f>
        <v>JUN</v>
      </c>
      <c r="Y1618" t="s">
        <v>598</v>
      </c>
      <c r="Z1618" t="s">
        <v>894</v>
      </c>
      <c r="AA1618" t="s">
        <v>895</v>
      </c>
    </row>
    <row r="1619" spans="1:27" ht="14.4" hidden="1" customHeight="1" x14ac:dyDescent="0.3">
      <c r="A1619" s="4" t="s">
        <v>279</v>
      </c>
      <c r="B1619" s="4" t="s">
        <v>17</v>
      </c>
      <c r="C1619" s="16" t="s">
        <v>18</v>
      </c>
      <c r="D1619" s="4">
        <v>11</v>
      </c>
      <c r="E1619" s="4" t="s">
        <v>745</v>
      </c>
      <c r="F1619" t="s">
        <v>483</v>
      </c>
      <c r="G1619" t="s">
        <v>66</v>
      </c>
      <c r="J1619" s="4" t="s">
        <v>55</v>
      </c>
      <c r="K1619" s="4" t="s">
        <v>20</v>
      </c>
      <c r="L1619" s="4" t="s">
        <v>742</v>
      </c>
      <c r="M1619" s="17">
        <v>30</v>
      </c>
      <c r="N1619" s="17">
        <v>792</v>
      </c>
      <c r="O1619" s="18" t="s">
        <v>55</v>
      </c>
      <c r="P1619" s="18">
        <v>792</v>
      </c>
      <c r="Q1619" s="18">
        <v>30</v>
      </c>
      <c r="R1619" s="18" t="s">
        <v>814</v>
      </c>
      <c r="S1619" s="18" t="s">
        <v>847</v>
      </c>
      <c r="T1619" s="18"/>
      <c r="U16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19" s="19">
        <f>IF(AUDITORIA[[#This Row],[CAT]]="",0,1)</f>
        <v>1</v>
      </c>
      <c r="W1619" s="20">
        <v>46198</v>
      </c>
      <c r="X1619" s="21" t="str">
        <f>UPPER(IF(AUDITORIA[[#This Row],[DATA VERIFICAÇÃO]]="","",TEXT(AUDITORIA[[#This Row],[DATA VERIFICAÇÃO]],"mmm")))</f>
        <v>JUN</v>
      </c>
      <c r="Y1619" t="s">
        <v>598</v>
      </c>
      <c r="Z1619" t="s">
        <v>894</v>
      </c>
      <c r="AA1619" t="s">
        <v>895</v>
      </c>
    </row>
    <row r="1620" spans="1:27" ht="14.4" hidden="1" customHeight="1" x14ac:dyDescent="0.3">
      <c r="A1620" s="4" t="s">
        <v>279</v>
      </c>
      <c r="B1620" s="4" t="s">
        <v>17</v>
      </c>
      <c r="C1620" s="16" t="s">
        <v>18</v>
      </c>
      <c r="D1620" s="4">
        <v>11</v>
      </c>
      <c r="E1620" s="4" t="s">
        <v>745</v>
      </c>
      <c r="F1620" t="s">
        <v>329</v>
      </c>
      <c r="G1620" t="s">
        <v>106</v>
      </c>
      <c r="J1620" s="4" t="s">
        <v>19</v>
      </c>
      <c r="K1620" s="4" t="s">
        <v>21</v>
      </c>
      <c r="L1620" s="4" t="s">
        <v>742</v>
      </c>
      <c r="M1620" s="17">
        <v>24</v>
      </c>
      <c r="N1620" s="17">
        <v>1032</v>
      </c>
      <c r="O1620" s="18" t="s">
        <v>19</v>
      </c>
      <c r="P1620" s="18">
        <v>1032</v>
      </c>
      <c r="Q1620" s="18">
        <v>24</v>
      </c>
      <c r="R1620" s="18" t="s">
        <v>778</v>
      </c>
      <c r="S1620" s="18" t="s">
        <v>875</v>
      </c>
      <c r="T1620" s="18" t="s">
        <v>794</v>
      </c>
      <c r="U16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20" s="19">
        <f>IF(AUDITORIA[[#This Row],[CAT]]="",0,1)</f>
        <v>1</v>
      </c>
      <c r="W1620" s="20">
        <v>46198</v>
      </c>
      <c r="X1620" s="21" t="str">
        <f>UPPER(IF(AUDITORIA[[#This Row],[DATA VERIFICAÇÃO]]="","",TEXT(AUDITORIA[[#This Row],[DATA VERIFICAÇÃO]],"mmm")))</f>
        <v>JUN</v>
      </c>
      <c r="Y1620" t="s">
        <v>598</v>
      </c>
      <c r="Z1620" t="s">
        <v>894</v>
      </c>
      <c r="AA1620" t="s">
        <v>895</v>
      </c>
    </row>
    <row r="1621" spans="1:27" ht="14.4" hidden="1" customHeight="1" x14ac:dyDescent="0.3">
      <c r="A1621" s="4" t="s">
        <v>279</v>
      </c>
      <c r="B1621" s="4" t="s">
        <v>17</v>
      </c>
      <c r="C1621" s="16" t="s">
        <v>18</v>
      </c>
      <c r="D1621" s="4">
        <v>11</v>
      </c>
      <c r="E1621" s="4" t="s">
        <v>745</v>
      </c>
      <c r="F1621" t="s">
        <v>481</v>
      </c>
      <c r="G1621" t="s">
        <v>66</v>
      </c>
      <c r="J1621" s="4" t="s">
        <v>55</v>
      </c>
      <c r="K1621" s="4" t="s">
        <v>20</v>
      </c>
      <c r="L1621" s="4" t="s">
        <v>742</v>
      </c>
      <c r="M1621" s="17">
        <v>30</v>
      </c>
      <c r="N1621" s="17">
        <v>775</v>
      </c>
      <c r="O1621" s="18" t="s">
        <v>55</v>
      </c>
      <c r="P1621" s="18">
        <v>775</v>
      </c>
      <c r="Q1621" s="18">
        <v>30</v>
      </c>
      <c r="R1621" s="18" t="s">
        <v>814</v>
      </c>
      <c r="S1621" s="18" t="s">
        <v>847</v>
      </c>
      <c r="T1621" s="18" t="s">
        <v>781</v>
      </c>
      <c r="U16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21" s="19">
        <f>IF(AUDITORIA[[#This Row],[CAT]]="",0,1)</f>
        <v>1</v>
      </c>
      <c r="W1621" s="20">
        <v>46198</v>
      </c>
      <c r="X1621" s="21" t="str">
        <f>UPPER(IF(AUDITORIA[[#This Row],[DATA VERIFICAÇÃO]]="","",TEXT(AUDITORIA[[#This Row],[DATA VERIFICAÇÃO]],"mmm")))</f>
        <v>JUN</v>
      </c>
      <c r="Y1621" t="s">
        <v>598</v>
      </c>
      <c r="Z1621" t="s">
        <v>894</v>
      </c>
      <c r="AA1621" t="s">
        <v>895</v>
      </c>
    </row>
    <row r="1622" spans="1:27" ht="14.4" hidden="1" customHeight="1" x14ac:dyDescent="0.3">
      <c r="A1622" s="4" t="s">
        <v>279</v>
      </c>
      <c r="B1622" s="4" t="s">
        <v>17</v>
      </c>
      <c r="C1622" s="16" t="s">
        <v>18</v>
      </c>
      <c r="D1622" s="4">
        <v>11</v>
      </c>
      <c r="E1622" s="4" t="s">
        <v>745</v>
      </c>
      <c r="F1622" t="s">
        <v>421</v>
      </c>
      <c r="G1622" t="s">
        <v>399</v>
      </c>
      <c r="J1622" s="4" t="s">
        <v>88</v>
      </c>
      <c r="K1622" s="4" t="s">
        <v>21</v>
      </c>
      <c r="L1622" s="4" t="s">
        <v>742</v>
      </c>
      <c r="M1622" s="17">
        <v>24</v>
      </c>
      <c r="N1622" s="17">
        <v>1065</v>
      </c>
      <c r="O1622" s="18" t="s">
        <v>88</v>
      </c>
      <c r="P1622" s="18">
        <v>1065</v>
      </c>
      <c r="Q1622" s="18">
        <v>24</v>
      </c>
      <c r="R1622" s="18" t="s">
        <v>778</v>
      </c>
      <c r="S1622" s="18" t="s">
        <v>820</v>
      </c>
      <c r="T1622" s="18" t="s">
        <v>780</v>
      </c>
      <c r="U16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22" s="19">
        <f>IF(AUDITORIA[[#This Row],[CAT]]="",0,1)</f>
        <v>1</v>
      </c>
      <c r="W1622" s="20">
        <v>46198</v>
      </c>
      <c r="X1622" s="21" t="str">
        <f>UPPER(IF(AUDITORIA[[#This Row],[DATA VERIFICAÇÃO]]="","",TEXT(AUDITORIA[[#This Row],[DATA VERIFICAÇÃO]],"mmm")))</f>
        <v>JUN</v>
      </c>
      <c r="Y1622" t="s">
        <v>598</v>
      </c>
      <c r="Z1622" t="s">
        <v>894</v>
      </c>
      <c r="AA1622" t="s">
        <v>895</v>
      </c>
    </row>
    <row r="1623" spans="1:27" ht="14.4" hidden="1" customHeight="1" x14ac:dyDescent="0.3">
      <c r="A1623" s="4" t="s">
        <v>279</v>
      </c>
      <c r="B1623" s="4" t="s">
        <v>17</v>
      </c>
      <c r="C1623" s="16" t="s">
        <v>18</v>
      </c>
      <c r="D1623" s="4">
        <v>11</v>
      </c>
      <c r="E1623" s="4" t="s">
        <v>745</v>
      </c>
      <c r="F1623" t="s">
        <v>478</v>
      </c>
      <c r="G1623" t="s">
        <v>66</v>
      </c>
      <c r="J1623" s="4" t="s">
        <v>55</v>
      </c>
      <c r="K1623" s="4" t="s">
        <v>21</v>
      </c>
      <c r="L1623" s="4" t="s">
        <v>742</v>
      </c>
      <c r="M1623" s="17">
        <v>24</v>
      </c>
      <c r="N1623" s="17">
        <v>1033</v>
      </c>
      <c r="O1623" s="18" t="s">
        <v>55</v>
      </c>
      <c r="P1623" s="18">
        <v>1033</v>
      </c>
      <c r="Q1623" s="18">
        <v>24</v>
      </c>
      <c r="R1623" s="18" t="s">
        <v>814</v>
      </c>
      <c r="S1623" s="18" t="s">
        <v>848</v>
      </c>
      <c r="T1623" s="18" t="s">
        <v>782</v>
      </c>
      <c r="U16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23" s="19">
        <f>IF(AUDITORIA[[#This Row],[CAT]]="",0,1)</f>
        <v>1</v>
      </c>
      <c r="W1623" s="20">
        <v>46198</v>
      </c>
      <c r="X1623" s="21" t="str">
        <f>UPPER(IF(AUDITORIA[[#This Row],[DATA VERIFICAÇÃO]]="","",TEXT(AUDITORIA[[#This Row],[DATA VERIFICAÇÃO]],"mmm")))</f>
        <v>JUN</v>
      </c>
      <c r="Y1623" t="s">
        <v>598</v>
      </c>
      <c r="Z1623" t="s">
        <v>894</v>
      </c>
      <c r="AA1623" t="s">
        <v>895</v>
      </c>
    </row>
    <row r="1624" spans="1:27" ht="14.4" hidden="1" customHeight="1" x14ac:dyDescent="0.3">
      <c r="A1624" s="4" t="s">
        <v>279</v>
      </c>
      <c r="B1624" s="4" t="s">
        <v>17</v>
      </c>
      <c r="C1624" s="16" t="s">
        <v>18</v>
      </c>
      <c r="D1624" s="4">
        <v>11</v>
      </c>
      <c r="E1624" s="4" t="s">
        <v>745</v>
      </c>
      <c r="F1624" t="s">
        <v>479</v>
      </c>
      <c r="G1624" t="s">
        <v>66</v>
      </c>
      <c r="J1624" s="4" t="s">
        <v>55</v>
      </c>
      <c r="K1624" s="4" t="s">
        <v>20</v>
      </c>
      <c r="L1624" s="4" t="s">
        <v>742</v>
      </c>
      <c r="M1624" s="17">
        <v>30</v>
      </c>
      <c r="N1624" s="17">
        <v>818</v>
      </c>
      <c r="O1624" s="18" t="s">
        <v>55</v>
      </c>
      <c r="P1624" s="18">
        <v>818</v>
      </c>
      <c r="Q1624" s="18">
        <v>30</v>
      </c>
      <c r="R1624" s="18" t="s">
        <v>814</v>
      </c>
      <c r="S1624" s="18" t="s">
        <v>847</v>
      </c>
      <c r="T1624" s="18" t="s">
        <v>782</v>
      </c>
      <c r="U16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24" s="19">
        <f>IF(AUDITORIA[[#This Row],[CAT]]="",0,1)</f>
        <v>1</v>
      </c>
      <c r="W1624" s="20">
        <v>46198</v>
      </c>
      <c r="X1624" s="21" t="str">
        <f>UPPER(IF(AUDITORIA[[#This Row],[DATA VERIFICAÇÃO]]="","",TEXT(AUDITORIA[[#This Row],[DATA VERIFICAÇÃO]],"mmm")))</f>
        <v>JUN</v>
      </c>
      <c r="Y1624" t="s">
        <v>598</v>
      </c>
      <c r="Z1624" t="s">
        <v>894</v>
      </c>
      <c r="AA1624" t="s">
        <v>895</v>
      </c>
    </row>
    <row r="1625" spans="1:27" ht="14.4" hidden="1" customHeight="1" x14ac:dyDescent="0.3">
      <c r="A1625" s="4" t="s">
        <v>279</v>
      </c>
      <c r="B1625" s="4" t="s">
        <v>17</v>
      </c>
      <c r="C1625" s="16" t="s">
        <v>18</v>
      </c>
      <c r="D1625" s="4">
        <v>11</v>
      </c>
      <c r="E1625" s="4" t="s">
        <v>745</v>
      </c>
      <c r="F1625" t="s">
        <v>480</v>
      </c>
      <c r="G1625" t="s">
        <v>66</v>
      </c>
      <c r="J1625" s="4" t="s">
        <v>55</v>
      </c>
      <c r="K1625" s="4" t="s">
        <v>21</v>
      </c>
      <c r="L1625" s="4" t="s">
        <v>742</v>
      </c>
      <c r="M1625" s="17">
        <v>24</v>
      </c>
      <c r="N1625" s="17">
        <v>1029</v>
      </c>
      <c r="O1625" s="18" t="s">
        <v>55</v>
      </c>
      <c r="P1625" s="18">
        <v>1029</v>
      </c>
      <c r="Q1625" s="18">
        <v>24</v>
      </c>
      <c r="R1625" s="18" t="s">
        <v>814</v>
      </c>
      <c r="S1625" s="18" t="s">
        <v>848</v>
      </c>
      <c r="T1625" s="18" t="s">
        <v>844</v>
      </c>
      <c r="U16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25" s="19">
        <f>IF(AUDITORIA[[#This Row],[CAT]]="",0,1)</f>
        <v>1</v>
      </c>
      <c r="W1625" s="20">
        <v>46198</v>
      </c>
      <c r="X1625" s="21" t="str">
        <f>UPPER(IF(AUDITORIA[[#This Row],[DATA VERIFICAÇÃO]]="","",TEXT(AUDITORIA[[#This Row],[DATA VERIFICAÇÃO]],"mmm")))</f>
        <v>JUN</v>
      </c>
      <c r="Y1625" t="s">
        <v>598</v>
      </c>
      <c r="Z1625" t="s">
        <v>894</v>
      </c>
      <c r="AA1625" t="s">
        <v>895</v>
      </c>
    </row>
    <row r="1626" spans="1:27" ht="14.4" hidden="1" customHeight="1" x14ac:dyDescent="0.3">
      <c r="A1626" s="4" t="s">
        <v>279</v>
      </c>
      <c r="B1626" s="4" t="s">
        <v>17</v>
      </c>
      <c r="C1626" s="16" t="s">
        <v>18</v>
      </c>
      <c r="D1626" s="4">
        <v>11</v>
      </c>
      <c r="E1626" s="4" t="s">
        <v>745</v>
      </c>
      <c r="F1626" t="s">
        <v>477</v>
      </c>
      <c r="G1626" t="s">
        <v>399</v>
      </c>
      <c r="J1626" s="4" t="s">
        <v>88</v>
      </c>
      <c r="K1626" s="4" t="s">
        <v>20</v>
      </c>
      <c r="L1626" s="4" t="s">
        <v>742</v>
      </c>
      <c r="M1626" s="17">
        <v>29</v>
      </c>
      <c r="N1626" s="17">
        <v>842</v>
      </c>
      <c r="O1626" s="18" t="s">
        <v>88</v>
      </c>
      <c r="P1626" s="18">
        <v>842</v>
      </c>
      <c r="Q1626" s="18">
        <v>29</v>
      </c>
      <c r="R1626" s="18" t="s">
        <v>778</v>
      </c>
      <c r="S1626" s="18" t="s">
        <v>825</v>
      </c>
      <c r="T1626" s="18" t="s">
        <v>843</v>
      </c>
      <c r="U16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26" s="19">
        <f>IF(AUDITORIA[[#This Row],[CAT]]="",0,1)</f>
        <v>1</v>
      </c>
      <c r="W1626" s="20">
        <v>46198</v>
      </c>
      <c r="X1626" s="21" t="str">
        <f>UPPER(IF(AUDITORIA[[#This Row],[DATA VERIFICAÇÃO]]="","",TEXT(AUDITORIA[[#This Row],[DATA VERIFICAÇÃO]],"mmm")))</f>
        <v>JUN</v>
      </c>
      <c r="Y1626" t="s">
        <v>598</v>
      </c>
      <c r="Z1626" t="s">
        <v>894</v>
      </c>
      <c r="AA1626" t="s">
        <v>895</v>
      </c>
    </row>
    <row r="1627" spans="1:27" ht="14.4" hidden="1" customHeight="1" x14ac:dyDescent="0.3">
      <c r="A1627" s="4" t="s">
        <v>279</v>
      </c>
      <c r="B1627" s="4" t="s">
        <v>17</v>
      </c>
      <c r="C1627" s="16" t="s">
        <v>18</v>
      </c>
      <c r="D1627" s="4">
        <v>11</v>
      </c>
      <c r="E1627" s="4" t="s">
        <v>745</v>
      </c>
      <c r="F1627" t="s">
        <v>472</v>
      </c>
      <c r="G1627" t="s">
        <v>442</v>
      </c>
      <c r="J1627" s="4" t="s">
        <v>55</v>
      </c>
      <c r="K1627" s="4" t="s">
        <v>20</v>
      </c>
      <c r="L1627" s="4" t="s">
        <v>742</v>
      </c>
      <c r="M1627" s="17">
        <v>30</v>
      </c>
      <c r="N1627" s="17">
        <v>755</v>
      </c>
      <c r="O1627" s="18" t="s">
        <v>55</v>
      </c>
      <c r="P1627" s="18">
        <v>755</v>
      </c>
      <c r="Q1627" s="18">
        <v>30</v>
      </c>
      <c r="R1627" s="18" t="s">
        <v>778</v>
      </c>
      <c r="S1627" s="18" t="s">
        <v>828</v>
      </c>
      <c r="T1627" s="18" t="s">
        <v>840</v>
      </c>
      <c r="U16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27" s="19">
        <f>IF(AUDITORIA[[#This Row],[CAT]]="",0,1)</f>
        <v>1</v>
      </c>
      <c r="W1627" s="20">
        <v>46198</v>
      </c>
      <c r="X1627" s="21" t="str">
        <f>UPPER(IF(AUDITORIA[[#This Row],[DATA VERIFICAÇÃO]]="","",TEXT(AUDITORIA[[#This Row],[DATA VERIFICAÇÃO]],"mmm")))</f>
        <v>JUN</v>
      </c>
      <c r="Y1627" t="s">
        <v>598</v>
      </c>
      <c r="Z1627" t="s">
        <v>894</v>
      </c>
      <c r="AA1627" t="s">
        <v>895</v>
      </c>
    </row>
    <row r="1628" spans="1:27" ht="14.4" hidden="1" customHeight="1" x14ac:dyDescent="0.3">
      <c r="A1628" s="4" t="s">
        <v>279</v>
      </c>
      <c r="B1628" s="4" t="s">
        <v>17</v>
      </c>
      <c r="C1628" s="16" t="s">
        <v>18</v>
      </c>
      <c r="D1628" s="4">
        <v>11</v>
      </c>
      <c r="E1628" s="4" t="s">
        <v>745</v>
      </c>
      <c r="F1628" t="s">
        <v>473</v>
      </c>
      <c r="G1628" t="s">
        <v>442</v>
      </c>
      <c r="J1628" s="4" t="s">
        <v>55</v>
      </c>
      <c r="K1628" s="4" t="s">
        <v>21</v>
      </c>
      <c r="L1628" s="4" t="s">
        <v>742</v>
      </c>
      <c r="M1628" s="17">
        <v>30</v>
      </c>
      <c r="N1628" s="17">
        <v>898</v>
      </c>
      <c r="O1628" s="18" t="s">
        <v>55</v>
      </c>
      <c r="P1628" s="18">
        <v>898</v>
      </c>
      <c r="Q1628" s="18">
        <v>30</v>
      </c>
      <c r="R1628" s="18" t="s">
        <v>778</v>
      </c>
      <c r="S1628" s="18" t="s">
        <v>827</v>
      </c>
      <c r="T1628" s="18" t="s">
        <v>843</v>
      </c>
      <c r="U16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28" s="19">
        <f>IF(AUDITORIA[[#This Row],[CAT]]="",0,1)</f>
        <v>1</v>
      </c>
      <c r="W1628" s="20">
        <v>46198</v>
      </c>
      <c r="X1628" s="21" t="str">
        <f>UPPER(IF(AUDITORIA[[#This Row],[DATA VERIFICAÇÃO]]="","",TEXT(AUDITORIA[[#This Row],[DATA VERIFICAÇÃO]],"mmm")))</f>
        <v>JUN</v>
      </c>
      <c r="Y1628" t="s">
        <v>598</v>
      </c>
      <c r="Z1628" t="s">
        <v>894</v>
      </c>
      <c r="AA1628" t="s">
        <v>895</v>
      </c>
    </row>
    <row r="1629" spans="1:27" ht="14.4" hidden="1" customHeight="1" x14ac:dyDescent="0.3">
      <c r="A1629" s="4" t="s">
        <v>279</v>
      </c>
      <c r="B1629" s="4" t="s">
        <v>17</v>
      </c>
      <c r="C1629" s="16" t="s">
        <v>18</v>
      </c>
      <c r="D1629" s="4">
        <v>11</v>
      </c>
      <c r="E1629" s="4" t="s">
        <v>745</v>
      </c>
      <c r="F1629" t="s">
        <v>474</v>
      </c>
      <c r="G1629" t="s">
        <v>442</v>
      </c>
      <c r="J1629" s="4" t="s">
        <v>55</v>
      </c>
      <c r="K1629" s="4" t="s">
        <v>20</v>
      </c>
      <c r="L1629" s="4" t="s">
        <v>742</v>
      </c>
      <c r="M1629" s="17">
        <v>30</v>
      </c>
      <c r="N1629" s="17">
        <v>742</v>
      </c>
      <c r="O1629" s="18" t="s">
        <v>55</v>
      </c>
      <c r="P1629" s="18">
        <v>742</v>
      </c>
      <c r="Q1629" s="18">
        <v>30</v>
      </c>
      <c r="R1629" s="18" t="s">
        <v>778</v>
      </c>
      <c r="S1629" s="18" t="s">
        <v>828</v>
      </c>
      <c r="T1629" s="18" t="s">
        <v>843</v>
      </c>
      <c r="U16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29" s="19">
        <f>IF(AUDITORIA[[#This Row],[CAT]]="",0,1)</f>
        <v>1</v>
      </c>
      <c r="W1629" s="20">
        <v>46198</v>
      </c>
      <c r="X1629" s="21" t="str">
        <f>UPPER(IF(AUDITORIA[[#This Row],[DATA VERIFICAÇÃO]]="","",TEXT(AUDITORIA[[#This Row],[DATA VERIFICAÇÃO]],"mmm")))</f>
        <v>JUN</v>
      </c>
      <c r="Y1629" t="s">
        <v>598</v>
      </c>
      <c r="Z1629" t="s">
        <v>894</v>
      </c>
      <c r="AA1629" t="s">
        <v>895</v>
      </c>
    </row>
    <row r="1630" spans="1:27" ht="14.4" hidden="1" customHeight="1" x14ac:dyDescent="0.3">
      <c r="A1630" s="4" t="s">
        <v>279</v>
      </c>
      <c r="B1630" s="4" t="s">
        <v>17</v>
      </c>
      <c r="C1630" s="16" t="s">
        <v>18</v>
      </c>
      <c r="D1630" s="4">
        <v>11</v>
      </c>
      <c r="E1630" s="4" t="s">
        <v>745</v>
      </c>
      <c r="F1630" t="s">
        <v>475</v>
      </c>
      <c r="G1630" t="s">
        <v>442</v>
      </c>
      <c r="J1630" s="4" t="s">
        <v>55</v>
      </c>
      <c r="K1630" s="4" t="s">
        <v>21</v>
      </c>
      <c r="L1630" s="4" t="s">
        <v>742</v>
      </c>
      <c r="M1630" s="17">
        <v>27</v>
      </c>
      <c r="N1630" s="17">
        <v>915</v>
      </c>
      <c r="O1630" s="18" t="s">
        <v>55</v>
      </c>
      <c r="P1630" s="18">
        <v>915</v>
      </c>
      <c r="Q1630" s="18">
        <v>27</v>
      </c>
      <c r="R1630" s="18" t="s">
        <v>778</v>
      </c>
      <c r="S1630" s="18" t="s">
        <v>827</v>
      </c>
      <c r="T1630" s="18" t="s">
        <v>844</v>
      </c>
      <c r="U16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30" s="19">
        <f>IF(AUDITORIA[[#This Row],[CAT]]="",0,1)</f>
        <v>1</v>
      </c>
      <c r="W1630" s="20">
        <v>46198</v>
      </c>
      <c r="X1630" s="21" t="str">
        <f>UPPER(IF(AUDITORIA[[#This Row],[DATA VERIFICAÇÃO]]="","",TEXT(AUDITORIA[[#This Row],[DATA VERIFICAÇÃO]],"mmm")))</f>
        <v>JUN</v>
      </c>
      <c r="Y1630" t="s">
        <v>598</v>
      </c>
      <c r="Z1630" t="s">
        <v>894</v>
      </c>
      <c r="AA1630" t="s">
        <v>895</v>
      </c>
    </row>
    <row r="1631" spans="1:27" ht="14.4" hidden="1" customHeight="1" x14ac:dyDescent="0.3">
      <c r="A1631" s="4" t="s">
        <v>279</v>
      </c>
      <c r="B1631" s="4" t="s">
        <v>17</v>
      </c>
      <c r="C1631" s="16" t="s">
        <v>18</v>
      </c>
      <c r="D1631" s="4">
        <v>11</v>
      </c>
      <c r="E1631" s="4" t="s">
        <v>745</v>
      </c>
      <c r="F1631" t="s">
        <v>476</v>
      </c>
      <c r="G1631" t="s">
        <v>442</v>
      </c>
      <c r="J1631" s="4" t="s">
        <v>55</v>
      </c>
      <c r="K1631" s="4" t="s">
        <v>20</v>
      </c>
      <c r="L1631" s="4" t="s">
        <v>742</v>
      </c>
      <c r="M1631" s="17">
        <v>30</v>
      </c>
      <c r="N1631" s="17">
        <v>759</v>
      </c>
      <c r="O1631" s="18" t="s">
        <v>55</v>
      </c>
      <c r="P1631" s="18">
        <v>759</v>
      </c>
      <c r="Q1631" s="18">
        <v>30</v>
      </c>
      <c r="R1631" s="18" t="s">
        <v>778</v>
      </c>
      <c r="S1631" s="18" t="s">
        <v>828</v>
      </c>
      <c r="T1631" s="18" t="s">
        <v>844</v>
      </c>
      <c r="U16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31" s="19">
        <f>IF(AUDITORIA[[#This Row],[CAT]]="",0,1)</f>
        <v>1</v>
      </c>
      <c r="W1631" s="20">
        <v>46198</v>
      </c>
      <c r="X1631" s="21" t="str">
        <f>UPPER(IF(AUDITORIA[[#This Row],[DATA VERIFICAÇÃO]]="","",TEXT(AUDITORIA[[#This Row],[DATA VERIFICAÇÃO]],"mmm")))</f>
        <v>JUN</v>
      </c>
      <c r="Y1631" t="s">
        <v>598</v>
      </c>
      <c r="Z1631" t="s">
        <v>894</v>
      </c>
      <c r="AA1631" t="s">
        <v>895</v>
      </c>
    </row>
    <row r="1632" spans="1:27" ht="14.4" hidden="1" customHeight="1" x14ac:dyDescent="0.3">
      <c r="A1632" s="4" t="s">
        <v>279</v>
      </c>
      <c r="B1632" s="4" t="s">
        <v>17</v>
      </c>
      <c r="C1632" s="16" t="s">
        <v>18</v>
      </c>
      <c r="D1632" s="4">
        <v>11</v>
      </c>
      <c r="E1632" s="4" t="s">
        <v>745</v>
      </c>
      <c r="F1632" t="s">
        <v>469</v>
      </c>
      <c r="G1632" t="s">
        <v>442</v>
      </c>
      <c r="J1632" s="4" t="s">
        <v>55</v>
      </c>
      <c r="K1632" s="4" t="s">
        <v>21</v>
      </c>
      <c r="L1632" s="4" t="s">
        <v>742</v>
      </c>
      <c r="M1632" s="17">
        <v>27</v>
      </c>
      <c r="N1632" s="17">
        <v>909</v>
      </c>
      <c r="O1632" s="18" t="s">
        <v>55</v>
      </c>
      <c r="P1632" s="18">
        <v>909</v>
      </c>
      <c r="Q1632" s="18">
        <v>27</v>
      </c>
      <c r="R1632" s="18" t="s">
        <v>778</v>
      </c>
      <c r="S1632" s="18" t="s">
        <v>827</v>
      </c>
      <c r="T1632" s="18" t="s">
        <v>840</v>
      </c>
      <c r="U16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32" s="19">
        <f>IF(AUDITORIA[[#This Row],[CAT]]="",0,1)</f>
        <v>1</v>
      </c>
      <c r="W1632" s="20">
        <v>46198</v>
      </c>
      <c r="X1632" s="21" t="str">
        <f>UPPER(IF(AUDITORIA[[#This Row],[DATA VERIFICAÇÃO]]="","",TEXT(AUDITORIA[[#This Row],[DATA VERIFICAÇÃO]],"mmm")))</f>
        <v>JUN</v>
      </c>
      <c r="Y1632" t="s">
        <v>598</v>
      </c>
      <c r="Z1632" t="s">
        <v>894</v>
      </c>
      <c r="AA1632" t="s">
        <v>895</v>
      </c>
    </row>
    <row r="1633" spans="1:27" ht="14.4" hidden="1" customHeight="1" x14ac:dyDescent="0.3">
      <c r="A1633" s="4" t="s">
        <v>279</v>
      </c>
      <c r="B1633" s="4" t="s">
        <v>17</v>
      </c>
      <c r="C1633" s="16" t="s">
        <v>18</v>
      </c>
      <c r="D1633" s="4">
        <v>11</v>
      </c>
      <c r="E1633" s="4" t="s">
        <v>745</v>
      </c>
      <c r="F1633" t="s">
        <v>471</v>
      </c>
      <c r="G1633" t="s">
        <v>442</v>
      </c>
      <c r="J1633" s="4" t="s">
        <v>55</v>
      </c>
      <c r="K1633" s="4" t="s">
        <v>20</v>
      </c>
      <c r="L1633" s="4" t="s">
        <v>742</v>
      </c>
      <c r="M1633" s="17">
        <v>30</v>
      </c>
      <c r="N1633" s="17">
        <v>755</v>
      </c>
      <c r="O1633" s="18" t="s">
        <v>55</v>
      </c>
      <c r="P1633" s="18">
        <v>755</v>
      </c>
      <c r="Q1633" s="18">
        <v>30</v>
      </c>
      <c r="R1633" s="18" t="s">
        <v>778</v>
      </c>
      <c r="S1633" s="18" t="s">
        <v>828</v>
      </c>
      <c r="T1633" s="18" t="s">
        <v>794</v>
      </c>
      <c r="U16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33" s="19">
        <f>IF(AUDITORIA[[#This Row],[CAT]]="",0,1)</f>
        <v>1</v>
      </c>
      <c r="W1633" s="20">
        <v>46198</v>
      </c>
      <c r="X1633" s="21" t="str">
        <f>UPPER(IF(AUDITORIA[[#This Row],[DATA VERIFICAÇÃO]]="","",TEXT(AUDITORIA[[#This Row],[DATA VERIFICAÇÃO]],"mmm")))</f>
        <v>JUN</v>
      </c>
      <c r="Y1633" t="s">
        <v>598</v>
      </c>
      <c r="Z1633" t="s">
        <v>894</v>
      </c>
      <c r="AA1633" t="s">
        <v>895</v>
      </c>
    </row>
    <row r="1634" spans="1:27" ht="14.4" hidden="1" customHeight="1" x14ac:dyDescent="0.3">
      <c r="A1634" s="4" t="s">
        <v>279</v>
      </c>
      <c r="B1634" s="4" t="s">
        <v>17</v>
      </c>
      <c r="C1634" s="16" t="s">
        <v>18</v>
      </c>
      <c r="D1634" s="4">
        <v>11</v>
      </c>
      <c r="E1634" s="4" t="s">
        <v>745</v>
      </c>
      <c r="F1634" t="s">
        <v>404</v>
      </c>
      <c r="G1634" t="s">
        <v>368</v>
      </c>
      <c r="J1634" s="4" t="s">
        <v>88</v>
      </c>
      <c r="K1634" s="4" t="s">
        <v>21</v>
      </c>
      <c r="L1634" s="4" t="s">
        <v>742</v>
      </c>
      <c r="M1634" s="17">
        <v>24</v>
      </c>
      <c r="N1634" s="17">
        <v>1019</v>
      </c>
      <c r="O1634" s="18" t="s">
        <v>88</v>
      </c>
      <c r="P1634" s="18">
        <v>1019</v>
      </c>
      <c r="Q1634" s="18">
        <v>24</v>
      </c>
      <c r="R1634" s="18" t="s">
        <v>814</v>
      </c>
      <c r="S1634" s="18" t="s">
        <v>862</v>
      </c>
      <c r="T1634" s="18" t="s">
        <v>782</v>
      </c>
      <c r="U16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34" s="19">
        <f>IF(AUDITORIA[[#This Row],[CAT]]="",0,1)</f>
        <v>1</v>
      </c>
      <c r="W1634" s="20">
        <v>46198</v>
      </c>
      <c r="X1634" s="21" t="str">
        <f>UPPER(IF(AUDITORIA[[#This Row],[DATA VERIFICAÇÃO]]="","",TEXT(AUDITORIA[[#This Row],[DATA VERIFICAÇÃO]],"mmm")))</f>
        <v>JUN</v>
      </c>
      <c r="Y1634" t="s">
        <v>598</v>
      </c>
      <c r="Z1634" t="s">
        <v>894</v>
      </c>
      <c r="AA1634" t="s">
        <v>895</v>
      </c>
    </row>
    <row r="1635" spans="1:27" ht="14.4" hidden="1" customHeight="1" x14ac:dyDescent="0.3">
      <c r="A1635" s="4" t="s">
        <v>279</v>
      </c>
      <c r="B1635" s="4" t="s">
        <v>17</v>
      </c>
      <c r="C1635" s="16" t="s">
        <v>18</v>
      </c>
      <c r="D1635" s="4">
        <v>11</v>
      </c>
      <c r="E1635" s="4" t="s">
        <v>745</v>
      </c>
      <c r="F1635" t="s">
        <v>462</v>
      </c>
      <c r="G1635" t="s">
        <v>368</v>
      </c>
      <c r="J1635" s="4" t="s">
        <v>88</v>
      </c>
      <c r="K1635" s="4" t="s">
        <v>20</v>
      </c>
      <c r="L1635" s="4" t="s">
        <v>742</v>
      </c>
      <c r="M1635" s="17">
        <v>30</v>
      </c>
      <c r="N1635" s="17">
        <v>815</v>
      </c>
      <c r="O1635" s="18" t="s">
        <v>88</v>
      </c>
      <c r="P1635" s="18">
        <v>815</v>
      </c>
      <c r="Q1635" s="18">
        <v>30</v>
      </c>
      <c r="R1635" s="18" t="s">
        <v>814</v>
      </c>
      <c r="S1635" s="18" t="s">
        <v>863</v>
      </c>
      <c r="T1635" s="18" t="s">
        <v>780</v>
      </c>
      <c r="U16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35" s="19">
        <f>IF(AUDITORIA[[#This Row],[CAT]]="",0,1)</f>
        <v>1</v>
      </c>
      <c r="W1635" s="20">
        <v>46198</v>
      </c>
      <c r="X1635" s="21" t="str">
        <f>UPPER(IF(AUDITORIA[[#This Row],[DATA VERIFICAÇÃO]]="","",TEXT(AUDITORIA[[#This Row],[DATA VERIFICAÇÃO]],"mmm")))</f>
        <v>JUN</v>
      </c>
      <c r="Y1635" t="s">
        <v>598</v>
      </c>
      <c r="Z1635" t="s">
        <v>894</v>
      </c>
      <c r="AA1635" t="s">
        <v>895</v>
      </c>
    </row>
    <row r="1636" spans="1:27" ht="14.4" hidden="1" customHeight="1" x14ac:dyDescent="0.3">
      <c r="A1636" s="4" t="s">
        <v>279</v>
      </c>
      <c r="B1636" s="4" t="s">
        <v>17</v>
      </c>
      <c r="C1636" s="16" t="s">
        <v>18</v>
      </c>
      <c r="D1636" s="4">
        <v>11</v>
      </c>
      <c r="E1636" s="4" t="s">
        <v>745</v>
      </c>
      <c r="F1636" t="s">
        <v>465</v>
      </c>
      <c r="G1636" t="s">
        <v>442</v>
      </c>
      <c r="J1636" s="4" t="s">
        <v>55</v>
      </c>
      <c r="K1636" s="4" t="s">
        <v>20</v>
      </c>
      <c r="L1636" s="4" t="s">
        <v>742</v>
      </c>
      <c r="M1636" s="17">
        <v>30</v>
      </c>
      <c r="N1636" s="17">
        <v>750</v>
      </c>
      <c r="O1636" s="18" t="s">
        <v>55</v>
      </c>
      <c r="P1636" s="18">
        <v>750</v>
      </c>
      <c r="Q1636" s="18">
        <v>30</v>
      </c>
      <c r="R1636" s="18" t="s">
        <v>778</v>
      </c>
      <c r="S1636" s="18" t="s">
        <v>828</v>
      </c>
      <c r="T1636" s="18" t="s">
        <v>780</v>
      </c>
      <c r="U16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36" s="19">
        <f>IF(AUDITORIA[[#This Row],[CAT]]="",0,1)</f>
        <v>1</v>
      </c>
      <c r="W1636" s="20">
        <v>46198</v>
      </c>
      <c r="X1636" s="21" t="str">
        <f>UPPER(IF(AUDITORIA[[#This Row],[DATA VERIFICAÇÃO]]="","",TEXT(AUDITORIA[[#This Row],[DATA VERIFICAÇÃO]],"mmm")))</f>
        <v>JUN</v>
      </c>
      <c r="Y1636" t="s">
        <v>598</v>
      </c>
      <c r="Z1636" t="s">
        <v>894</v>
      </c>
      <c r="AA1636" t="s">
        <v>895</v>
      </c>
    </row>
    <row r="1637" spans="1:27" ht="14.4" hidden="1" customHeight="1" x14ac:dyDescent="0.3">
      <c r="A1637" s="4" t="s">
        <v>279</v>
      </c>
      <c r="B1637" s="4" t="s">
        <v>17</v>
      </c>
      <c r="C1637" s="16" t="s">
        <v>18</v>
      </c>
      <c r="D1637" s="4">
        <v>11</v>
      </c>
      <c r="E1637" s="4" t="s">
        <v>745</v>
      </c>
      <c r="F1637" t="s">
        <v>466</v>
      </c>
      <c r="G1637" t="s">
        <v>368</v>
      </c>
      <c r="J1637" s="4" t="s">
        <v>88</v>
      </c>
      <c r="K1637" s="4" t="s">
        <v>21</v>
      </c>
      <c r="L1637" s="4" t="s">
        <v>742</v>
      </c>
      <c r="M1637" s="17">
        <v>27</v>
      </c>
      <c r="N1637" s="17">
        <v>1000</v>
      </c>
      <c r="O1637" s="18" t="s">
        <v>88</v>
      </c>
      <c r="P1637" s="18">
        <v>1000</v>
      </c>
      <c r="Q1637" s="18">
        <v>27</v>
      </c>
      <c r="R1637" s="18" t="s">
        <v>814</v>
      </c>
      <c r="S1637" s="18" t="s">
        <v>862</v>
      </c>
      <c r="T1637" s="18" t="s">
        <v>781</v>
      </c>
      <c r="U16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37" s="19">
        <f>IF(AUDITORIA[[#This Row],[CAT]]="",0,1)</f>
        <v>1</v>
      </c>
      <c r="W1637" s="20">
        <v>46198</v>
      </c>
      <c r="X1637" s="21" t="str">
        <f>UPPER(IF(AUDITORIA[[#This Row],[DATA VERIFICAÇÃO]]="","",TEXT(AUDITORIA[[#This Row],[DATA VERIFICAÇÃO]],"mmm")))</f>
        <v>JUN</v>
      </c>
      <c r="Y1637" t="s">
        <v>598</v>
      </c>
      <c r="Z1637" t="s">
        <v>894</v>
      </c>
      <c r="AA1637" t="s">
        <v>895</v>
      </c>
    </row>
    <row r="1638" spans="1:27" ht="14.4" hidden="1" customHeight="1" x14ac:dyDescent="0.3">
      <c r="A1638" s="4" t="s">
        <v>279</v>
      </c>
      <c r="B1638" s="4" t="s">
        <v>17</v>
      </c>
      <c r="C1638" s="16" t="s">
        <v>18</v>
      </c>
      <c r="D1638" s="4">
        <v>11</v>
      </c>
      <c r="E1638" s="4" t="s">
        <v>745</v>
      </c>
      <c r="F1638" t="s">
        <v>467</v>
      </c>
      <c r="G1638" t="s">
        <v>442</v>
      </c>
      <c r="J1638" s="4" t="s">
        <v>55</v>
      </c>
      <c r="K1638" s="4" t="s">
        <v>20</v>
      </c>
      <c r="L1638" s="4" t="s">
        <v>742</v>
      </c>
      <c r="M1638" s="17">
        <v>30</v>
      </c>
      <c r="N1638" s="17">
        <v>746</v>
      </c>
      <c r="O1638" s="18" t="s">
        <v>55</v>
      </c>
      <c r="P1638" s="18">
        <v>746</v>
      </c>
      <c r="Q1638" s="18">
        <v>30</v>
      </c>
      <c r="R1638" s="18" t="s">
        <v>778</v>
      </c>
      <c r="S1638" s="18" t="s">
        <v>828</v>
      </c>
      <c r="T1638" s="18" t="s">
        <v>781</v>
      </c>
      <c r="U16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38" s="19">
        <f>IF(AUDITORIA[[#This Row],[CAT]]="",0,1)</f>
        <v>1</v>
      </c>
      <c r="W1638" s="20">
        <v>46198</v>
      </c>
      <c r="X1638" s="21" t="str">
        <f>UPPER(IF(AUDITORIA[[#This Row],[DATA VERIFICAÇÃO]]="","",TEXT(AUDITORIA[[#This Row],[DATA VERIFICAÇÃO]],"mmm")))</f>
        <v>JUN</v>
      </c>
      <c r="Y1638" t="s">
        <v>598</v>
      </c>
      <c r="Z1638" t="s">
        <v>894</v>
      </c>
      <c r="AA1638" t="s">
        <v>895</v>
      </c>
    </row>
    <row r="1639" spans="1:27" ht="14.4" hidden="1" customHeight="1" x14ac:dyDescent="0.3">
      <c r="A1639" s="4" t="s">
        <v>279</v>
      </c>
      <c r="B1639" s="4" t="s">
        <v>17</v>
      </c>
      <c r="C1639" s="16" t="s">
        <v>18</v>
      </c>
      <c r="D1639" s="4">
        <v>11</v>
      </c>
      <c r="E1639" s="4" t="s">
        <v>745</v>
      </c>
      <c r="F1639" t="s">
        <v>468</v>
      </c>
      <c r="G1639" t="s">
        <v>368</v>
      </c>
      <c r="J1639" s="4" t="s">
        <v>88</v>
      </c>
      <c r="K1639" s="4" t="s">
        <v>21</v>
      </c>
      <c r="L1639" s="4" t="s">
        <v>742</v>
      </c>
      <c r="M1639" s="17">
        <v>24</v>
      </c>
      <c r="N1639" s="17">
        <v>1003</v>
      </c>
      <c r="O1639" s="18" t="s">
        <v>88</v>
      </c>
      <c r="P1639" s="18">
        <v>1003</v>
      </c>
      <c r="Q1639" s="18">
        <v>24</v>
      </c>
      <c r="R1639" s="18" t="s">
        <v>814</v>
      </c>
      <c r="S1639" s="18" t="s">
        <v>862</v>
      </c>
      <c r="T1639" s="18" t="s">
        <v>780</v>
      </c>
      <c r="U16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39" s="19">
        <f>IF(AUDITORIA[[#This Row],[CAT]]="",0,1)</f>
        <v>1</v>
      </c>
      <c r="W1639" s="20">
        <v>46198</v>
      </c>
      <c r="X1639" s="21" t="str">
        <f>UPPER(IF(AUDITORIA[[#This Row],[DATA VERIFICAÇÃO]]="","",TEXT(AUDITORIA[[#This Row],[DATA VERIFICAÇÃO]],"mmm")))</f>
        <v>JUN</v>
      </c>
      <c r="Y1639" t="s">
        <v>598</v>
      </c>
      <c r="Z1639" t="s">
        <v>894</v>
      </c>
      <c r="AA1639" t="s">
        <v>895</v>
      </c>
    </row>
    <row r="1640" spans="1:27" ht="14.4" hidden="1" customHeight="1" x14ac:dyDescent="0.3">
      <c r="A1640" s="4" t="s">
        <v>279</v>
      </c>
      <c r="B1640" s="4" t="s">
        <v>17</v>
      </c>
      <c r="C1640" s="16" t="s">
        <v>18</v>
      </c>
      <c r="D1640" s="4">
        <v>11</v>
      </c>
      <c r="E1640" s="4" t="s">
        <v>745</v>
      </c>
      <c r="F1640" t="s">
        <v>470</v>
      </c>
      <c r="G1640" t="s">
        <v>442</v>
      </c>
      <c r="J1640" s="4" t="s">
        <v>55</v>
      </c>
      <c r="K1640" s="4" t="s">
        <v>20</v>
      </c>
      <c r="L1640" s="4" t="s">
        <v>742</v>
      </c>
      <c r="M1640" s="17">
        <v>30</v>
      </c>
      <c r="N1640" s="17">
        <v>767</v>
      </c>
      <c r="O1640" s="18" t="s">
        <v>55</v>
      </c>
      <c r="P1640" s="18">
        <v>767</v>
      </c>
      <c r="Q1640" s="18">
        <v>30</v>
      </c>
      <c r="R1640" s="18" t="s">
        <v>778</v>
      </c>
      <c r="S1640" s="18" t="s">
        <v>828</v>
      </c>
      <c r="T1640" s="18" t="s">
        <v>782</v>
      </c>
      <c r="U16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40" s="19">
        <f>IF(AUDITORIA[[#This Row],[CAT]]="",0,1)</f>
        <v>1</v>
      </c>
      <c r="W1640" s="20">
        <v>46198</v>
      </c>
      <c r="X1640" s="21" t="str">
        <f>UPPER(IF(AUDITORIA[[#This Row],[DATA VERIFICAÇÃO]]="","",TEXT(AUDITORIA[[#This Row],[DATA VERIFICAÇÃO]],"mmm")))</f>
        <v>JUN</v>
      </c>
      <c r="Y1640" t="s">
        <v>598</v>
      </c>
      <c r="Z1640" t="s">
        <v>894</v>
      </c>
      <c r="AA1640" t="s">
        <v>895</v>
      </c>
    </row>
    <row r="1641" spans="1:27" ht="14.4" hidden="1" customHeight="1" x14ac:dyDescent="0.3">
      <c r="A1641" s="4" t="s">
        <v>279</v>
      </c>
      <c r="B1641" s="4" t="s">
        <v>17</v>
      </c>
      <c r="C1641" s="16" t="s">
        <v>18</v>
      </c>
      <c r="D1641" s="4">
        <v>11</v>
      </c>
      <c r="E1641" s="4" t="s">
        <v>745</v>
      </c>
      <c r="F1641" t="s">
        <v>367</v>
      </c>
      <c r="G1641" t="s">
        <v>368</v>
      </c>
      <c r="J1641" s="4" t="s">
        <v>88</v>
      </c>
      <c r="K1641" s="4" t="s">
        <v>20</v>
      </c>
      <c r="L1641" s="4" t="s">
        <v>742</v>
      </c>
      <c r="M1641" s="17">
        <v>19</v>
      </c>
      <c r="N1641" s="17">
        <v>832</v>
      </c>
      <c r="O1641" s="18" t="s">
        <v>88</v>
      </c>
      <c r="P1641" s="18">
        <v>832</v>
      </c>
      <c r="Q1641" s="18">
        <v>19</v>
      </c>
      <c r="R1641" s="18" t="s">
        <v>814</v>
      </c>
      <c r="S1641" s="18" t="s">
        <v>863</v>
      </c>
      <c r="T1641" s="18" t="s">
        <v>782</v>
      </c>
      <c r="U16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41" s="19">
        <f>IF(AUDITORIA[[#This Row],[CAT]]="",0,1)</f>
        <v>1</v>
      </c>
      <c r="W1641" s="20">
        <v>46198</v>
      </c>
      <c r="X1641" s="21" t="str">
        <f>UPPER(IF(AUDITORIA[[#This Row],[DATA VERIFICAÇÃO]]="","",TEXT(AUDITORIA[[#This Row],[DATA VERIFICAÇÃO]],"mmm")))</f>
        <v>JUN</v>
      </c>
      <c r="Y1641" t="s">
        <v>598</v>
      </c>
      <c r="Z1641" t="s">
        <v>894</v>
      </c>
      <c r="AA1641" t="s">
        <v>895</v>
      </c>
    </row>
    <row r="1642" spans="1:27" ht="14.4" hidden="1" customHeight="1" x14ac:dyDescent="0.3">
      <c r="A1642" s="4" t="s">
        <v>279</v>
      </c>
      <c r="B1642" s="4" t="s">
        <v>17</v>
      </c>
      <c r="C1642" s="16" t="s">
        <v>18</v>
      </c>
      <c r="D1642" s="4">
        <v>11</v>
      </c>
      <c r="E1642" s="4" t="s">
        <v>745</v>
      </c>
      <c r="F1642" t="s">
        <v>371</v>
      </c>
      <c r="G1642" t="s">
        <v>368</v>
      </c>
      <c r="J1642" s="4" t="s">
        <v>88</v>
      </c>
      <c r="K1642" s="4" t="s">
        <v>21</v>
      </c>
      <c r="L1642" s="4" t="s">
        <v>742</v>
      </c>
      <c r="M1642" s="17">
        <v>14</v>
      </c>
      <c r="N1642" s="17">
        <v>955</v>
      </c>
      <c r="O1642" s="18" t="s">
        <v>88</v>
      </c>
      <c r="P1642" s="18">
        <v>955</v>
      </c>
      <c r="Q1642" s="18">
        <v>14</v>
      </c>
      <c r="R1642" s="18" t="s">
        <v>814</v>
      </c>
      <c r="S1642" s="18" t="s">
        <v>862</v>
      </c>
      <c r="T1642" s="18" t="s">
        <v>794</v>
      </c>
      <c r="U16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42" s="19">
        <f>IF(AUDITORIA[[#This Row],[CAT]]="",0,1)</f>
        <v>1</v>
      </c>
      <c r="W1642" s="20">
        <v>46198</v>
      </c>
      <c r="X1642" s="21" t="str">
        <f>UPPER(IF(AUDITORIA[[#This Row],[DATA VERIFICAÇÃO]]="","",TEXT(AUDITORIA[[#This Row],[DATA VERIFICAÇÃO]],"mmm")))</f>
        <v>JUN</v>
      </c>
      <c r="Y1642" t="s">
        <v>598</v>
      </c>
      <c r="Z1642" t="s">
        <v>894</v>
      </c>
      <c r="AA1642" t="s">
        <v>895</v>
      </c>
    </row>
    <row r="1643" spans="1:27" ht="14.4" hidden="1" customHeight="1" x14ac:dyDescent="0.3">
      <c r="A1643" s="4" t="s">
        <v>279</v>
      </c>
      <c r="B1643" s="4" t="s">
        <v>17</v>
      </c>
      <c r="C1643" s="16" t="s">
        <v>18</v>
      </c>
      <c r="D1643" s="4">
        <v>11</v>
      </c>
      <c r="E1643" s="4" t="s">
        <v>745</v>
      </c>
      <c r="F1643" t="s">
        <v>459</v>
      </c>
      <c r="G1643" t="s">
        <v>442</v>
      </c>
      <c r="J1643" s="4" t="s">
        <v>55</v>
      </c>
      <c r="K1643" s="4" t="s">
        <v>21</v>
      </c>
      <c r="L1643" s="4" t="s">
        <v>742</v>
      </c>
      <c r="M1643" s="17">
        <v>27</v>
      </c>
      <c r="N1643" s="17">
        <v>929</v>
      </c>
      <c r="O1643" s="18" t="s">
        <v>55</v>
      </c>
      <c r="P1643" s="18">
        <v>929</v>
      </c>
      <c r="Q1643" s="18">
        <v>27</v>
      </c>
      <c r="R1643" s="18" t="s">
        <v>778</v>
      </c>
      <c r="S1643" s="18" t="s">
        <v>827</v>
      </c>
      <c r="T1643" s="18" t="s">
        <v>782</v>
      </c>
      <c r="U16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43" s="19">
        <f>IF(AUDITORIA[[#This Row],[CAT]]="",0,1)</f>
        <v>1</v>
      </c>
      <c r="W1643" s="20">
        <v>46198</v>
      </c>
      <c r="X1643" s="21" t="str">
        <f>UPPER(IF(AUDITORIA[[#This Row],[DATA VERIFICAÇÃO]]="","",TEXT(AUDITORIA[[#This Row],[DATA VERIFICAÇÃO]],"mmm")))</f>
        <v>JUN</v>
      </c>
      <c r="Y1643" t="s">
        <v>598</v>
      </c>
      <c r="Z1643" t="s">
        <v>894</v>
      </c>
      <c r="AA1643" t="s">
        <v>895</v>
      </c>
    </row>
    <row r="1644" spans="1:27" ht="14.4" hidden="1" customHeight="1" x14ac:dyDescent="0.3">
      <c r="A1644" s="4" t="s">
        <v>279</v>
      </c>
      <c r="B1644" s="4" t="s">
        <v>17</v>
      </c>
      <c r="C1644" s="16" t="s">
        <v>18</v>
      </c>
      <c r="D1644" s="4">
        <v>11</v>
      </c>
      <c r="E1644" s="4" t="s">
        <v>745</v>
      </c>
      <c r="F1644" t="s">
        <v>460</v>
      </c>
      <c r="G1644" t="s">
        <v>442</v>
      </c>
      <c r="J1644" s="4" t="s">
        <v>55</v>
      </c>
      <c r="K1644" s="4" t="s">
        <v>20</v>
      </c>
      <c r="L1644" s="4" t="s">
        <v>742</v>
      </c>
      <c r="M1644" s="17">
        <v>30</v>
      </c>
      <c r="N1644" s="17">
        <v>768</v>
      </c>
      <c r="O1644" s="18" t="s">
        <v>55</v>
      </c>
      <c r="P1644" s="18">
        <v>768</v>
      </c>
      <c r="Q1644" s="18">
        <v>30</v>
      </c>
      <c r="R1644" s="18" t="s">
        <v>778</v>
      </c>
      <c r="S1644" s="18" t="s">
        <v>815</v>
      </c>
      <c r="T1644" s="18" t="s">
        <v>843</v>
      </c>
      <c r="U16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44" s="19">
        <f>IF(AUDITORIA[[#This Row],[CAT]]="",0,1)</f>
        <v>1</v>
      </c>
      <c r="W1644" s="20">
        <v>46198</v>
      </c>
      <c r="X1644" s="21" t="str">
        <f>UPPER(IF(AUDITORIA[[#This Row],[DATA VERIFICAÇÃO]]="","",TEXT(AUDITORIA[[#This Row],[DATA VERIFICAÇÃO]],"mmm")))</f>
        <v>JUN</v>
      </c>
      <c r="Y1644" t="s">
        <v>598</v>
      </c>
      <c r="Z1644" t="s">
        <v>894</v>
      </c>
      <c r="AA1644" t="s">
        <v>895</v>
      </c>
    </row>
    <row r="1645" spans="1:27" ht="14.4" hidden="1" customHeight="1" x14ac:dyDescent="0.3">
      <c r="A1645" s="4" t="s">
        <v>279</v>
      </c>
      <c r="B1645" s="4" t="s">
        <v>17</v>
      </c>
      <c r="C1645" s="16" t="s">
        <v>18</v>
      </c>
      <c r="D1645" s="4">
        <v>11</v>
      </c>
      <c r="E1645" s="4" t="s">
        <v>745</v>
      </c>
      <c r="F1645" t="s">
        <v>461</v>
      </c>
      <c r="G1645" t="s">
        <v>442</v>
      </c>
      <c r="J1645" s="4" t="s">
        <v>55</v>
      </c>
      <c r="K1645" s="4" t="s">
        <v>20</v>
      </c>
      <c r="L1645" s="4" t="s">
        <v>742</v>
      </c>
      <c r="M1645" s="17">
        <v>30</v>
      </c>
      <c r="N1645" s="17">
        <v>765</v>
      </c>
      <c r="O1645" s="18" t="s">
        <v>55</v>
      </c>
      <c r="P1645" s="18">
        <v>765</v>
      </c>
      <c r="Q1645" s="18">
        <v>30</v>
      </c>
      <c r="R1645" s="18" t="s">
        <v>778</v>
      </c>
      <c r="S1645" s="18" t="s">
        <v>815</v>
      </c>
      <c r="T1645" s="18" t="s">
        <v>844</v>
      </c>
      <c r="U16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45" s="19">
        <f>IF(AUDITORIA[[#This Row],[CAT]]="",0,1)</f>
        <v>1</v>
      </c>
      <c r="W1645" s="20">
        <v>46198</v>
      </c>
      <c r="X1645" s="21" t="str">
        <f>UPPER(IF(AUDITORIA[[#This Row],[DATA VERIFICAÇÃO]]="","",TEXT(AUDITORIA[[#This Row],[DATA VERIFICAÇÃO]],"mmm")))</f>
        <v>JUN</v>
      </c>
      <c r="Y1645" t="s">
        <v>598</v>
      </c>
      <c r="Z1645" t="s">
        <v>894</v>
      </c>
      <c r="AA1645" t="s">
        <v>895</v>
      </c>
    </row>
    <row r="1646" spans="1:27" ht="14.4" hidden="1" customHeight="1" x14ac:dyDescent="0.3">
      <c r="A1646" s="4" t="s">
        <v>279</v>
      </c>
      <c r="B1646" s="4" t="s">
        <v>17</v>
      </c>
      <c r="C1646" s="16" t="s">
        <v>18</v>
      </c>
      <c r="D1646" s="4">
        <v>11</v>
      </c>
      <c r="E1646" s="4" t="s">
        <v>745</v>
      </c>
      <c r="F1646" t="s">
        <v>463</v>
      </c>
      <c r="G1646" t="s">
        <v>368</v>
      </c>
      <c r="J1646" s="4" t="s">
        <v>88</v>
      </c>
      <c r="K1646" s="4" t="s">
        <v>20</v>
      </c>
      <c r="L1646" s="4" t="s">
        <v>742</v>
      </c>
      <c r="M1646" s="17">
        <v>30</v>
      </c>
      <c r="N1646" s="17">
        <v>823</v>
      </c>
      <c r="O1646" s="18" t="s">
        <v>88</v>
      </c>
      <c r="P1646" s="18">
        <v>823</v>
      </c>
      <c r="Q1646" s="18">
        <v>30</v>
      </c>
      <c r="R1646" s="18" t="s">
        <v>814</v>
      </c>
      <c r="S1646" s="18" t="s">
        <v>863</v>
      </c>
      <c r="T1646" s="18" t="s">
        <v>782</v>
      </c>
      <c r="U16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46" s="19">
        <f>IF(AUDITORIA[[#This Row],[CAT]]="",0,1)</f>
        <v>1</v>
      </c>
      <c r="W1646" s="20">
        <v>46198</v>
      </c>
      <c r="X1646" s="21" t="str">
        <f>UPPER(IF(AUDITORIA[[#This Row],[DATA VERIFICAÇÃO]]="","",TEXT(AUDITORIA[[#This Row],[DATA VERIFICAÇÃO]],"mmm")))</f>
        <v>JUN</v>
      </c>
      <c r="Y1646" t="s">
        <v>598</v>
      </c>
      <c r="Z1646" t="s">
        <v>894</v>
      </c>
      <c r="AA1646" t="s">
        <v>895</v>
      </c>
    </row>
    <row r="1647" spans="1:27" ht="14.4" hidden="1" customHeight="1" x14ac:dyDescent="0.3">
      <c r="A1647" s="4" t="s">
        <v>279</v>
      </c>
      <c r="B1647" s="4" t="s">
        <v>17</v>
      </c>
      <c r="C1647" s="16" t="s">
        <v>18</v>
      </c>
      <c r="D1647" s="4">
        <v>11</v>
      </c>
      <c r="E1647" s="4" t="s">
        <v>745</v>
      </c>
      <c r="F1647" t="s">
        <v>464</v>
      </c>
      <c r="G1647" t="s">
        <v>442</v>
      </c>
      <c r="J1647" s="4" t="s">
        <v>55</v>
      </c>
      <c r="K1647" s="4" t="s">
        <v>21</v>
      </c>
      <c r="L1647" s="4" t="s">
        <v>742</v>
      </c>
      <c r="M1647" s="17">
        <v>27</v>
      </c>
      <c r="N1647" s="17">
        <v>916</v>
      </c>
      <c r="O1647" s="18" t="s">
        <v>55</v>
      </c>
      <c r="P1647" s="18">
        <v>916</v>
      </c>
      <c r="Q1647" s="18">
        <v>27</v>
      </c>
      <c r="R1647" s="18" t="s">
        <v>778</v>
      </c>
      <c r="S1647" s="18" t="s">
        <v>827</v>
      </c>
      <c r="T1647" s="18" t="s">
        <v>794</v>
      </c>
      <c r="U16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47" s="19">
        <f>IF(AUDITORIA[[#This Row],[CAT]]="",0,1)</f>
        <v>1</v>
      </c>
      <c r="W1647" s="20">
        <v>46198</v>
      </c>
      <c r="X1647" s="21" t="str">
        <f>UPPER(IF(AUDITORIA[[#This Row],[DATA VERIFICAÇÃO]]="","",TEXT(AUDITORIA[[#This Row],[DATA VERIFICAÇÃO]],"mmm")))</f>
        <v>JUN</v>
      </c>
      <c r="Y1647" t="s">
        <v>598</v>
      </c>
      <c r="Z1647" t="s">
        <v>894</v>
      </c>
      <c r="AA1647" t="s">
        <v>895</v>
      </c>
    </row>
    <row r="1648" spans="1:27" ht="14.4" hidden="1" customHeight="1" x14ac:dyDescent="0.3">
      <c r="A1648" s="4" t="s">
        <v>279</v>
      </c>
      <c r="B1648" s="4" t="s">
        <v>17</v>
      </c>
      <c r="C1648" s="16" t="s">
        <v>18</v>
      </c>
      <c r="D1648" s="4">
        <v>11</v>
      </c>
      <c r="E1648" s="4" t="s">
        <v>745</v>
      </c>
      <c r="F1648" t="s">
        <v>454</v>
      </c>
      <c r="G1648" t="s">
        <v>442</v>
      </c>
      <c r="J1648" s="4" t="s">
        <v>55</v>
      </c>
      <c r="K1648" s="4" t="s">
        <v>21</v>
      </c>
      <c r="L1648" s="4" t="s">
        <v>742</v>
      </c>
      <c r="M1648" s="17">
        <v>30</v>
      </c>
      <c r="N1648" s="17">
        <v>891</v>
      </c>
      <c r="O1648" s="18" t="s">
        <v>55</v>
      </c>
      <c r="P1648" s="18">
        <v>891</v>
      </c>
      <c r="Q1648" s="18">
        <v>30</v>
      </c>
      <c r="R1648" s="18" t="s">
        <v>778</v>
      </c>
      <c r="S1648" s="18" t="s">
        <v>827</v>
      </c>
      <c r="T1648" s="18" t="s">
        <v>780</v>
      </c>
      <c r="U16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48" s="19">
        <f>IF(AUDITORIA[[#This Row],[CAT]]="",0,1)</f>
        <v>1</v>
      </c>
      <c r="W1648" s="20">
        <v>46198</v>
      </c>
      <c r="X1648" s="21" t="str">
        <f>UPPER(IF(AUDITORIA[[#This Row],[DATA VERIFICAÇÃO]]="","",TEXT(AUDITORIA[[#This Row],[DATA VERIFICAÇÃO]],"mmm")))</f>
        <v>JUN</v>
      </c>
      <c r="Y1648" t="s">
        <v>598</v>
      </c>
      <c r="Z1648" t="s">
        <v>894</v>
      </c>
      <c r="AA1648" t="s">
        <v>895</v>
      </c>
    </row>
    <row r="1649" spans="1:27" ht="14.4" hidden="1" customHeight="1" x14ac:dyDescent="0.3">
      <c r="A1649" s="4" t="s">
        <v>279</v>
      </c>
      <c r="B1649" s="4" t="s">
        <v>17</v>
      </c>
      <c r="C1649" s="16" t="s">
        <v>18</v>
      </c>
      <c r="D1649" s="4">
        <v>11</v>
      </c>
      <c r="E1649" s="4" t="s">
        <v>745</v>
      </c>
      <c r="F1649" t="s">
        <v>455</v>
      </c>
      <c r="G1649" t="s">
        <v>442</v>
      </c>
      <c r="J1649" s="4" t="s">
        <v>55</v>
      </c>
      <c r="K1649" s="4" t="s">
        <v>20</v>
      </c>
      <c r="L1649" s="4" t="s">
        <v>742</v>
      </c>
      <c r="M1649" s="17">
        <v>30</v>
      </c>
      <c r="N1649" s="17">
        <v>757</v>
      </c>
      <c r="O1649" s="18" t="s">
        <v>55</v>
      </c>
      <c r="P1649" s="18">
        <v>757</v>
      </c>
      <c r="Q1649" s="18">
        <v>30</v>
      </c>
      <c r="R1649" s="18" t="s">
        <v>778</v>
      </c>
      <c r="S1649" s="18" t="s">
        <v>815</v>
      </c>
      <c r="T1649" s="18" t="s">
        <v>782</v>
      </c>
      <c r="U16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49" s="19">
        <f>IF(AUDITORIA[[#This Row],[CAT]]="",0,1)</f>
        <v>1</v>
      </c>
      <c r="W1649" s="20">
        <v>46198</v>
      </c>
      <c r="X1649" s="21" t="str">
        <f>UPPER(IF(AUDITORIA[[#This Row],[DATA VERIFICAÇÃO]]="","",TEXT(AUDITORIA[[#This Row],[DATA VERIFICAÇÃO]],"mmm")))</f>
        <v>JUN</v>
      </c>
      <c r="Y1649" t="s">
        <v>598</v>
      </c>
      <c r="Z1649" t="s">
        <v>894</v>
      </c>
      <c r="AA1649" t="s">
        <v>895</v>
      </c>
    </row>
    <row r="1650" spans="1:27" ht="14.4" hidden="1" customHeight="1" x14ac:dyDescent="0.3">
      <c r="A1650" s="4" t="s">
        <v>279</v>
      </c>
      <c r="B1650" s="4" t="s">
        <v>17</v>
      </c>
      <c r="C1650" s="16" t="s">
        <v>18</v>
      </c>
      <c r="D1650" s="4">
        <v>11</v>
      </c>
      <c r="E1650" s="4" t="s">
        <v>745</v>
      </c>
      <c r="F1650" t="s">
        <v>456</v>
      </c>
      <c r="G1650" t="s">
        <v>442</v>
      </c>
      <c r="J1650" s="4" t="s">
        <v>55</v>
      </c>
      <c r="K1650" s="4" t="s">
        <v>21</v>
      </c>
      <c r="L1650" s="4" t="s">
        <v>742</v>
      </c>
      <c r="M1650" s="17">
        <v>27</v>
      </c>
      <c r="N1650" s="17">
        <v>914</v>
      </c>
      <c r="O1650" s="18" t="s">
        <v>55</v>
      </c>
      <c r="P1650" s="18">
        <v>914</v>
      </c>
      <c r="Q1650" s="18">
        <v>27</v>
      </c>
      <c r="R1650" s="18" t="s">
        <v>778</v>
      </c>
      <c r="S1650" s="18" t="s">
        <v>827</v>
      </c>
      <c r="T1650" s="18" t="s">
        <v>781</v>
      </c>
      <c r="U16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50" s="19">
        <f>IF(AUDITORIA[[#This Row],[CAT]]="",0,1)</f>
        <v>1</v>
      </c>
      <c r="W1650" s="20">
        <v>46198</v>
      </c>
      <c r="X1650" s="21" t="str">
        <f>UPPER(IF(AUDITORIA[[#This Row],[DATA VERIFICAÇÃO]]="","",TEXT(AUDITORIA[[#This Row],[DATA VERIFICAÇÃO]],"mmm")))</f>
        <v>JUN</v>
      </c>
      <c r="Y1650" t="s">
        <v>598</v>
      </c>
      <c r="Z1650" t="s">
        <v>894</v>
      </c>
      <c r="AA1650" t="s">
        <v>895</v>
      </c>
    </row>
    <row r="1651" spans="1:27" ht="14.4" hidden="1" customHeight="1" x14ac:dyDescent="0.3">
      <c r="A1651" s="4" t="s">
        <v>279</v>
      </c>
      <c r="B1651" s="4" t="s">
        <v>17</v>
      </c>
      <c r="C1651" s="16" t="s">
        <v>18</v>
      </c>
      <c r="D1651" s="4">
        <v>11</v>
      </c>
      <c r="E1651" s="4" t="s">
        <v>745</v>
      </c>
      <c r="F1651" t="s">
        <v>457</v>
      </c>
      <c r="G1651" t="s">
        <v>442</v>
      </c>
      <c r="J1651" s="4" t="s">
        <v>55</v>
      </c>
      <c r="K1651" s="4" t="s">
        <v>20</v>
      </c>
      <c r="L1651" s="4" t="s">
        <v>742</v>
      </c>
      <c r="M1651" s="17">
        <v>30</v>
      </c>
      <c r="N1651" s="17">
        <v>761</v>
      </c>
      <c r="O1651" s="18" t="s">
        <v>55</v>
      </c>
      <c r="P1651" s="18">
        <v>761</v>
      </c>
      <c r="Q1651" s="18">
        <v>30</v>
      </c>
      <c r="R1651" s="18" t="s">
        <v>778</v>
      </c>
      <c r="S1651" s="18" t="s">
        <v>815</v>
      </c>
      <c r="T1651" s="18" t="s">
        <v>794</v>
      </c>
      <c r="U16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51" s="19">
        <f>IF(AUDITORIA[[#This Row],[CAT]]="",0,1)</f>
        <v>1</v>
      </c>
      <c r="W1651" s="20">
        <v>46198</v>
      </c>
      <c r="X1651" s="21" t="str">
        <f>UPPER(IF(AUDITORIA[[#This Row],[DATA VERIFICAÇÃO]]="","",TEXT(AUDITORIA[[#This Row],[DATA VERIFICAÇÃO]],"mmm")))</f>
        <v>JUN</v>
      </c>
      <c r="Y1651" t="s">
        <v>598</v>
      </c>
      <c r="Z1651" t="s">
        <v>894</v>
      </c>
      <c r="AA1651" t="s">
        <v>895</v>
      </c>
    </row>
    <row r="1652" spans="1:27" ht="14.4" hidden="1" customHeight="1" x14ac:dyDescent="0.3">
      <c r="A1652" s="4" t="s">
        <v>279</v>
      </c>
      <c r="B1652" s="4" t="s">
        <v>17</v>
      </c>
      <c r="C1652" s="16" t="s">
        <v>18</v>
      </c>
      <c r="D1652" s="4">
        <v>11</v>
      </c>
      <c r="E1652" s="4" t="s">
        <v>745</v>
      </c>
      <c r="F1652" t="s">
        <v>458</v>
      </c>
      <c r="G1652" t="s">
        <v>442</v>
      </c>
      <c r="J1652" s="4" t="s">
        <v>55</v>
      </c>
      <c r="K1652" s="4" t="s">
        <v>20</v>
      </c>
      <c r="L1652" s="4" t="s">
        <v>742</v>
      </c>
      <c r="M1652" s="17">
        <v>30</v>
      </c>
      <c r="N1652" s="17">
        <v>763</v>
      </c>
      <c r="O1652" s="18" t="s">
        <v>55</v>
      </c>
      <c r="P1652" s="18">
        <v>763</v>
      </c>
      <c r="Q1652" s="18">
        <v>30</v>
      </c>
      <c r="R1652" s="18" t="s">
        <v>778</v>
      </c>
      <c r="S1652" s="18" t="s">
        <v>815</v>
      </c>
      <c r="T1652" s="18" t="s">
        <v>840</v>
      </c>
      <c r="U16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52" s="19">
        <f>IF(AUDITORIA[[#This Row],[CAT]]="",0,1)</f>
        <v>1</v>
      </c>
      <c r="W1652" s="20">
        <v>46198</v>
      </c>
      <c r="X1652" s="21" t="str">
        <f>UPPER(IF(AUDITORIA[[#This Row],[DATA VERIFICAÇÃO]]="","",TEXT(AUDITORIA[[#This Row],[DATA VERIFICAÇÃO]],"mmm")))</f>
        <v>JUN</v>
      </c>
      <c r="Y1652" t="s">
        <v>598</v>
      </c>
      <c r="Z1652" t="s">
        <v>894</v>
      </c>
      <c r="AA1652" t="s">
        <v>895</v>
      </c>
    </row>
    <row r="1653" spans="1:27" ht="14.4" hidden="1" customHeight="1" x14ac:dyDescent="0.3">
      <c r="A1653" s="4" t="s">
        <v>279</v>
      </c>
      <c r="B1653" s="4" t="s">
        <v>17</v>
      </c>
      <c r="C1653" s="16" t="s">
        <v>18</v>
      </c>
      <c r="D1653" s="4">
        <v>11</v>
      </c>
      <c r="E1653" s="4" t="s">
        <v>745</v>
      </c>
      <c r="F1653" t="s">
        <v>452</v>
      </c>
      <c r="G1653" t="s">
        <v>442</v>
      </c>
      <c r="J1653" s="4" t="s">
        <v>55</v>
      </c>
      <c r="K1653" s="4" t="s">
        <v>20</v>
      </c>
      <c r="L1653" s="4" t="s">
        <v>742</v>
      </c>
      <c r="M1653" s="17">
        <v>30</v>
      </c>
      <c r="N1653" s="17">
        <v>750</v>
      </c>
      <c r="O1653" s="18" t="s">
        <v>55</v>
      </c>
      <c r="P1653" s="18">
        <v>750</v>
      </c>
      <c r="Q1653" s="18">
        <v>30</v>
      </c>
      <c r="R1653" s="18" t="s">
        <v>778</v>
      </c>
      <c r="S1653" s="18" t="s">
        <v>815</v>
      </c>
      <c r="T1653" s="18" t="s">
        <v>781</v>
      </c>
      <c r="U16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53" s="19">
        <f>IF(AUDITORIA[[#This Row],[CAT]]="",0,1)</f>
        <v>1</v>
      </c>
      <c r="W1653" s="20">
        <v>46198</v>
      </c>
      <c r="X1653" s="21" t="str">
        <f>UPPER(IF(AUDITORIA[[#This Row],[DATA VERIFICAÇÃO]]="","",TEXT(AUDITORIA[[#This Row],[DATA VERIFICAÇÃO]],"mmm")))</f>
        <v>JUN</v>
      </c>
      <c r="Y1653" t="s">
        <v>598</v>
      </c>
      <c r="Z1653" t="s">
        <v>894</v>
      </c>
      <c r="AA1653" t="s">
        <v>895</v>
      </c>
    </row>
    <row r="1654" spans="1:27" ht="14.4" hidden="1" customHeight="1" x14ac:dyDescent="0.3">
      <c r="A1654" s="4" t="s">
        <v>279</v>
      </c>
      <c r="B1654" s="4" t="s">
        <v>17</v>
      </c>
      <c r="C1654" s="16" t="s">
        <v>18</v>
      </c>
      <c r="D1654" s="4">
        <v>11</v>
      </c>
      <c r="E1654" s="4" t="s">
        <v>745</v>
      </c>
      <c r="F1654" t="s">
        <v>453</v>
      </c>
      <c r="G1654" t="s">
        <v>442</v>
      </c>
      <c r="J1654" s="4" t="s">
        <v>55</v>
      </c>
      <c r="K1654" s="4" t="s">
        <v>20</v>
      </c>
      <c r="L1654" s="4" t="s">
        <v>742</v>
      </c>
      <c r="M1654" s="17">
        <v>30</v>
      </c>
      <c r="N1654" s="17">
        <v>767</v>
      </c>
      <c r="O1654" s="18" t="s">
        <v>55</v>
      </c>
      <c r="P1654" s="18">
        <v>767</v>
      </c>
      <c r="Q1654" s="18">
        <v>30</v>
      </c>
      <c r="R1654" s="18" t="s">
        <v>778</v>
      </c>
      <c r="S1654" s="18" t="s">
        <v>815</v>
      </c>
      <c r="T1654" s="18" t="s">
        <v>780</v>
      </c>
      <c r="U16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54" s="19">
        <f>IF(AUDITORIA[[#This Row],[CAT]]="",0,1)</f>
        <v>1</v>
      </c>
      <c r="W1654" s="20">
        <v>46198</v>
      </c>
      <c r="X1654" s="21" t="str">
        <f>UPPER(IF(AUDITORIA[[#This Row],[DATA VERIFICAÇÃO]]="","",TEXT(AUDITORIA[[#This Row],[DATA VERIFICAÇÃO]],"mmm")))</f>
        <v>JUN</v>
      </c>
      <c r="Y1654" t="s">
        <v>598</v>
      </c>
      <c r="Z1654" t="s">
        <v>894</v>
      </c>
      <c r="AA1654" t="s">
        <v>895</v>
      </c>
    </row>
    <row r="1655" spans="1:27" ht="14.4" hidden="1" customHeight="1" x14ac:dyDescent="0.3">
      <c r="A1655" s="4" t="s">
        <v>279</v>
      </c>
      <c r="B1655" s="4" t="s">
        <v>17</v>
      </c>
      <c r="C1655" s="16" t="s">
        <v>18</v>
      </c>
      <c r="D1655" s="4">
        <v>11</v>
      </c>
      <c r="E1655" s="4" t="s">
        <v>745</v>
      </c>
      <c r="F1655" t="s">
        <v>444</v>
      </c>
      <c r="G1655" t="s">
        <v>442</v>
      </c>
      <c r="J1655" s="4" t="s">
        <v>55</v>
      </c>
      <c r="K1655" s="4" t="s">
        <v>21</v>
      </c>
      <c r="L1655" s="4" t="s">
        <v>742</v>
      </c>
      <c r="M1655" s="17">
        <v>7</v>
      </c>
      <c r="N1655" s="17">
        <v>908</v>
      </c>
      <c r="O1655" s="18" t="s">
        <v>55</v>
      </c>
      <c r="P1655" s="18">
        <v>908</v>
      </c>
      <c r="Q1655" s="18">
        <v>7</v>
      </c>
      <c r="R1655" s="18" t="s">
        <v>778</v>
      </c>
      <c r="S1655" s="18" t="s">
        <v>877</v>
      </c>
      <c r="T1655" s="18"/>
      <c r="U16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55" s="19">
        <f>IF(AUDITORIA[[#This Row],[CAT]]="",0,1)</f>
        <v>1</v>
      </c>
      <c r="W1655" s="20">
        <v>46198</v>
      </c>
      <c r="X1655" s="21" t="str">
        <f>UPPER(IF(AUDITORIA[[#This Row],[DATA VERIFICAÇÃO]]="","",TEXT(AUDITORIA[[#This Row],[DATA VERIFICAÇÃO]],"mmm")))</f>
        <v>JUN</v>
      </c>
      <c r="Y1655" t="s">
        <v>598</v>
      </c>
      <c r="Z1655" t="s">
        <v>894</v>
      </c>
      <c r="AA1655" t="s">
        <v>895</v>
      </c>
    </row>
    <row r="1656" spans="1:27" ht="14.4" hidden="1" customHeight="1" x14ac:dyDescent="0.3">
      <c r="A1656" s="4" t="s">
        <v>279</v>
      </c>
      <c r="B1656" s="4" t="s">
        <v>17</v>
      </c>
      <c r="C1656" s="16" t="s">
        <v>18</v>
      </c>
      <c r="D1656" s="4">
        <v>11</v>
      </c>
      <c r="E1656" s="4" t="s">
        <v>745</v>
      </c>
      <c r="F1656" t="s">
        <v>449</v>
      </c>
      <c r="G1656" t="s">
        <v>442</v>
      </c>
      <c r="J1656" s="4" t="s">
        <v>55</v>
      </c>
      <c r="K1656" s="4" t="s">
        <v>20</v>
      </c>
      <c r="L1656" s="4" t="s">
        <v>742</v>
      </c>
      <c r="M1656" s="17">
        <v>30</v>
      </c>
      <c r="N1656" s="17">
        <v>759</v>
      </c>
      <c r="O1656" s="18" t="s">
        <v>55</v>
      </c>
      <c r="P1656" s="18">
        <v>759</v>
      </c>
      <c r="Q1656" s="18">
        <v>30</v>
      </c>
      <c r="R1656" s="18" t="s">
        <v>814</v>
      </c>
      <c r="S1656" s="18" t="s">
        <v>855</v>
      </c>
      <c r="T1656" s="18" t="s">
        <v>781</v>
      </c>
      <c r="U16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56" s="19">
        <f>IF(AUDITORIA[[#This Row],[CAT]]="",0,1)</f>
        <v>1</v>
      </c>
      <c r="W1656" s="20">
        <v>46198</v>
      </c>
      <c r="X1656" s="21" t="str">
        <f>UPPER(IF(AUDITORIA[[#This Row],[DATA VERIFICAÇÃO]]="","",TEXT(AUDITORIA[[#This Row],[DATA VERIFICAÇÃO]],"mmm")))</f>
        <v>JUN</v>
      </c>
      <c r="Y1656" t="s">
        <v>598</v>
      </c>
      <c r="Z1656" t="s">
        <v>894</v>
      </c>
      <c r="AA1656" t="s">
        <v>895</v>
      </c>
    </row>
    <row r="1657" spans="1:27" ht="14.4" hidden="1" customHeight="1" x14ac:dyDescent="0.3">
      <c r="A1657" s="4" t="s">
        <v>279</v>
      </c>
      <c r="B1657" s="4" t="s">
        <v>17</v>
      </c>
      <c r="C1657" s="16" t="s">
        <v>18</v>
      </c>
      <c r="D1657" s="4">
        <v>11</v>
      </c>
      <c r="E1657" s="4" t="s">
        <v>745</v>
      </c>
      <c r="F1657" t="s">
        <v>450</v>
      </c>
      <c r="G1657" t="s">
        <v>442</v>
      </c>
      <c r="J1657" s="4" t="s">
        <v>55</v>
      </c>
      <c r="K1657" s="4" t="s">
        <v>21</v>
      </c>
      <c r="L1657" s="4" t="s">
        <v>742</v>
      </c>
      <c r="M1657" s="17">
        <v>27</v>
      </c>
      <c r="N1657" s="17">
        <v>920</v>
      </c>
      <c r="O1657" s="18" t="s">
        <v>55</v>
      </c>
      <c r="P1657" s="18">
        <v>920</v>
      </c>
      <c r="Q1657" s="18">
        <v>27</v>
      </c>
      <c r="R1657" s="18" t="s">
        <v>778</v>
      </c>
      <c r="S1657" s="18" t="s">
        <v>818</v>
      </c>
      <c r="T1657" s="18" t="s">
        <v>840</v>
      </c>
      <c r="U16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57" s="19">
        <f>IF(AUDITORIA[[#This Row],[CAT]]="",0,1)</f>
        <v>1</v>
      </c>
      <c r="W1657" s="20">
        <v>46198</v>
      </c>
      <c r="X1657" s="21" t="str">
        <f>UPPER(IF(AUDITORIA[[#This Row],[DATA VERIFICAÇÃO]]="","",TEXT(AUDITORIA[[#This Row],[DATA VERIFICAÇÃO]],"mmm")))</f>
        <v>JUN</v>
      </c>
      <c r="Y1657" t="s">
        <v>598</v>
      </c>
      <c r="Z1657" t="s">
        <v>894</v>
      </c>
      <c r="AA1657" t="s">
        <v>895</v>
      </c>
    </row>
    <row r="1658" spans="1:27" ht="14.4" hidden="1" customHeight="1" x14ac:dyDescent="0.3">
      <c r="A1658" s="4" t="s">
        <v>279</v>
      </c>
      <c r="B1658" s="4" t="s">
        <v>17</v>
      </c>
      <c r="C1658" s="16" t="s">
        <v>18</v>
      </c>
      <c r="D1658" s="4">
        <v>11</v>
      </c>
      <c r="E1658" s="4" t="s">
        <v>745</v>
      </c>
      <c r="F1658" t="s">
        <v>451</v>
      </c>
      <c r="G1658" t="s">
        <v>434</v>
      </c>
      <c r="J1658" s="4" t="s">
        <v>31</v>
      </c>
      <c r="K1658" s="4" t="s">
        <v>20</v>
      </c>
      <c r="L1658" s="4" t="s">
        <v>742</v>
      </c>
      <c r="M1658" s="17">
        <v>24</v>
      </c>
      <c r="N1658" s="17">
        <v>1050</v>
      </c>
      <c r="O1658" s="18" t="s">
        <v>31</v>
      </c>
      <c r="P1658" s="18">
        <v>1050</v>
      </c>
      <c r="Q1658" s="18">
        <v>24</v>
      </c>
      <c r="R1658" s="18" t="s">
        <v>778</v>
      </c>
      <c r="S1658" s="18" t="s">
        <v>826</v>
      </c>
      <c r="T1658" s="18" t="s">
        <v>781</v>
      </c>
      <c r="U16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58" s="19">
        <f>IF(AUDITORIA[[#This Row],[CAT]]="",0,1)</f>
        <v>1</v>
      </c>
      <c r="W1658" s="20">
        <v>46198</v>
      </c>
      <c r="X1658" s="21" t="str">
        <f>UPPER(IF(AUDITORIA[[#This Row],[DATA VERIFICAÇÃO]]="","",TEXT(AUDITORIA[[#This Row],[DATA VERIFICAÇÃO]],"mmm")))</f>
        <v>JUN</v>
      </c>
      <c r="Y1658" t="s">
        <v>598</v>
      </c>
      <c r="Z1658" t="s">
        <v>894</v>
      </c>
      <c r="AA1658" t="s">
        <v>895</v>
      </c>
    </row>
    <row r="1659" spans="1:27" ht="14.4" hidden="1" customHeight="1" x14ac:dyDescent="0.3">
      <c r="A1659" s="4" t="s">
        <v>279</v>
      </c>
      <c r="B1659" s="4" t="s">
        <v>17</v>
      </c>
      <c r="C1659" s="16" t="s">
        <v>18</v>
      </c>
      <c r="D1659" s="4">
        <v>11</v>
      </c>
      <c r="E1659" s="4" t="s">
        <v>745</v>
      </c>
      <c r="F1659" t="s">
        <v>433</v>
      </c>
      <c r="G1659" t="s">
        <v>434</v>
      </c>
      <c r="J1659" s="4" t="s">
        <v>31</v>
      </c>
      <c r="K1659" s="4" t="s">
        <v>20</v>
      </c>
      <c r="L1659" s="4" t="s">
        <v>742</v>
      </c>
      <c r="M1659" s="17">
        <v>14</v>
      </c>
      <c r="N1659" s="17">
        <v>1033</v>
      </c>
      <c r="O1659" s="18" t="s">
        <v>31</v>
      </c>
      <c r="P1659" s="18">
        <v>1033</v>
      </c>
      <c r="Q1659" s="18">
        <v>14</v>
      </c>
      <c r="R1659" s="18" t="s">
        <v>778</v>
      </c>
      <c r="S1659" s="18" t="s">
        <v>846</v>
      </c>
      <c r="T1659" s="18" t="s">
        <v>843</v>
      </c>
      <c r="U16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59" s="19">
        <f>IF(AUDITORIA[[#This Row],[CAT]]="",0,1)</f>
        <v>1</v>
      </c>
      <c r="W1659" s="20">
        <v>46198</v>
      </c>
      <c r="X1659" s="21" t="str">
        <f>UPPER(IF(AUDITORIA[[#This Row],[DATA VERIFICAÇÃO]]="","",TEXT(AUDITORIA[[#This Row],[DATA VERIFICAÇÃO]],"mmm")))</f>
        <v>JUN</v>
      </c>
      <c r="Y1659" t="s">
        <v>598</v>
      </c>
      <c r="Z1659" t="s">
        <v>894</v>
      </c>
      <c r="AA1659" t="s">
        <v>895</v>
      </c>
    </row>
    <row r="1660" spans="1:27" ht="14.4" hidden="1" customHeight="1" x14ac:dyDescent="0.3">
      <c r="A1660" s="4" t="s">
        <v>279</v>
      </c>
      <c r="B1660" s="4" t="s">
        <v>17</v>
      </c>
      <c r="C1660" s="16" t="s">
        <v>18</v>
      </c>
      <c r="D1660" s="4">
        <v>11</v>
      </c>
      <c r="E1660" s="4" t="s">
        <v>745</v>
      </c>
      <c r="F1660" t="s">
        <v>438</v>
      </c>
      <c r="G1660" t="s">
        <v>426</v>
      </c>
      <c r="J1660" s="4" t="s">
        <v>31</v>
      </c>
      <c r="K1660" s="4" t="s">
        <v>21</v>
      </c>
      <c r="L1660" s="4" t="s">
        <v>742</v>
      </c>
      <c r="M1660" s="17">
        <v>24</v>
      </c>
      <c r="N1660" s="17">
        <v>1112</v>
      </c>
      <c r="O1660" s="18" t="s">
        <v>31</v>
      </c>
      <c r="P1660" s="18">
        <v>1112</v>
      </c>
      <c r="Q1660" s="18">
        <v>24</v>
      </c>
      <c r="R1660" s="18" t="s">
        <v>814</v>
      </c>
      <c r="S1660" s="18" t="s">
        <v>849</v>
      </c>
      <c r="T1660" s="18" t="s">
        <v>780</v>
      </c>
      <c r="U16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60" s="19">
        <f>IF(AUDITORIA[[#This Row],[CAT]]="",0,1)</f>
        <v>1</v>
      </c>
      <c r="W1660" s="20">
        <v>46198</v>
      </c>
      <c r="X1660" s="21" t="str">
        <f>UPPER(IF(AUDITORIA[[#This Row],[DATA VERIFICAÇÃO]]="","",TEXT(AUDITORIA[[#This Row],[DATA VERIFICAÇÃO]],"mmm")))</f>
        <v>JUN</v>
      </c>
      <c r="Y1660" t="s">
        <v>598</v>
      </c>
      <c r="Z1660" t="s">
        <v>894</v>
      </c>
      <c r="AA1660" t="s">
        <v>895</v>
      </c>
    </row>
    <row r="1661" spans="1:27" ht="14.4" hidden="1" customHeight="1" x14ac:dyDescent="0.3">
      <c r="A1661" s="4" t="s">
        <v>279</v>
      </c>
      <c r="B1661" s="4" t="s">
        <v>17</v>
      </c>
      <c r="C1661" s="16" t="s">
        <v>18</v>
      </c>
      <c r="D1661" s="4">
        <v>11</v>
      </c>
      <c r="E1661" s="4" t="s">
        <v>745</v>
      </c>
      <c r="F1661" t="s">
        <v>439</v>
      </c>
      <c r="G1661" t="s">
        <v>426</v>
      </c>
      <c r="J1661" s="4" t="s">
        <v>31</v>
      </c>
      <c r="K1661" s="4" t="s">
        <v>20</v>
      </c>
      <c r="L1661" s="4" t="s">
        <v>742</v>
      </c>
      <c r="M1661" s="17">
        <v>27</v>
      </c>
      <c r="N1661" s="17">
        <v>913</v>
      </c>
      <c r="O1661" s="18" t="s">
        <v>31</v>
      </c>
      <c r="P1661" s="18">
        <v>913</v>
      </c>
      <c r="Q1661" s="18">
        <v>27</v>
      </c>
      <c r="R1661" s="18" t="s">
        <v>814</v>
      </c>
      <c r="S1661" s="18" t="s">
        <v>850</v>
      </c>
      <c r="T1661" s="18" t="s">
        <v>780</v>
      </c>
      <c r="U16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61" s="19">
        <f>IF(AUDITORIA[[#This Row],[CAT]]="",0,1)</f>
        <v>1</v>
      </c>
      <c r="W1661" s="20">
        <v>46198</v>
      </c>
      <c r="X1661" s="21" t="str">
        <f>UPPER(IF(AUDITORIA[[#This Row],[DATA VERIFICAÇÃO]]="","",TEXT(AUDITORIA[[#This Row],[DATA VERIFICAÇÃO]],"mmm")))</f>
        <v>JUN</v>
      </c>
      <c r="Y1661" t="s">
        <v>598</v>
      </c>
      <c r="Z1661" t="s">
        <v>894</v>
      </c>
      <c r="AA1661" t="s">
        <v>895</v>
      </c>
    </row>
    <row r="1662" spans="1:27" ht="14.4" hidden="1" customHeight="1" x14ac:dyDescent="0.3">
      <c r="A1662" s="4" t="s">
        <v>279</v>
      </c>
      <c r="B1662" s="4" t="s">
        <v>17</v>
      </c>
      <c r="C1662" s="16" t="s">
        <v>18</v>
      </c>
      <c r="D1662" s="4">
        <v>11</v>
      </c>
      <c r="E1662" s="4" t="s">
        <v>745</v>
      </c>
      <c r="F1662" t="s">
        <v>440</v>
      </c>
      <c r="G1662" t="s">
        <v>434</v>
      </c>
      <c r="J1662" s="4" t="s">
        <v>31</v>
      </c>
      <c r="K1662" s="4" t="s">
        <v>20</v>
      </c>
      <c r="L1662" s="4" t="s">
        <v>742</v>
      </c>
      <c r="M1662" s="17">
        <v>24</v>
      </c>
      <c r="N1662" s="17">
        <v>1029</v>
      </c>
      <c r="O1662" s="18" t="s">
        <v>31</v>
      </c>
      <c r="P1662" s="18">
        <v>1029</v>
      </c>
      <c r="Q1662" s="18">
        <v>24</v>
      </c>
      <c r="R1662" s="18" t="s">
        <v>778</v>
      </c>
      <c r="S1662" s="18" t="s">
        <v>826</v>
      </c>
      <c r="T1662" s="18" t="s">
        <v>780</v>
      </c>
      <c r="U16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62" s="19">
        <f>IF(AUDITORIA[[#This Row],[CAT]]="",0,1)</f>
        <v>1</v>
      </c>
      <c r="W1662" s="20">
        <v>46198</v>
      </c>
      <c r="X1662" s="21" t="str">
        <f>UPPER(IF(AUDITORIA[[#This Row],[DATA VERIFICAÇÃO]]="","",TEXT(AUDITORIA[[#This Row],[DATA VERIFICAÇÃO]],"mmm")))</f>
        <v>JUN</v>
      </c>
      <c r="Y1662" t="s">
        <v>598</v>
      </c>
      <c r="Z1662" t="s">
        <v>894</v>
      </c>
      <c r="AA1662" t="s">
        <v>895</v>
      </c>
    </row>
    <row r="1663" spans="1:27" ht="14.4" hidden="1" customHeight="1" x14ac:dyDescent="0.3">
      <c r="A1663" s="4" t="s">
        <v>279</v>
      </c>
      <c r="B1663" s="4" t="s">
        <v>17</v>
      </c>
      <c r="C1663" s="16" t="s">
        <v>18</v>
      </c>
      <c r="D1663" s="4">
        <v>11</v>
      </c>
      <c r="E1663" s="4" t="s">
        <v>745</v>
      </c>
      <c r="F1663" t="s">
        <v>441</v>
      </c>
      <c r="G1663" t="s">
        <v>442</v>
      </c>
      <c r="J1663" s="4" t="s">
        <v>55</v>
      </c>
      <c r="K1663" s="4" t="s">
        <v>20</v>
      </c>
      <c r="L1663" s="4" t="s">
        <v>742</v>
      </c>
      <c r="M1663" s="17">
        <v>8</v>
      </c>
      <c r="N1663" s="17">
        <v>766</v>
      </c>
      <c r="O1663" s="18" t="s">
        <v>55</v>
      </c>
      <c r="P1663" s="18">
        <v>766</v>
      </c>
      <c r="Q1663" s="18">
        <v>8</v>
      </c>
      <c r="R1663" s="18" t="s">
        <v>778</v>
      </c>
      <c r="S1663" s="18" t="s">
        <v>877</v>
      </c>
      <c r="T1663" s="18"/>
      <c r="U16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63" s="19">
        <f>IF(AUDITORIA[[#This Row],[CAT]]="",0,1)</f>
        <v>1</v>
      </c>
      <c r="W1663" s="20">
        <v>46198</v>
      </c>
      <c r="X1663" s="21" t="str">
        <f>UPPER(IF(AUDITORIA[[#This Row],[DATA VERIFICAÇÃO]]="","",TEXT(AUDITORIA[[#This Row],[DATA VERIFICAÇÃO]],"mmm")))</f>
        <v>JUN</v>
      </c>
      <c r="Y1663" t="s">
        <v>598</v>
      </c>
      <c r="Z1663" t="s">
        <v>894</v>
      </c>
      <c r="AA1663" t="s">
        <v>895</v>
      </c>
    </row>
    <row r="1664" spans="1:27" ht="14.4" hidden="1" customHeight="1" x14ac:dyDescent="0.3">
      <c r="A1664" s="4" t="s">
        <v>279</v>
      </c>
      <c r="B1664" s="4" t="s">
        <v>17</v>
      </c>
      <c r="C1664" s="16" t="s">
        <v>18</v>
      </c>
      <c r="D1664" s="4">
        <v>11</v>
      </c>
      <c r="E1664" s="4" t="s">
        <v>745</v>
      </c>
      <c r="F1664" t="s">
        <v>446</v>
      </c>
      <c r="G1664" t="s">
        <v>434</v>
      </c>
      <c r="J1664" s="4" t="s">
        <v>31</v>
      </c>
      <c r="K1664" s="4" t="s">
        <v>21</v>
      </c>
      <c r="L1664" s="4" t="s">
        <v>742</v>
      </c>
      <c r="M1664" s="17">
        <v>18</v>
      </c>
      <c r="N1664" s="17">
        <v>1201</v>
      </c>
      <c r="O1664" s="18" t="s">
        <v>31</v>
      </c>
      <c r="P1664" s="18">
        <v>1201</v>
      </c>
      <c r="Q1664" s="18">
        <v>18</v>
      </c>
      <c r="R1664" s="18" t="s">
        <v>778</v>
      </c>
      <c r="S1664" s="18" t="s">
        <v>816</v>
      </c>
      <c r="T1664" s="18" t="s">
        <v>781</v>
      </c>
      <c r="U16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64" s="19">
        <f>IF(AUDITORIA[[#This Row],[CAT]]="",0,1)</f>
        <v>1</v>
      </c>
      <c r="W1664" s="20">
        <v>46198</v>
      </c>
      <c r="X1664" s="21" t="str">
        <f>UPPER(IF(AUDITORIA[[#This Row],[DATA VERIFICAÇÃO]]="","",TEXT(AUDITORIA[[#This Row],[DATA VERIFICAÇÃO]],"mmm")))</f>
        <v>JUN</v>
      </c>
      <c r="Y1664" t="s">
        <v>598</v>
      </c>
      <c r="Z1664" t="s">
        <v>894</v>
      </c>
      <c r="AA1664" t="s">
        <v>895</v>
      </c>
    </row>
    <row r="1665" spans="1:27" ht="14.4" hidden="1" customHeight="1" x14ac:dyDescent="0.3">
      <c r="A1665" s="4" t="s">
        <v>279</v>
      </c>
      <c r="B1665" s="4" t="s">
        <v>17</v>
      </c>
      <c r="C1665" s="16" t="s">
        <v>18</v>
      </c>
      <c r="D1665" s="4">
        <v>11</v>
      </c>
      <c r="E1665" s="4" t="s">
        <v>745</v>
      </c>
      <c r="F1665" t="s">
        <v>447</v>
      </c>
      <c r="G1665" t="s">
        <v>434</v>
      </c>
      <c r="J1665" s="4" t="s">
        <v>31</v>
      </c>
      <c r="K1665" s="4" t="s">
        <v>20</v>
      </c>
      <c r="L1665" s="4" t="s">
        <v>742</v>
      </c>
      <c r="M1665" s="17">
        <v>24</v>
      </c>
      <c r="N1665" s="17">
        <v>1031</v>
      </c>
      <c r="O1665" s="18" t="s">
        <v>31</v>
      </c>
      <c r="P1665" s="18">
        <v>1031</v>
      </c>
      <c r="Q1665" s="18">
        <v>24</v>
      </c>
      <c r="R1665" s="18" t="s">
        <v>778</v>
      </c>
      <c r="S1665" s="18" t="s">
        <v>826</v>
      </c>
      <c r="T1665" s="18" t="s">
        <v>782</v>
      </c>
      <c r="U16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65" s="19">
        <f>IF(AUDITORIA[[#This Row],[CAT]]="",0,1)</f>
        <v>1</v>
      </c>
      <c r="W1665" s="20">
        <v>46198</v>
      </c>
      <c r="X1665" s="21" t="str">
        <f>UPPER(IF(AUDITORIA[[#This Row],[DATA VERIFICAÇÃO]]="","",TEXT(AUDITORIA[[#This Row],[DATA VERIFICAÇÃO]],"mmm")))</f>
        <v>JUN</v>
      </c>
      <c r="Y1665" t="s">
        <v>598</v>
      </c>
      <c r="Z1665" t="s">
        <v>894</v>
      </c>
      <c r="AA1665" t="s">
        <v>895</v>
      </c>
    </row>
    <row r="1666" spans="1:27" ht="14.4" hidden="1" customHeight="1" x14ac:dyDescent="0.3">
      <c r="A1666" s="4" t="s">
        <v>279</v>
      </c>
      <c r="B1666" s="4" t="s">
        <v>17</v>
      </c>
      <c r="C1666" s="16" t="s">
        <v>18</v>
      </c>
      <c r="D1666" s="4">
        <v>11</v>
      </c>
      <c r="E1666" s="4" t="s">
        <v>745</v>
      </c>
      <c r="F1666" t="s">
        <v>448</v>
      </c>
      <c r="G1666" t="s">
        <v>434</v>
      </c>
      <c r="J1666" s="4" t="s">
        <v>31</v>
      </c>
      <c r="K1666" s="4" t="s">
        <v>21</v>
      </c>
      <c r="L1666" s="4" t="s">
        <v>742</v>
      </c>
      <c r="M1666" s="17">
        <v>18</v>
      </c>
      <c r="N1666" s="17">
        <v>1203</v>
      </c>
      <c r="O1666" s="18" t="s">
        <v>31</v>
      </c>
      <c r="P1666" s="18">
        <v>1203</v>
      </c>
      <c r="Q1666" s="18">
        <v>18</v>
      </c>
      <c r="R1666" s="18" t="s">
        <v>778</v>
      </c>
      <c r="S1666" s="18" t="s">
        <v>846</v>
      </c>
      <c r="T1666" s="18" t="s">
        <v>780</v>
      </c>
      <c r="U16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66" s="19">
        <f>IF(AUDITORIA[[#This Row],[CAT]]="",0,1)</f>
        <v>1</v>
      </c>
      <c r="W1666" s="20">
        <v>46198</v>
      </c>
      <c r="X1666" s="21" t="str">
        <f>UPPER(IF(AUDITORIA[[#This Row],[DATA VERIFICAÇÃO]]="","",TEXT(AUDITORIA[[#This Row],[DATA VERIFICAÇÃO]],"mmm")))</f>
        <v>JUN</v>
      </c>
      <c r="Y1666" t="s">
        <v>598</v>
      </c>
      <c r="Z1666" t="s">
        <v>894</v>
      </c>
      <c r="AA1666" t="s">
        <v>895</v>
      </c>
    </row>
    <row r="1667" spans="1:27" ht="14.4" hidden="1" customHeight="1" x14ac:dyDescent="0.3">
      <c r="A1667" s="4" t="s">
        <v>279</v>
      </c>
      <c r="B1667" s="4" t="s">
        <v>17</v>
      </c>
      <c r="C1667" s="16" t="s">
        <v>18</v>
      </c>
      <c r="D1667" s="4">
        <v>11</v>
      </c>
      <c r="E1667" s="4" t="s">
        <v>745</v>
      </c>
      <c r="F1667" t="s">
        <v>412</v>
      </c>
      <c r="G1667" t="s">
        <v>66</v>
      </c>
      <c r="J1667" s="4" t="s">
        <v>55</v>
      </c>
      <c r="K1667" s="4" t="s">
        <v>20</v>
      </c>
      <c r="L1667" s="4" t="s">
        <v>742</v>
      </c>
      <c r="M1667" s="17">
        <v>30</v>
      </c>
      <c r="N1667" s="17">
        <v>806</v>
      </c>
      <c r="O1667" s="18" t="s">
        <v>55</v>
      </c>
      <c r="P1667" s="18">
        <v>806</v>
      </c>
      <c r="Q1667" s="18">
        <v>30</v>
      </c>
      <c r="R1667" s="18" t="s">
        <v>814</v>
      </c>
      <c r="S1667" s="18" t="s">
        <v>847</v>
      </c>
      <c r="T1667" s="18" t="s">
        <v>782</v>
      </c>
      <c r="U16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67" s="19">
        <f>IF(AUDITORIA[[#This Row],[CAT]]="",0,1)</f>
        <v>1</v>
      </c>
      <c r="W1667" s="20">
        <v>46198</v>
      </c>
      <c r="X1667" s="21" t="str">
        <f>UPPER(IF(AUDITORIA[[#This Row],[DATA VERIFICAÇÃO]]="","",TEXT(AUDITORIA[[#This Row],[DATA VERIFICAÇÃO]],"mmm")))</f>
        <v>JUN</v>
      </c>
      <c r="Y1667" t="s">
        <v>598</v>
      </c>
      <c r="Z1667" t="s">
        <v>894</v>
      </c>
      <c r="AA1667" t="s">
        <v>895</v>
      </c>
    </row>
    <row r="1668" spans="1:27" ht="14.4" hidden="1" customHeight="1" x14ac:dyDescent="0.3">
      <c r="A1668" s="4" t="s">
        <v>279</v>
      </c>
      <c r="B1668" s="4" t="s">
        <v>17</v>
      </c>
      <c r="C1668" s="16" t="s">
        <v>18</v>
      </c>
      <c r="D1668" s="4">
        <v>11</v>
      </c>
      <c r="E1668" s="4" t="s">
        <v>745</v>
      </c>
      <c r="F1668" t="s">
        <v>429</v>
      </c>
      <c r="G1668" t="s">
        <v>426</v>
      </c>
      <c r="J1668" s="4" t="s">
        <v>31</v>
      </c>
      <c r="K1668" s="4" t="s">
        <v>21</v>
      </c>
      <c r="L1668" s="4" t="s">
        <v>742</v>
      </c>
      <c r="M1668" s="17">
        <v>21</v>
      </c>
      <c r="N1668" s="17">
        <v>1105</v>
      </c>
      <c r="O1668" s="18" t="s">
        <v>31</v>
      </c>
      <c r="P1668" s="18">
        <v>1105</v>
      </c>
      <c r="Q1668" s="18">
        <v>21</v>
      </c>
      <c r="R1668" s="18" t="s">
        <v>814</v>
      </c>
      <c r="S1668" s="18" t="s">
        <v>849</v>
      </c>
      <c r="T1668" s="18" t="s">
        <v>782</v>
      </c>
      <c r="U16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68" s="19">
        <f>IF(AUDITORIA[[#This Row],[CAT]]="",0,1)</f>
        <v>1</v>
      </c>
      <c r="W1668" s="20">
        <v>46198</v>
      </c>
      <c r="X1668" s="21" t="str">
        <f>UPPER(IF(AUDITORIA[[#This Row],[DATA VERIFICAÇÃO]]="","",TEXT(AUDITORIA[[#This Row],[DATA VERIFICAÇÃO]],"mmm")))</f>
        <v>JUN</v>
      </c>
      <c r="Y1668" t="s">
        <v>598</v>
      </c>
      <c r="Z1668" t="s">
        <v>894</v>
      </c>
      <c r="AA1668" t="s">
        <v>895</v>
      </c>
    </row>
    <row r="1669" spans="1:27" ht="14.4" hidden="1" customHeight="1" x14ac:dyDescent="0.3">
      <c r="A1669" s="4" t="s">
        <v>279</v>
      </c>
      <c r="B1669" s="4" t="s">
        <v>17</v>
      </c>
      <c r="C1669" s="16" t="s">
        <v>18</v>
      </c>
      <c r="D1669" s="4">
        <v>11</v>
      </c>
      <c r="E1669" s="4" t="s">
        <v>745</v>
      </c>
      <c r="F1669" t="s">
        <v>431</v>
      </c>
      <c r="G1669" t="s">
        <v>426</v>
      </c>
      <c r="J1669" s="4" t="s">
        <v>31</v>
      </c>
      <c r="K1669" s="4" t="s">
        <v>21</v>
      </c>
      <c r="L1669" s="4" t="s">
        <v>742</v>
      </c>
      <c r="M1669" s="17">
        <v>24</v>
      </c>
      <c r="N1669" s="17">
        <v>1102</v>
      </c>
      <c r="O1669" s="18" t="s">
        <v>31</v>
      </c>
      <c r="P1669" s="18">
        <v>1102</v>
      </c>
      <c r="Q1669" s="18">
        <v>24</v>
      </c>
      <c r="R1669" s="18" t="s">
        <v>814</v>
      </c>
      <c r="S1669" s="18" t="s">
        <v>849</v>
      </c>
      <c r="T1669" s="18" t="s">
        <v>781</v>
      </c>
      <c r="U16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69" s="19">
        <f>IF(AUDITORIA[[#This Row],[CAT]]="",0,1)</f>
        <v>1</v>
      </c>
      <c r="W1669" s="20">
        <v>46198</v>
      </c>
      <c r="X1669" s="21" t="str">
        <f>UPPER(IF(AUDITORIA[[#This Row],[DATA VERIFICAÇÃO]]="","",TEXT(AUDITORIA[[#This Row],[DATA VERIFICAÇÃO]],"mmm")))</f>
        <v>JUN</v>
      </c>
      <c r="Y1669" t="s">
        <v>598</v>
      </c>
      <c r="Z1669" t="s">
        <v>894</v>
      </c>
      <c r="AA1669" t="s">
        <v>895</v>
      </c>
    </row>
    <row r="1670" spans="1:27" ht="14.4" hidden="1" customHeight="1" x14ac:dyDescent="0.3">
      <c r="A1670" s="4" t="s">
        <v>279</v>
      </c>
      <c r="B1670" s="4" t="s">
        <v>17</v>
      </c>
      <c r="C1670" s="16" t="s">
        <v>18</v>
      </c>
      <c r="D1670" s="4">
        <v>11</v>
      </c>
      <c r="E1670" s="4" t="s">
        <v>745</v>
      </c>
      <c r="F1670" t="s">
        <v>432</v>
      </c>
      <c r="G1670" t="s">
        <v>426</v>
      </c>
      <c r="J1670" s="4" t="s">
        <v>31</v>
      </c>
      <c r="K1670" s="4" t="s">
        <v>20</v>
      </c>
      <c r="L1670" s="4" t="s">
        <v>742</v>
      </c>
      <c r="M1670" s="17">
        <v>27</v>
      </c>
      <c r="N1670" s="17">
        <v>917</v>
      </c>
      <c r="O1670" s="18" t="s">
        <v>31</v>
      </c>
      <c r="P1670" s="18">
        <v>917</v>
      </c>
      <c r="Q1670" s="18">
        <v>27</v>
      </c>
      <c r="R1670" s="18" t="s">
        <v>814</v>
      </c>
      <c r="S1670" s="18" t="s">
        <v>850</v>
      </c>
      <c r="T1670" s="18" t="s">
        <v>781</v>
      </c>
      <c r="U16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70" s="19">
        <f>IF(AUDITORIA[[#This Row],[CAT]]="",0,1)</f>
        <v>1</v>
      </c>
      <c r="W1670" s="20">
        <v>46198</v>
      </c>
      <c r="X1670" s="21" t="str">
        <f>UPPER(IF(AUDITORIA[[#This Row],[DATA VERIFICAÇÃO]]="","",TEXT(AUDITORIA[[#This Row],[DATA VERIFICAÇÃO]],"mmm")))</f>
        <v>JUN</v>
      </c>
      <c r="Y1670" t="s">
        <v>598</v>
      </c>
      <c r="Z1670" t="s">
        <v>894</v>
      </c>
      <c r="AA1670" t="s">
        <v>895</v>
      </c>
    </row>
    <row r="1671" spans="1:27" ht="14.4" hidden="1" customHeight="1" x14ac:dyDescent="0.3">
      <c r="A1671" s="4" t="s">
        <v>279</v>
      </c>
      <c r="B1671" s="4" t="s">
        <v>17</v>
      </c>
      <c r="C1671" s="16" t="s">
        <v>18</v>
      </c>
      <c r="D1671" s="4">
        <v>11</v>
      </c>
      <c r="E1671" s="4" t="s">
        <v>745</v>
      </c>
      <c r="F1671" t="s">
        <v>437</v>
      </c>
      <c r="G1671" t="s">
        <v>434</v>
      </c>
      <c r="J1671" s="4" t="s">
        <v>31</v>
      </c>
      <c r="K1671" s="4" t="s">
        <v>21</v>
      </c>
      <c r="L1671" s="4" t="s">
        <v>742</v>
      </c>
      <c r="M1671" s="17">
        <v>9</v>
      </c>
      <c r="N1671" s="17">
        <v>1200</v>
      </c>
      <c r="O1671" s="18" t="s">
        <v>31</v>
      </c>
      <c r="P1671" s="18">
        <v>1200</v>
      </c>
      <c r="Q1671" s="18">
        <v>9</v>
      </c>
      <c r="R1671" s="18" t="s">
        <v>778</v>
      </c>
      <c r="S1671" s="18" t="s">
        <v>816</v>
      </c>
      <c r="T1671" s="18" t="s">
        <v>780</v>
      </c>
      <c r="U16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71" s="19">
        <f>IF(AUDITORIA[[#This Row],[CAT]]="",0,1)</f>
        <v>1</v>
      </c>
      <c r="W1671" s="20">
        <v>46198</v>
      </c>
      <c r="X1671" s="21" t="str">
        <f>UPPER(IF(AUDITORIA[[#This Row],[DATA VERIFICAÇÃO]]="","",TEXT(AUDITORIA[[#This Row],[DATA VERIFICAÇÃO]],"mmm")))</f>
        <v>JUN</v>
      </c>
      <c r="Y1671" t="s">
        <v>598</v>
      </c>
      <c r="Z1671" t="s">
        <v>894</v>
      </c>
      <c r="AA1671" t="s">
        <v>895</v>
      </c>
    </row>
    <row r="1672" spans="1:27" ht="14.4" hidden="1" customHeight="1" x14ac:dyDescent="0.3">
      <c r="A1672" s="4" t="s">
        <v>279</v>
      </c>
      <c r="B1672" s="4" t="s">
        <v>17</v>
      </c>
      <c r="C1672" s="16" t="s">
        <v>18</v>
      </c>
      <c r="D1672" s="4">
        <v>11</v>
      </c>
      <c r="E1672" s="4" t="s">
        <v>745</v>
      </c>
      <c r="F1672" t="s">
        <v>405</v>
      </c>
      <c r="G1672" t="s">
        <v>399</v>
      </c>
      <c r="J1672" s="4" t="s">
        <v>88</v>
      </c>
      <c r="K1672" s="4" t="s">
        <v>20</v>
      </c>
      <c r="L1672" s="4" t="s">
        <v>742</v>
      </c>
      <c r="M1672" s="17">
        <v>30</v>
      </c>
      <c r="N1672" s="17">
        <v>830</v>
      </c>
      <c r="O1672" s="18" t="s">
        <v>88</v>
      </c>
      <c r="P1672" s="18">
        <v>830</v>
      </c>
      <c r="Q1672" s="18">
        <v>30</v>
      </c>
      <c r="R1672" s="18" t="s">
        <v>778</v>
      </c>
      <c r="S1672" s="18" t="s">
        <v>825</v>
      </c>
      <c r="T1672" s="18" t="s">
        <v>840</v>
      </c>
      <c r="U16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72" s="19">
        <f>IF(AUDITORIA[[#This Row],[CAT]]="",0,1)</f>
        <v>1</v>
      </c>
      <c r="W1672" s="20">
        <v>46198</v>
      </c>
      <c r="X1672" s="21" t="str">
        <f>UPPER(IF(AUDITORIA[[#This Row],[DATA VERIFICAÇÃO]]="","",TEXT(AUDITORIA[[#This Row],[DATA VERIFICAÇÃO]],"mmm")))</f>
        <v>JUN</v>
      </c>
      <c r="Y1672" t="s">
        <v>598</v>
      </c>
      <c r="Z1672" t="s">
        <v>894</v>
      </c>
      <c r="AA1672" t="s">
        <v>895</v>
      </c>
    </row>
    <row r="1673" spans="1:27" ht="14.4" hidden="1" customHeight="1" x14ac:dyDescent="0.3">
      <c r="A1673" s="4" t="s">
        <v>279</v>
      </c>
      <c r="B1673" s="4" t="s">
        <v>17</v>
      </c>
      <c r="C1673" s="16" t="s">
        <v>18</v>
      </c>
      <c r="D1673" s="4">
        <v>11</v>
      </c>
      <c r="E1673" s="4" t="s">
        <v>745</v>
      </c>
      <c r="F1673" t="s">
        <v>419</v>
      </c>
      <c r="G1673" t="s">
        <v>399</v>
      </c>
      <c r="J1673" s="4" t="s">
        <v>88</v>
      </c>
      <c r="K1673" s="4" t="s">
        <v>21</v>
      </c>
      <c r="L1673" s="4" t="s">
        <v>742</v>
      </c>
      <c r="M1673" s="17">
        <v>24</v>
      </c>
      <c r="N1673" s="17">
        <v>1042</v>
      </c>
      <c r="O1673" s="18" t="s">
        <v>88</v>
      </c>
      <c r="P1673" s="18">
        <v>1042</v>
      </c>
      <c r="Q1673" s="18">
        <v>24</v>
      </c>
      <c r="R1673" s="18" t="s">
        <v>778</v>
      </c>
      <c r="S1673" s="18" t="s">
        <v>818</v>
      </c>
      <c r="T1673" s="18" t="s">
        <v>843</v>
      </c>
      <c r="U16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73" s="19">
        <f>IF(AUDITORIA[[#This Row],[CAT]]="",0,1)</f>
        <v>1</v>
      </c>
      <c r="W1673" s="20">
        <v>46198</v>
      </c>
      <c r="X1673" s="21" t="str">
        <f>UPPER(IF(AUDITORIA[[#This Row],[DATA VERIFICAÇÃO]]="","",TEXT(AUDITORIA[[#This Row],[DATA VERIFICAÇÃO]],"mmm")))</f>
        <v>JUN</v>
      </c>
      <c r="Y1673" t="s">
        <v>598</v>
      </c>
      <c r="Z1673" t="s">
        <v>894</v>
      </c>
      <c r="AA1673" t="s">
        <v>895</v>
      </c>
    </row>
    <row r="1674" spans="1:27" ht="14.4" hidden="1" customHeight="1" x14ac:dyDescent="0.3">
      <c r="A1674" s="4" t="s">
        <v>279</v>
      </c>
      <c r="B1674" s="4" t="s">
        <v>17</v>
      </c>
      <c r="C1674" s="16" t="s">
        <v>18</v>
      </c>
      <c r="D1674" s="4">
        <v>11</v>
      </c>
      <c r="E1674" s="4" t="s">
        <v>745</v>
      </c>
      <c r="F1674" t="s">
        <v>420</v>
      </c>
      <c r="G1674" t="s">
        <v>399</v>
      </c>
      <c r="J1674" s="4" t="s">
        <v>88</v>
      </c>
      <c r="K1674" s="4" t="s">
        <v>21</v>
      </c>
      <c r="L1674" s="4" t="s">
        <v>742</v>
      </c>
      <c r="M1674" s="17">
        <v>24</v>
      </c>
      <c r="N1674" s="17">
        <v>1007</v>
      </c>
      <c r="O1674" s="18" t="s">
        <v>88</v>
      </c>
      <c r="P1674" s="18">
        <v>1007</v>
      </c>
      <c r="Q1674" s="18">
        <v>24</v>
      </c>
      <c r="R1674" s="18" t="s">
        <v>778</v>
      </c>
      <c r="S1674" s="18" t="s">
        <v>818</v>
      </c>
      <c r="T1674" s="18" t="s">
        <v>840</v>
      </c>
      <c r="U16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74" s="19">
        <f>IF(AUDITORIA[[#This Row],[CAT]]="",0,1)</f>
        <v>1</v>
      </c>
      <c r="W1674" s="20">
        <v>46198</v>
      </c>
      <c r="X1674" s="21" t="str">
        <f>UPPER(IF(AUDITORIA[[#This Row],[DATA VERIFICAÇÃO]]="","",TEXT(AUDITORIA[[#This Row],[DATA VERIFICAÇÃO]],"mmm")))</f>
        <v>JUN</v>
      </c>
      <c r="Y1674" t="s">
        <v>598</v>
      </c>
      <c r="Z1674" t="s">
        <v>894</v>
      </c>
      <c r="AA1674" t="s">
        <v>895</v>
      </c>
    </row>
    <row r="1675" spans="1:27" ht="14.4" hidden="1" customHeight="1" x14ac:dyDescent="0.3">
      <c r="A1675" s="4" t="s">
        <v>279</v>
      </c>
      <c r="B1675" s="4" t="s">
        <v>17</v>
      </c>
      <c r="C1675" s="16" t="s">
        <v>18</v>
      </c>
      <c r="D1675" s="4">
        <v>11</v>
      </c>
      <c r="E1675" s="4" t="s">
        <v>745</v>
      </c>
      <c r="F1675" t="s">
        <v>425</v>
      </c>
      <c r="G1675" t="s">
        <v>426</v>
      </c>
      <c r="J1675" s="4" t="s">
        <v>31</v>
      </c>
      <c r="K1675" s="4" t="s">
        <v>20</v>
      </c>
      <c r="L1675" s="4" t="s">
        <v>742</v>
      </c>
      <c r="M1675" s="17">
        <v>4</v>
      </c>
      <c r="N1675" s="17">
        <v>905</v>
      </c>
      <c r="O1675" s="18" t="s">
        <v>31</v>
      </c>
      <c r="P1675" s="18">
        <v>905</v>
      </c>
      <c r="Q1675" s="18">
        <v>4</v>
      </c>
      <c r="R1675" s="18" t="s">
        <v>814</v>
      </c>
      <c r="S1675" s="18" t="s">
        <v>850</v>
      </c>
      <c r="T1675" s="18" t="s">
        <v>794</v>
      </c>
      <c r="U16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75" s="19">
        <f>IF(AUDITORIA[[#This Row],[CAT]]="",0,1)</f>
        <v>1</v>
      </c>
      <c r="W1675" s="20">
        <v>46198</v>
      </c>
      <c r="X1675" s="21" t="str">
        <f>UPPER(IF(AUDITORIA[[#This Row],[DATA VERIFICAÇÃO]]="","",TEXT(AUDITORIA[[#This Row],[DATA VERIFICAÇÃO]],"mmm")))</f>
        <v>JUN</v>
      </c>
      <c r="Y1675" t="s">
        <v>598</v>
      </c>
      <c r="Z1675" t="s">
        <v>894</v>
      </c>
      <c r="AA1675" t="s">
        <v>895</v>
      </c>
    </row>
    <row r="1676" spans="1:27" ht="14.4" hidden="1" customHeight="1" x14ac:dyDescent="0.3">
      <c r="A1676" s="4" t="s">
        <v>279</v>
      </c>
      <c r="B1676" s="4" t="s">
        <v>17</v>
      </c>
      <c r="C1676" s="16" t="s">
        <v>18</v>
      </c>
      <c r="D1676" s="4">
        <v>11</v>
      </c>
      <c r="E1676" s="4" t="s">
        <v>745</v>
      </c>
      <c r="F1676" t="s">
        <v>430</v>
      </c>
      <c r="G1676" t="s">
        <v>426</v>
      </c>
      <c r="J1676" s="4" t="s">
        <v>31</v>
      </c>
      <c r="K1676" s="4" t="s">
        <v>20</v>
      </c>
      <c r="L1676" s="4" t="s">
        <v>742</v>
      </c>
      <c r="M1676" s="17">
        <v>27</v>
      </c>
      <c r="N1676" s="17">
        <v>912</v>
      </c>
      <c r="O1676" s="18" t="s">
        <v>31</v>
      </c>
      <c r="P1676" s="18">
        <v>912</v>
      </c>
      <c r="Q1676" s="18">
        <v>27</v>
      </c>
      <c r="R1676" s="18" t="s">
        <v>814</v>
      </c>
      <c r="S1676" s="18" t="s">
        <v>850</v>
      </c>
      <c r="T1676" s="18" t="s">
        <v>782</v>
      </c>
      <c r="U16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76" s="19">
        <f>IF(AUDITORIA[[#This Row],[CAT]]="",0,1)</f>
        <v>1</v>
      </c>
      <c r="W1676" s="20">
        <v>46198</v>
      </c>
      <c r="X1676" s="21" t="str">
        <f>UPPER(IF(AUDITORIA[[#This Row],[DATA VERIFICAÇÃO]]="","",TEXT(AUDITORIA[[#This Row],[DATA VERIFICAÇÃO]],"mmm")))</f>
        <v>JUN</v>
      </c>
      <c r="Y1676" t="s">
        <v>598</v>
      </c>
      <c r="Z1676" t="s">
        <v>894</v>
      </c>
      <c r="AA1676" t="s">
        <v>895</v>
      </c>
    </row>
    <row r="1677" spans="1:27" ht="14.4" hidden="1" customHeight="1" x14ac:dyDescent="0.3">
      <c r="A1677" s="4" t="s">
        <v>279</v>
      </c>
      <c r="B1677" s="4" t="s">
        <v>17</v>
      </c>
      <c r="C1677" s="16" t="s">
        <v>18</v>
      </c>
      <c r="D1677" s="4">
        <v>11</v>
      </c>
      <c r="E1677" s="4" t="s">
        <v>745</v>
      </c>
      <c r="F1677" t="s">
        <v>406</v>
      </c>
      <c r="G1677" t="s">
        <v>399</v>
      </c>
      <c r="J1677" s="4" t="s">
        <v>88</v>
      </c>
      <c r="K1677" s="4" t="s">
        <v>20</v>
      </c>
      <c r="L1677" s="4" t="s">
        <v>742</v>
      </c>
      <c r="M1677" s="17">
        <v>30</v>
      </c>
      <c r="N1677" s="17">
        <v>834</v>
      </c>
      <c r="O1677" s="18" t="s">
        <v>88</v>
      </c>
      <c r="P1677" s="18">
        <v>834</v>
      </c>
      <c r="Q1677" s="18">
        <v>30</v>
      </c>
      <c r="R1677" s="18" t="s">
        <v>778</v>
      </c>
      <c r="S1677" s="18" t="s">
        <v>825</v>
      </c>
      <c r="T1677" s="18" t="s">
        <v>794</v>
      </c>
      <c r="U16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77" s="19">
        <f>IF(AUDITORIA[[#This Row],[CAT]]="",0,1)</f>
        <v>1</v>
      </c>
      <c r="W1677" s="20">
        <v>46198</v>
      </c>
      <c r="X1677" s="21" t="str">
        <f>UPPER(IF(AUDITORIA[[#This Row],[DATA VERIFICAÇÃO]]="","",TEXT(AUDITORIA[[#This Row],[DATA VERIFICAÇÃO]],"mmm")))</f>
        <v>JUN</v>
      </c>
      <c r="Y1677" t="s">
        <v>598</v>
      </c>
      <c r="Z1677" t="s">
        <v>894</v>
      </c>
      <c r="AA1677" t="s">
        <v>895</v>
      </c>
    </row>
    <row r="1678" spans="1:27" ht="14.4" hidden="1" customHeight="1" x14ac:dyDescent="0.3">
      <c r="A1678" s="4" t="s">
        <v>279</v>
      </c>
      <c r="B1678" s="4" t="s">
        <v>17</v>
      </c>
      <c r="C1678" s="16" t="s">
        <v>18</v>
      </c>
      <c r="D1678" s="4">
        <v>11</v>
      </c>
      <c r="E1678" s="4" t="s">
        <v>745</v>
      </c>
      <c r="F1678" t="s">
        <v>413</v>
      </c>
      <c r="G1678" t="s">
        <v>66</v>
      </c>
      <c r="J1678" s="4" t="s">
        <v>55</v>
      </c>
      <c r="K1678" s="4" t="s">
        <v>21</v>
      </c>
      <c r="L1678" s="4" t="s">
        <v>742</v>
      </c>
      <c r="M1678" s="17">
        <v>24</v>
      </c>
      <c r="N1678" s="17">
        <v>1031</v>
      </c>
      <c r="O1678" s="18" t="s">
        <v>55</v>
      </c>
      <c r="P1678" s="18">
        <v>1031</v>
      </c>
      <c r="Q1678" s="18">
        <v>24</v>
      </c>
      <c r="R1678" s="18" t="s">
        <v>814</v>
      </c>
      <c r="S1678" s="18" t="s">
        <v>848</v>
      </c>
      <c r="T1678" s="18" t="s">
        <v>794</v>
      </c>
      <c r="U16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78" s="19">
        <f>IF(AUDITORIA[[#This Row],[CAT]]="",0,1)</f>
        <v>1</v>
      </c>
      <c r="W1678" s="20">
        <v>46198</v>
      </c>
      <c r="X1678" s="21" t="str">
        <f>UPPER(IF(AUDITORIA[[#This Row],[DATA VERIFICAÇÃO]]="","",TEXT(AUDITORIA[[#This Row],[DATA VERIFICAÇÃO]],"mmm")))</f>
        <v>JUN</v>
      </c>
      <c r="Y1678" t="s">
        <v>598</v>
      </c>
      <c r="Z1678" t="s">
        <v>894</v>
      </c>
      <c r="AA1678" t="s">
        <v>895</v>
      </c>
    </row>
    <row r="1679" spans="1:27" ht="14.4" hidden="1" customHeight="1" x14ac:dyDescent="0.3">
      <c r="A1679" s="4" t="s">
        <v>279</v>
      </c>
      <c r="B1679" s="4" t="s">
        <v>17</v>
      </c>
      <c r="C1679" s="16" t="s">
        <v>18</v>
      </c>
      <c r="D1679" s="4">
        <v>11</v>
      </c>
      <c r="E1679" s="4" t="s">
        <v>745</v>
      </c>
      <c r="F1679" t="s">
        <v>416</v>
      </c>
      <c r="G1679" t="s">
        <v>399</v>
      </c>
      <c r="J1679" s="4" t="s">
        <v>88</v>
      </c>
      <c r="K1679" s="4" t="s">
        <v>20</v>
      </c>
      <c r="L1679" s="4" t="s">
        <v>742</v>
      </c>
      <c r="M1679" s="17">
        <v>30</v>
      </c>
      <c r="N1679" s="17">
        <v>822</v>
      </c>
      <c r="O1679" s="18" t="s">
        <v>88</v>
      </c>
      <c r="P1679" s="18">
        <v>822</v>
      </c>
      <c r="Q1679" s="18">
        <v>30</v>
      </c>
      <c r="R1679" s="18" t="s">
        <v>778</v>
      </c>
      <c r="S1679" s="18" t="s">
        <v>825</v>
      </c>
      <c r="T1679" s="18" t="s">
        <v>782</v>
      </c>
      <c r="U16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79" s="19">
        <f>IF(AUDITORIA[[#This Row],[CAT]]="",0,1)</f>
        <v>1</v>
      </c>
      <c r="W1679" s="20">
        <v>46198</v>
      </c>
      <c r="X1679" s="21" t="str">
        <f>UPPER(IF(AUDITORIA[[#This Row],[DATA VERIFICAÇÃO]]="","",TEXT(AUDITORIA[[#This Row],[DATA VERIFICAÇÃO]],"mmm")))</f>
        <v>JUN</v>
      </c>
      <c r="Y1679" t="s">
        <v>598</v>
      </c>
      <c r="Z1679" t="s">
        <v>894</v>
      </c>
      <c r="AA1679" t="s">
        <v>895</v>
      </c>
    </row>
    <row r="1680" spans="1:27" ht="14.4" hidden="1" customHeight="1" x14ac:dyDescent="0.3">
      <c r="A1680" s="4" t="s">
        <v>279</v>
      </c>
      <c r="B1680" s="4" t="s">
        <v>17</v>
      </c>
      <c r="C1680" s="16" t="s">
        <v>18</v>
      </c>
      <c r="D1680" s="4">
        <v>11</v>
      </c>
      <c r="E1680" s="4" t="s">
        <v>745</v>
      </c>
      <c r="F1680" t="s">
        <v>417</v>
      </c>
      <c r="G1680" t="s">
        <v>66</v>
      </c>
      <c r="J1680" s="4" t="s">
        <v>55</v>
      </c>
      <c r="K1680" s="4" t="s">
        <v>21</v>
      </c>
      <c r="L1680" s="4" t="s">
        <v>742</v>
      </c>
      <c r="M1680" s="17">
        <v>24</v>
      </c>
      <c r="N1680" s="17">
        <v>1030</v>
      </c>
      <c r="O1680" s="18" t="s">
        <v>55</v>
      </c>
      <c r="P1680" s="18">
        <v>1030</v>
      </c>
      <c r="Q1680" s="18">
        <v>24</v>
      </c>
      <c r="R1680" s="18" t="s">
        <v>814</v>
      </c>
      <c r="S1680" s="18" t="s">
        <v>851</v>
      </c>
      <c r="T1680" s="18" t="s">
        <v>780</v>
      </c>
      <c r="U16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80" s="19">
        <f>IF(AUDITORIA[[#This Row],[CAT]]="",0,1)</f>
        <v>1</v>
      </c>
      <c r="W1680" s="20">
        <v>46198</v>
      </c>
      <c r="X1680" s="21" t="str">
        <f>UPPER(IF(AUDITORIA[[#This Row],[DATA VERIFICAÇÃO]]="","",TEXT(AUDITORIA[[#This Row],[DATA VERIFICAÇÃO]],"mmm")))</f>
        <v>JUN</v>
      </c>
      <c r="Y1680" t="s">
        <v>598</v>
      </c>
      <c r="Z1680" t="s">
        <v>894</v>
      </c>
      <c r="AA1680" t="s">
        <v>895</v>
      </c>
    </row>
    <row r="1681" spans="1:27" ht="14.4" hidden="1" customHeight="1" x14ac:dyDescent="0.3">
      <c r="A1681" s="4" t="s">
        <v>279</v>
      </c>
      <c r="B1681" s="4" t="s">
        <v>17</v>
      </c>
      <c r="C1681" s="16" t="s">
        <v>18</v>
      </c>
      <c r="D1681" s="4">
        <v>11</v>
      </c>
      <c r="E1681" s="4" t="s">
        <v>745</v>
      </c>
      <c r="F1681" t="s">
        <v>418</v>
      </c>
      <c r="G1681" t="s">
        <v>66</v>
      </c>
      <c r="J1681" s="4" t="s">
        <v>55</v>
      </c>
      <c r="K1681" s="4" t="s">
        <v>20</v>
      </c>
      <c r="L1681" s="4" t="s">
        <v>742</v>
      </c>
      <c r="M1681" s="17">
        <v>30</v>
      </c>
      <c r="N1681" s="17">
        <v>800</v>
      </c>
      <c r="O1681" s="18" t="s">
        <v>55</v>
      </c>
      <c r="P1681" s="18">
        <v>800</v>
      </c>
      <c r="Q1681" s="18">
        <v>30</v>
      </c>
      <c r="R1681" s="18" t="s">
        <v>814</v>
      </c>
      <c r="S1681" s="18" t="s">
        <v>852</v>
      </c>
      <c r="T1681" s="18" t="s">
        <v>780</v>
      </c>
      <c r="U16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81" s="19">
        <f>IF(AUDITORIA[[#This Row],[CAT]]="",0,1)</f>
        <v>1</v>
      </c>
      <c r="W1681" s="20">
        <v>46198</v>
      </c>
      <c r="X1681" s="21" t="str">
        <f>UPPER(IF(AUDITORIA[[#This Row],[DATA VERIFICAÇÃO]]="","",TEXT(AUDITORIA[[#This Row],[DATA VERIFICAÇÃO]],"mmm")))</f>
        <v>JUN</v>
      </c>
      <c r="Y1681" t="s">
        <v>598</v>
      </c>
      <c r="Z1681" t="s">
        <v>894</v>
      </c>
      <c r="AA1681" t="s">
        <v>895</v>
      </c>
    </row>
    <row r="1682" spans="1:27" ht="14.4" hidden="1" customHeight="1" x14ac:dyDescent="0.3">
      <c r="A1682" s="4" t="s">
        <v>279</v>
      </c>
      <c r="B1682" s="4" t="s">
        <v>17</v>
      </c>
      <c r="C1682" s="16" t="s">
        <v>18</v>
      </c>
      <c r="D1682" s="4">
        <v>11</v>
      </c>
      <c r="E1682" s="4" t="s">
        <v>745</v>
      </c>
      <c r="F1682" t="s">
        <v>403</v>
      </c>
      <c r="G1682" t="s">
        <v>399</v>
      </c>
      <c r="J1682" s="4" t="s">
        <v>88</v>
      </c>
      <c r="K1682" s="4" t="s">
        <v>21</v>
      </c>
      <c r="L1682" s="4" t="s">
        <v>742</v>
      </c>
      <c r="M1682" s="17">
        <v>24</v>
      </c>
      <c r="N1682" s="17">
        <v>1050</v>
      </c>
      <c r="O1682" s="18" t="s">
        <v>88</v>
      </c>
      <c r="P1682" s="18">
        <v>1050</v>
      </c>
      <c r="Q1682" s="18">
        <v>24</v>
      </c>
      <c r="R1682" s="18" t="s">
        <v>778</v>
      </c>
      <c r="S1682" s="18" t="s">
        <v>818</v>
      </c>
      <c r="T1682" s="18" t="s">
        <v>794</v>
      </c>
      <c r="U16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82" s="19">
        <f>IF(AUDITORIA[[#This Row],[CAT]]="",0,1)</f>
        <v>1</v>
      </c>
      <c r="W1682" s="20">
        <v>46198</v>
      </c>
      <c r="X1682" s="21" t="str">
        <f>UPPER(IF(AUDITORIA[[#This Row],[DATA VERIFICAÇÃO]]="","",TEXT(AUDITORIA[[#This Row],[DATA VERIFICAÇÃO]],"mmm")))</f>
        <v>JUN</v>
      </c>
      <c r="Y1682" t="s">
        <v>598</v>
      </c>
      <c r="Z1682" t="s">
        <v>894</v>
      </c>
      <c r="AA1682" t="s">
        <v>895</v>
      </c>
    </row>
    <row r="1683" spans="1:27" ht="14.4" hidden="1" customHeight="1" x14ac:dyDescent="0.3">
      <c r="A1683" s="4" t="s">
        <v>279</v>
      </c>
      <c r="B1683" s="4" t="s">
        <v>17</v>
      </c>
      <c r="C1683" s="16" t="s">
        <v>18</v>
      </c>
      <c r="D1683" s="4">
        <v>11</v>
      </c>
      <c r="E1683" s="4" t="s">
        <v>745</v>
      </c>
      <c r="F1683" t="s">
        <v>408</v>
      </c>
      <c r="G1683" t="s">
        <v>399</v>
      </c>
      <c r="J1683" s="4" t="s">
        <v>88</v>
      </c>
      <c r="K1683" s="4" t="s">
        <v>21</v>
      </c>
      <c r="L1683" s="4" t="s">
        <v>742</v>
      </c>
      <c r="M1683" s="17">
        <v>24</v>
      </c>
      <c r="N1683" s="17">
        <v>1078</v>
      </c>
      <c r="O1683" s="18" t="s">
        <v>88</v>
      </c>
      <c r="P1683" s="18">
        <v>1078</v>
      </c>
      <c r="Q1683" s="18">
        <v>24</v>
      </c>
      <c r="R1683" s="18" t="s">
        <v>778</v>
      </c>
      <c r="S1683" s="18" t="s">
        <v>818</v>
      </c>
      <c r="T1683" s="18" t="s">
        <v>781</v>
      </c>
      <c r="U16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83" s="19">
        <f>IF(AUDITORIA[[#This Row],[CAT]]="",0,1)</f>
        <v>1</v>
      </c>
      <c r="W1683" s="20">
        <v>46198</v>
      </c>
      <c r="X1683" s="21" t="str">
        <f>UPPER(IF(AUDITORIA[[#This Row],[DATA VERIFICAÇÃO]]="","",TEXT(AUDITORIA[[#This Row],[DATA VERIFICAÇÃO]],"mmm")))</f>
        <v>JUN</v>
      </c>
      <c r="Y1683" t="s">
        <v>598</v>
      </c>
      <c r="Z1683" t="s">
        <v>894</v>
      </c>
      <c r="AA1683" t="s">
        <v>895</v>
      </c>
    </row>
    <row r="1684" spans="1:27" ht="14.4" hidden="1" customHeight="1" x14ac:dyDescent="0.3">
      <c r="A1684" s="4" t="s">
        <v>279</v>
      </c>
      <c r="B1684" s="4" t="s">
        <v>17</v>
      </c>
      <c r="C1684" s="16" t="s">
        <v>18</v>
      </c>
      <c r="D1684" s="4">
        <v>11</v>
      </c>
      <c r="E1684" s="4" t="s">
        <v>745</v>
      </c>
      <c r="F1684" t="s">
        <v>414</v>
      </c>
      <c r="G1684" t="s">
        <v>66</v>
      </c>
      <c r="J1684" s="4" t="s">
        <v>55</v>
      </c>
      <c r="K1684" s="4" t="s">
        <v>20</v>
      </c>
      <c r="L1684" s="4" t="s">
        <v>742</v>
      </c>
      <c r="M1684" s="17">
        <v>30</v>
      </c>
      <c r="N1684" s="17">
        <v>803</v>
      </c>
      <c r="O1684" s="18" t="s">
        <v>55</v>
      </c>
      <c r="P1684" s="18">
        <v>803</v>
      </c>
      <c r="Q1684" s="18">
        <v>30</v>
      </c>
      <c r="R1684" s="18" t="s">
        <v>814</v>
      </c>
      <c r="S1684" s="18" t="s">
        <v>852</v>
      </c>
      <c r="T1684" s="18" t="s">
        <v>781</v>
      </c>
      <c r="U16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84" s="19">
        <f>IF(AUDITORIA[[#This Row],[CAT]]="",0,1)</f>
        <v>1</v>
      </c>
      <c r="W1684" s="20">
        <v>46198</v>
      </c>
      <c r="X1684" s="21" t="str">
        <f>UPPER(IF(AUDITORIA[[#This Row],[DATA VERIFICAÇÃO]]="","",TEXT(AUDITORIA[[#This Row],[DATA VERIFICAÇÃO]],"mmm")))</f>
        <v>JUN</v>
      </c>
      <c r="Y1684" t="s">
        <v>598</v>
      </c>
      <c r="Z1684" t="s">
        <v>894</v>
      </c>
      <c r="AA1684" t="s">
        <v>895</v>
      </c>
    </row>
    <row r="1685" spans="1:27" ht="14.4" hidden="1" customHeight="1" x14ac:dyDescent="0.3">
      <c r="A1685" s="4" t="s">
        <v>279</v>
      </c>
      <c r="B1685" s="4" t="s">
        <v>17</v>
      </c>
      <c r="C1685" s="16" t="s">
        <v>18</v>
      </c>
      <c r="D1685" s="4">
        <v>11</v>
      </c>
      <c r="E1685" s="4" t="s">
        <v>745</v>
      </c>
      <c r="F1685" t="s">
        <v>415</v>
      </c>
      <c r="G1685" t="s">
        <v>399</v>
      </c>
      <c r="J1685" s="4" t="s">
        <v>88</v>
      </c>
      <c r="K1685" s="4" t="s">
        <v>21</v>
      </c>
      <c r="L1685" s="4" t="s">
        <v>742</v>
      </c>
      <c r="M1685" s="17">
        <v>24</v>
      </c>
      <c r="N1685" s="17">
        <v>1034</v>
      </c>
      <c r="O1685" s="18" t="s">
        <v>88</v>
      </c>
      <c r="P1685" s="18">
        <v>1034</v>
      </c>
      <c r="Q1685" s="18">
        <v>24</v>
      </c>
      <c r="R1685" s="18" t="s">
        <v>778</v>
      </c>
      <c r="S1685" s="18" t="s">
        <v>818</v>
      </c>
      <c r="T1685" s="18" t="s">
        <v>780</v>
      </c>
      <c r="U16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85" s="19">
        <f>IF(AUDITORIA[[#This Row],[CAT]]="",0,1)</f>
        <v>1</v>
      </c>
      <c r="W1685" s="20">
        <v>46198</v>
      </c>
      <c r="X1685" s="21" t="str">
        <f>UPPER(IF(AUDITORIA[[#This Row],[DATA VERIFICAÇÃO]]="","",TEXT(AUDITORIA[[#This Row],[DATA VERIFICAÇÃO]],"mmm")))</f>
        <v>JUN</v>
      </c>
      <c r="Y1685" t="s">
        <v>598</v>
      </c>
      <c r="Z1685" t="s">
        <v>894</v>
      </c>
      <c r="AA1685" t="s">
        <v>895</v>
      </c>
    </row>
    <row r="1686" spans="1:27" ht="14.4" hidden="1" customHeight="1" x14ac:dyDescent="0.3">
      <c r="A1686" s="4" t="s">
        <v>279</v>
      </c>
      <c r="B1686" s="4" t="s">
        <v>17</v>
      </c>
      <c r="C1686" s="16" t="s">
        <v>18</v>
      </c>
      <c r="D1686" s="4">
        <v>11</v>
      </c>
      <c r="E1686" s="4" t="s">
        <v>745</v>
      </c>
      <c r="F1686" t="s">
        <v>397</v>
      </c>
      <c r="G1686" t="s">
        <v>66</v>
      </c>
      <c r="J1686" s="4" t="s">
        <v>55</v>
      </c>
      <c r="K1686" s="4" t="s">
        <v>21</v>
      </c>
      <c r="L1686" s="4" t="s">
        <v>742</v>
      </c>
      <c r="M1686" s="17">
        <v>24</v>
      </c>
      <c r="N1686" s="17">
        <v>1020</v>
      </c>
      <c r="O1686" s="18" t="s">
        <v>55</v>
      </c>
      <c r="P1686" s="18">
        <v>1020</v>
      </c>
      <c r="Q1686" s="18">
        <v>24</v>
      </c>
      <c r="R1686" s="18" t="s">
        <v>814</v>
      </c>
      <c r="S1686" s="18" t="s">
        <v>851</v>
      </c>
      <c r="T1686" s="18" t="s">
        <v>782</v>
      </c>
      <c r="U16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86" s="19">
        <f>IF(AUDITORIA[[#This Row],[CAT]]="",0,1)</f>
        <v>1</v>
      </c>
      <c r="W1686" s="20">
        <v>46198</v>
      </c>
      <c r="X1686" s="21" t="str">
        <f>UPPER(IF(AUDITORIA[[#This Row],[DATA VERIFICAÇÃO]]="","",TEXT(AUDITORIA[[#This Row],[DATA VERIFICAÇÃO]],"mmm")))</f>
        <v>JUN</v>
      </c>
      <c r="Y1686" t="s">
        <v>598</v>
      </c>
      <c r="Z1686" t="s">
        <v>894</v>
      </c>
      <c r="AA1686" t="s">
        <v>895</v>
      </c>
    </row>
    <row r="1687" spans="1:27" ht="14.4" hidden="1" customHeight="1" x14ac:dyDescent="0.3">
      <c r="A1687" s="4" t="s">
        <v>279</v>
      </c>
      <c r="B1687" s="4" t="s">
        <v>17</v>
      </c>
      <c r="C1687" s="16" t="s">
        <v>18</v>
      </c>
      <c r="D1687" s="4">
        <v>11</v>
      </c>
      <c r="E1687" s="4" t="s">
        <v>745</v>
      </c>
      <c r="F1687" t="s">
        <v>398</v>
      </c>
      <c r="G1687" t="s">
        <v>399</v>
      </c>
      <c r="J1687" s="4" t="s">
        <v>88</v>
      </c>
      <c r="K1687" s="4" t="s">
        <v>20</v>
      </c>
      <c r="L1687" s="4" t="s">
        <v>742</v>
      </c>
      <c r="M1687" s="17">
        <v>2</v>
      </c>
      <c r="N1687" s="17">
        <v>835</v>
      </c>
      <c r="O1687" s="18" t="s">
        <v>88</v>
      </c>
      <c r="P1687" s="18">
        <v>835</v>
      </c>
      <c r="Q1687" s="18">
        <v>2</v>
      </c>
      <c r="R1687" s="18" t="s">
        <v>778</v>
      </c>
      <c r="S1687" s="18" t="s">
        <v>825</v>
      </c>
      <c r="T1687" s="18" t="s">
        <v>780</v>
      </c>
      <c r="U16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87" s="19">
        <f>IF(AUDITORIA[[#This Row],[CAT]]="",0,1)</f>
        <v>1</v>
      </c>
      <c r="W1687" s="20">
        <v>46198</v>
      </c>
      <c r="X1687" s="21" t="str">
        <f>UPPER(IF(AUDITORIA[[#This Row],[DATA VERIFICAÇÃO]]="","",TEXT(AUDITORIA[[#This Row],[DATA VERIFICAÇÃO]],"mmm")))</f>
        <v>JUN</v>
      </c>
      <c r="Y1687" t="s">
        <v>598</v>
      </c>
      <c r="Z1687" t="s">
        <v>894</v>
      </c>
      <c r="AA1687" t="s">
        <v>895</v>
      </c>
    </row>
    <row r="1688" spans="1:27" ht="14.4" hidden="1" customHeight="1" x14ac:dyDescent="0.3">
      <c r="A1688" s="4" t="s">
        <v>279</v>
      </c>
      <c r="B1688" s="4" t="s">
        <v>17</v>
      </c>
      <c r="C1688" s="16" t="s">
        <v>18</v>
      </c>
      <c r="D1688" s="4">
        <v>11</v>
      </c>
      <c r="E1688" s="4" t="s">
        <v>745</v>
      </c>
      <c r="F1688" t="s">
        <v>402</v>
      </c>
      <c r="G1688" t="s">
        <v>399</v>
      </c>
      <c r="J1688" s="4" t="s">
        <v>88</v>
      </c>
      <c r="K1688" s="4" t="s">
        <v>21</v>
      </c>
      <c r="L1688" s="4" t="s">
        <v>742</v>
      </c>
      <c r="M1688" s="17">
        <v>21</v>
      </c>
      <c r="N1688" s="17">
        <v>1029</v>
      </c>
      <c r="O1688" s="18" t="s">
        <v>88</v>
      </c>
      <c r="P1688" s="18">
        <v>1029</v>
      </c>
      <c r="Q1688" s="18">
        <v>21</v>
      </c>
      <c r="R1688" s="18" t="s">
        <v>778</v>
      </c>
      <c r="S1688" s="18" t="s">
        <v>818</v>
      </c>
      <c r="T1688" s="18" t="s">
        <v>782</v>
      </c>
      <c r="U16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88" s="19">
        <f>IF(AUDITORIA[[#This Row],[CAT]]="",0,1)</f>
        <v>1</v>
      </c>
      <c r="W1688" s="20">
        <v>46198</v>
      </c>
      <c r="X1688" s="21" t="str">
        <f>UPPER(IF(AUDITORIA[[#This Row],[DATA VERIFICAÇÃO]]="","",TEXT(AUDITORIA[[#This Row],[DATA VERIFICAÇÃO]],"mmm")))</f>
        <v>JUN</v>
      </c>
      <c r="Y1688" t="s">
        <v>598</v>
      </c>
      <c r="Z1688" t="s">
        <v>894</v>
      </c>
      <c r="AA1688" t="s">
        <v>895</v>
      </c>
    </row>
    <row r="1689" spans="1:27" ht="14.4" hidden="1" customHeight="1" x14ac:dyDescent="0.3">
      <c r="A1689" s="4" t="s">
        <v>279</v>
      </c>
      <c r="B1689" s="4" t="s">
        <v>17</v>
      </c>
      <c r="C1689" s="16" t="s">
        <v>18</v>
      </c>
      <c r="D1689" s="4">
        <v>11</v>
      </c>
      <c r="E1689" s="4" t="s">
        <v>745</v>
      </c>
      <c r="F1689" t="s">
        <v>407</v>
      </c>
      <c r="G1689" t="s">
        <v>399</v>
      </c>
      <c r="J1689" s="4" t="s">
        <v>88</v>
      </c>
      <c r="K1689" s="4" t="s">
        <v>20</v>
      </c>
      <c r="L1689" s="4" t="s">
        <v>742</v>
      </c>
      <c r="M1689" s="17">
        <v>30</v>
      </c>
      <c r="N1689" s="17">
        <v>836</v>
      </c>
      <c r="O1689" s="18" t="s">
        <v>88</v>
      </c>
      <c r="P1689" s="18">
        <v>836</v>
      </c>
      <c r="Q1689" s="18">
        <v>30</v>
      </c>
      <c r="R1689" s="18" t="s">
        <v>778</v>
      </c>
      <c r="S1689" s="18" t="s">
        <v>825</v>
      </c>
      <c r="T1689" s="18" t="s">
        <v>781</v>
      </c>
      <c r="U16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89" s="19">
        <f>IF(AUDITORIA[[#This Row],[CAT]]="",0,1)</f>
        <v>1</v>
      </c>
      <c r="W1689" s="20">
        <v>46198</v>
      </c>
      <c r="X1689" s="21" t="str">
        <f>UPPER(IF(AUDITORIA[[#This Row],[DATA VERIFICAÇÃO]]="","",TEXT(AUDITORIA[[#This Row],[DATA VERIFICAÇÃO]],"mmm")))</f>
        <v>JUN</v>
      </c>
      <c r="Y1689" t="s">
        <v>598</v>
      </c>
      <c r="Z1689" t="s">
        <v>894</v>
      </c>
      <c r="AA1689" t="s">
        <v>895</v>
      </c>
    </row>
    <row r="1690" spans="1:27" ht="14.4" hidden="1" customHeight="1" x14ac:dyDescent="0.3">
      <c r="A1690" s="4" t="s">
        <v>279</v>
      </c>
      <c r="B1690" s="4" t="s">
        <v>17</v>
      </c>
      <c r="C1690" s="16" t="s">
        <v>18</v>
      </c>
      <c r="D1690" s="4">
        <v>11</v>
      </c>
      <c r="E1690" s="4" t="s">
        <v>745</v>
      </c>
      <c r="F1690" t="s">
        <v>409</v>
      </c>
      <c r="G1690" t="s">
        <v>66</v>
      </c>
      <c r="J1690" s="4" t="s">
        <v>55</v>
      </c>
      <c r="K1690" s="4" t="s">
        <v>20</v>
      </c>
      <c r="L1690" s="4" t="s">
        <v>742</v>
      </c>
      <c r="M1690" s="17">
        <v>30</v>
      </c>
      <c r="N1690" s="17">
        <v>801</v>
      </c>
      <c r="O1690" s="18" t="s">
        <v>55</v>
      </c>
      <c r="P1690" s="18">
        <v>801</v>
      </c>
      <c r="Q1690" s="18">
        <v>30</v>
      </c>
      <c r="R1690" s="18" t="s">
        <v>814</v>
      </c>
      <c r="S1690" s="18" t="s">
        <v>852</v>
      </c>
      <c r="T1690" s="18" t="s">
        <v>782</v>
      </c>
      <c r="U16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90" s="19">
        <f>IF(AUDITORIA[[#This Row],[CAT]]="",0,1)</f>
        <v>1</v>
      </c>
      <c r="W1690" s="20">
        <v>46198</v>
      </c>
      <c r="X1690" s="21" t="str">
        <f>UPPER(IF(AUDITORIA[[#This Row],[DATA VERIFICAÇÃO]]="","",TEXT(AUDITORIA[[#This Row],[DATA VERIFICAÇÃO]],"mmm")))</f>
        <v>JUN</v>
      </c>
      <c r="Y1690" t="s">
        <v>598</v>
      </c>
      <c r="Z1690" t="s">
        <v>894</v>
      </c>
      <c r="AA1690" t="s">
        <v>895</v>
      </c>
    </row>
    <row r="1691" spans="1:27" ht="14.4" hidden="1" customHeight="1" x14ac:dyDescent="0.3">
      <c r="A1691" s="4" t="s">
        <v>279</v>
      </c>
      <c r="B1691" s="4" t="s">
        <v>17</v>
      </c>
      <c r="C1691" s="16" t="s">
        <v>18</v>
      </c>
      <c r="D1691" s="4">
        <v>11</v>
      </c>
      <c r="E1691" s="4" t="s">
        <v>745</v>
      </c>
      <c r="F1691" t="s">
        <v>410</v>
      </c>
      <c r="G1691" t="s">
        <v>66</v>
      </c>
      <c r="J1691" s="4" t="s">
        <v>55</v>
      </c>
      <c r="K1691" s="4" t="s">
        <v>21</v>
      </c>
      <c r="L1691" s="4" t="s">
        <v>742</v>
      </c>
      <c r="M1691" s="17">
        <v>24</v>
      </c>
      <c r="N1691" s="17">
        <v>1022</v>
      </c>
      <c r="O1691" s="18" t="s">
        <v>55</v>
      </c>
      <c r="P1691" s="18">
        <v>1022</v>
      </c>
      <c r="Q1691" s="18">
        <v>24</v>
      </c>
      <c r="R1691" s="18" t="s">
        <v>814</v>
      </c>
      <c r="S1691" s="18" t="s">
        <v>851</v>
      </c>
      <c r="T1691" s="18" t="s">
        <v>794</v>
      </c>
      <c r="U16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91" s="19">
        <f>IF(AUDITORIA[[#This Row],[CAT]]="",0,1)</f>
        <v>1</v>
      </c>
      <c r="W1691" s="20">
        <v>46198</v>
      </c>
      <c r="X1691" s="21" t="str">
        <f>UPPER(IF(AUDITORIA[[#This Row],[DATA VERIFICAÇÃO]]="","",TEXT(AUDITORIA[[#This Row],[DATA VERIFICAÇÃO]],"mmm")))</f>
        <v>JUN</v>
      </c>
      <c r="Y1691" t="s">
        <v>598</v>
      </c>
      <c r="Z1691" t="s">
        <v>894</v>
      </c>
      <c r="AA1691" t="s">
        <v>895</v>
      </c>
    </row>
    <row r="1692" spans="1:27" ht="14.4" hidden="1" customHeight="1" x14ac:dyDescent="0.3">
      <c r="A1692" s="4" t="s">
        <v>279</v>
      </c>
      <c r="B1692" s="4" t="s">
        <v>17</v>
      </c>
      <c r="C1692" s="16" t="s">
        <v>18</v>
      </c>
      <c r="D1692" s="4">
        <v>11</v>
      </c>
      <c r="E1692" s="4" t="s">
        <v>745</v>
      </c>
      <c r="F1692" t="s">
        <v>411</v>
      </c>
      <c r="G1692" t="s">
        <v>66</v>
      </c>
      <c r="J1692" s="4" t="s">
        <v>55</v>
      </c>
      <c r="K1692" s="4" t="s">
        <v>21</v>
      </c>
      <c r="L1692" s="4" t="s">
        <v>742</v>
      </c>
      <c r="M1692" s="17">
        <v>24</v>
      </c>
      <c r="N1692" s="17">
        <v>1028</v>
      </c>
      <c r="O1692" s="18" t="s">
        <v>55</v>
      </c>
      <c r="P1692" s="18">
        <v>1028</v>
      </c>
      <c r="Q1692" s="18">
        <v>24</v>
      </c>
      <c r="R1692" s="18" t="s">
        <v>814</v>
      </c>
      <c r="S1692" s="18" t="s">
        <v>851</v>
      </c>
      <c r="T1692" s="18"/>
      <c r="U16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92" s="19">
        <f>IF(AUDITORIA[[#This Row],[CAT]]="",0,1)</f>
        <v>1</v>
      </c>
      <c r="W1692" s="20">
        <v>46198</v>
      </c>
      <c r="X1692" s="21" t="str">
        <f>UPPER(IF(AUDITORIA[[#This Row],[DATA VERIFICAÇÃO]]="","",TEXT(AUDITORIA[[#This Row],[DATA VERIFICAÇÃO]],"mmm")))</f>
        <v>JUN</v>
      </c>
      <c r="Y1692" t="s">
        <v>598</v>
      </c>
      <c r="Z1692" t="s">
        <v>894</v>
      </c>
      <c r="AA1692" t="s">
        <v>895</v>
      </c>
    </row>
    <row r="1693" spans="1:27" ht="14.4" hidden="1" customHeight="1" x14ac:dyDescent="0.3">
      <c r="A1693" s="4" t="s">
        <v>279</v>
      </c>
      <c r="B1693" s="4" t="s">
        <v>17</v>
      </c>
      <c r="C1693" s="16" t="s">
        <v>18</v>
      </c>
      <c r="D1693" s="4">
        <v>11</v>
      </c>
      <c r="E1693" s="4" t="s">
        <v>745</v>
      </c>
      <c r="F1693" t="s">
        <v>391</v>
      </c>
      <c r="G1693" t="s">
        <v>66</v>
      </c>
      <c r="J1693" s="4" t="s">
        <v>55</v>
      </c>
      <c r="K1693" s="4" t="s">
        <v>21</v>
      </c>
      <c r="L1693" s="4" t="s">
        <v>742</v>
      </c>
      <c r="M1693" s="17">
        <v>24</v>
      </c>
      <c r="N1693" s="17">
        <v>1041</v>
      </c>
      <c r="O1693" s="18" t="s">
        <v>55</v>
      </c>
      <c r="P1693" s="18">
        <v>1041</v>
      </c>
      <c r="Q1693" s="18">
        <v>24</v>
      </c>
      <c r="R1693" s="18" t="s">
        <v>814</v>
      </c>
      <c r="S1693" s="18" t="s">
        <v>851</v>
      </c>
      <c r="T1693" s="18" t="s">
        <v>840</v>
      </c>
      <c r="U16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93" s="19">
        <f>IF(AUDITORIA[[#This Row],[CAT]]="",0,1)</f>
        <v>1</v>
      </c>
      <c r="W1693" s="20">
        <v>46198</v>
      </c>
      <c r="X1693" s="21" t="str">
        <f>UPPER(IF(AUDITORIA[[#This Row],[DATA VERIFICAÇÃO]]="","",TEXT(AUDITORIA[[#This Row],[DATA VERIFICAÇÃO]],"mmm")))</f>
        <v>JUN</v>
      </c>
      <c r="Y1693" t="s">
        <v>598</v>
      </c>
      <c r="Z1693" t="s">
        <v>894</v>
      </c>
      <c r="AA1693" t="s">
        <v>895</v>
      </c>
    </row>
    <row r="1694" spans="1:27" ht="14.4" hidden="1" customHeight="1" x14ac:dyDescent="0.3">
      <c r="A1694" s="4" t="s">
        <v>279</v>
      </c>
      <c r="B1694" s="4" t="s">
        <v>17</v>
      </c>
      <c r="C1694" s="16" t="s">
        <v>18</v>
      </c>
      <c r="D1694" s="4">
        <v>11</v>
      </c>
      <c r="E1694" s="4" t="s">
        <v>745</v>
      </c>
      <c r="F1694" t="s">
        <v>392</v>
      </c>
      <c r="G1694" t="s">
        <v>290</v>
      </c>
      <c r="J1694" s="4" t="s">
        <v>19</v>
      </c>
      <c r="K1694" s="4" t="s">
        <v>20</v>
      </c>
      <c r="L1694" s="4" t="s">
        <v>742</v>
      </c>
      <c r="M1694" s="17">
        <v>30</v>
      </c>
      <c r="N1694" s="17">
        <v>826</v>
      </c>
      <c r="O1694" s="18" t="s">
        <v>19</v>
      </c>
      <c r="P1694" s="18">
        <v>826</v>
      </c>
      <c r="Q1694" s="18">
        <v>30</v>
      </c>
      <c r="R1694" s="18" t="s">
        <v>778</v>
      </c>
      <c r="S1694" s="18" t="s">
        <v>891</v>
      </c>
      <c r="T1694" s="18" t="s">
        <v>840</v>
      </c>
      <c r="U16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94" s="19">
        <f>IF(AUDITORIA[[#This Row],[CAT]]="",0,1)</f>
        <v>1</v>
      </c>
      <c r="W1694" s="20">
        <v>46198</v>
      </c>
      <c r="X1694" s="21" t="str">
        <f>UPPER(IF(AUDITORIA[[#This Row],[DATA VERIFICAÇÃO]]="","",TEXT(AUDITORIA[[#This Row],[DATA VERIFICAÇÃO]],"mmm")))</f>
        <v>JUN</v>
      </c>
      <c r="Y1694" t="s">
        <v>598</v>
      </c>
      <c r="Z1694" t="s">
        <v>894</v>
      </c>
      <c r="AA1694" t="s">
        <v>895</v>
      </c>
    </row>
    <row r="1695" spans="1:27" ht="14.4" hidden="1" customHeight="1" x14ac:dyDescent="0.3">
      <c r="A1695" s="4" t="s">
        <v>279</v>
      </c>
      <c r="B1695" s="4" t="s">
        <v>17</v>
      </c>
      <c r="C1695" s="16" t="s">
        <v>18</v>
      </c>
      <c r="D1695" s="4">
        <v>11</v>
      </c>
      <c r="E1695" s="4" t="s">
        <v>745</v>
      </c>
      <c r="F1695" t="s">
        <v>393</v>
      </c>
      <c r="G1695" t="s">
        <v>290</v>
      </c>
      <c r="J1695" s="4" t="s">
        <v>19</v>
      </c>
      <c r="K1695" s="4" t="s">
        <v>20</v>
      </c>
      <c r="L1695" s="4" t="s">
        <v>742</v>
      </c>
      <c r="M1695" s="17">
        <v>30</v>
      </c>
      <c r="N1695" s="17">
        <v>838</v>
      </c>
      <c r="O1695" s="18" t="s">
        <v>19</v>
      </c>
      <c r="P1695" s="18">
        <v>838</v>
      </c>
      <c r="Q1695" s="18">
        <v>30</v>
      </c>
      <c r="R1695" s="18" t="s">
        <v>778</v>
      </c>
      <c r="S1695" s="18" t="s">
        <v>891</v>
      </c>
      <c r="T1695" s="18" t="s">
        <v>843</v>
      </c>
      <c r="U16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95" s="19">
        <f>IF(AUDITORIA[[#This Row],[CAT]]="",0,1)</f>
        <v>1</v>
      </c>
      <c r="W1695" s="20">
        <v>46198</v>
      </c>
      <c r="X1695" s="21" t="str">
        <f>UPPER(IF(AUDITORIA[[#This Row],[DATA VERIFICAÇÃO]]="","",TEXT(AUDITORIA[[#This Row],[DATA VERIFICAÇÃO]],"mmm")))</f>
        <v>JUN</v>
      </c>
      <c r="Y1695" t="s">
        <v>598</v>
      </c>
      <c r="Z1695" t="s">
        <v>894</v>
      </c>
      <c r="AA1695" t="s">
        <v>895</v>
      </c>
    </row>
    <row r="1696" spans="1:27" ht="14.4" hidden="1" customHeight="1" x14ac:dyDescent="0.3">
      <c r="A1696" s="4" t="s">
        <v>279</v>
      </c>
      <c r="B1696" s="4" t="s">
        <v>17</v>
      </c>
      <c r="C1696" s="16" t="s">
        <v>18</v>
      </c>
      <c r="D1696" s="4">
        <v>11</v>
      </c>
      <c r="E1696" s="4" t="s">
        <v>745</v>
      </c>
      <c r="F1696" t="s">
        <v>394</v>
      </c>
      <c r="G1696" t="s">
        <v>66</v>
      </c>
      <c r="J1696" s="4" t="s">
        <v>55</v>
      </c>
      <c r="K1696" s="4" t="s">
        <v>20</v>
      </c>
      <c r="L1696" s="4" t="s">
        <v>742</v>
      </c>
      <c r="M1696" s="17">
        <v>30</v>
      </c>
      <c r="N1696" s="17">
        <v>811</v>
      </c>
      <c r="O1696" s="18" t="s">
        <v>55</v>
      </c>
      <c r="P1696" s="18">
        <v>811</v>
      </c>
      <c r="Q1696" s="18">
        <v>30</v>
      </c>
      <c r="R1696" s="18" t="s">
        <v>814</v>
      </c>
      <c r="S1696" s="18" t="s">
        <v>853</v>
      </c>
      <c r="T1696" s="18" t="s">
        <v>780</v>
      </c>
      <c r="U16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96" s="19">
        <f>IF(AUDITORIA[[#This Row],[CAT]]="",0,1)</f>
        <v>1</v>
      </c>
      <c r="W1696" s="20">
        <v>46198</v>
      </c>
      <c r="X1696" s="21" t="str">
        <f>UPPER(IF(AUDITORIA[[#This Row],[DATA VERIFICAÇÃO]]="","",TEXT(AUDITORIA[[#This Row],[DATA VERIFICAÇÃO]],"mmm")))</f>
        <v>JUN</v>
      </c>
      <c r="Y1696" t="s">
        <v>598</v>
      </c>
      <c r="Z1696" t="s">
        <v>894</v>
      </c>
      <c r="AA1696" t="s">
        <v>895</v>
      </c>
    </row>
    <row r="1697" spans="1:27" ht="14.4" hidden="1" customHeight="1" x14ac:dyDescent="0.3">
      <c r="A1697" s="4" t="s">
        <v>279</v>
      </c>
      <c r="B1697" s="4" t="s">
        <v>17</v>
      </c>
      <c r="C1697" s="16" t="s">
        <v>18</v>
      </c>
      <c r="D1697" s="4">
        <v>11</v>
      </c>
      <c r="E1697" s="4" t="s">
        <v>745</v>
      </c>
      <c r="F1697" t="s">
        <v>395</v>
      </c>
      <c r="G1697" t="s">
        <v>66</v>
      </c>
      <c r="J1697" s="4" t="s">
        <v>55</v>
      </c>
      <c r="K1697" s="4" t="s">
        <v>21</v>
      </c>
      <c r="L1697" s="4" t="s">
        <v>742</v>
      </c>
      <c r="M1697" s="17">
        <v>24</v>
      </c>
      <c r="N1697" s="17">
        <v>1038</v>
      </c>
      <c r="O1697" s="18" t="s">
        <v>55</v>
      </c>
      <c r="P1697" s="18">
        <v>1038</v>
      </c>
      <c r="Q1697" s="18">
        <v>24</v>
      </c>
      <c r="R1697" s="18" t="s">
        <v>814</v>
      </c>
      <c r="S1697" s="18" t="s">
        <v>848</v>
      </c>
      <c r="T1697" s="18" t="s">
        <v>840</v>
      </c>
      <c r="U16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97" s="19">
        <f>IF(AUDITORIA[[#This Row],[CAT]]="",0,1)</f>
        <v>1</v>
      </c>
      <c r="W1697" s="20">
        <v>46198</v>
      </c>
      <c r="X1697" s="21" t="str">
        <f>UPPER(IF(AUDITORIA[[#This Row],[DATA VERIFICAÇÃO]]="","",TEXT(AUDITORIA[[#This Row],[DATA VERIFICAÇÃO]],"mmm")))</f>
        <v>JUN</v>
      </c>
      <c r="Y1697" t="s">
        <v>598</v>
      </c>
      <c r="Z1697" t="s">
        <v>894</v>
      </c>
      <c r="AA1697" t="s">
        <v>895</v>
      </c>
    </row>
    <row r="1698" spans="1:27" ht="14.4" hidden="1" customHeight="1" x14ac:dyDescent="0.3">
      <c r="A1698" s="4" t="s">
        <v>279</v>
      </c>
      <c r="B1698" s="4" t="s">
        <v>17</v>
      </c>
      <c r="C1698" s="16" t="s">
        <v>18</v>
      </c>
      <c r="D1698" s="4">
        <v>11</v>
      </c>
      <c r="E1698" s="4" t="s">
        <v>745</v>
      </c>
      <c r="F1698" t="s">
        <v>396</v>
      </c>
      <c r="G1698" t="s">
        <v>66</v>
      </c>
      <c r="J1698" s="4" t="s">
        <v>55</v>
      </c>
      <c r="K1698" s="4" t="s">
        <v>20</v>
      </c>
      <c r="L1698" s="4" t="s">
        <v>742</v>
      </c>
      <c r="M1698" s="17">
        <v>30</v>
      </c>
      <c r="N1698" s="17">
        <v>810</v>
      </c>
      <c r="O1698" s="18" t="s">
        <v>55</v>
      </c>
      <c r="P1698" s="18">
        <v>810</v>
      </c>
      <c r="Q1698" s="18">
        <v>30</v>
      </c>
      <c r="R1698" s="18" t="s">
        <v>814</v>
      </c>
      <c r="S1698" s="18" t="s">
        <v>852</v>
      </c>
      <c r="T1698" s="18" t="s">
        <v>794</v>
      </c>
      <c r="U16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98" s="19">
        <f>IF(AUDITORIA[[#This Row],[CAT]]="",0,1)</f>
        <v>1</v>
      </c>
      <c r="W1698" s="20">
        <v>46198</v>
      </c>
      <c r="X1698" s="21" t="str">
        <f>UPPER(IF(AUDITORIA[[#This Row],[DATA VERIFICAÇÃO]]="","",TEXT(AUDITORIA[[#This Row],[DATA VERIFICAÇÃO]],"mmm")))</f>
        <v>JUN</v>
      </c>
      <c r="Y1698" t="s">
        <v>598</v>
      </c>
      <c r="Z1698" t="s">
        <v>894</v>
      </c>
      <c r="AA1698" t="s">
        <v>895</v>
      </c>
    </row>
    <row r="1699" spans="1:27" ht="14.4" hidden="1" customHeight="1" x14ac:dyDescent="0.3">
      <c r="A1699" s="4" t="s">
        <v>279</v>
      </c>
      <c r="B1699" s="4" t="s">
        <v>17</v>
      </c>
      <c r="C1699" s="16" t="s">
        <v>18</v>
      </c>
      <c r="D1699" s="4">
        <v>11</v>
      </c>
      <c r="E1699" s="4" t="s">
        <v>745</v>
      </c>
      <c r="F1699" t="s">
        <v>387</v>
      </c>
      <c r="G1699" t="s">
        <v>66</v>
      </c>
      <c r="J1699" s="4" t="s">
        <v>55</v>
      </c>
      <c r="K1699" s="4" t="s">
        <v>21</v>
      </c>
      <c r="L1699" s="4" t="s">
        <v>742</v>
      </c>
      <c r="M1699" s="17">
        <v>24</v>
      </c>
      <c r="N1699" s="17">
        <v>1053</v>
      </c>
      <c r="O1699" s="18" t="s">
        <v>55</v>
      </c>
      <c r="P1699" s="18">
        <v>1053</v>
      </c>
      <c r="Q1699" s="18">
        <v>24</v>
      </c>
      <c r="R1699" s="18" t="s">
        <v>814</v>
      </c>
      <c r="S1699" s="18" t="s">
        <v>854</v>
      </c>
      <c r="T1699" s="18" t="s">
        <v>780</v>
      </c>
      <c r="U16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699" s="19">
        <f>IF(AUDITORIA[[#This Row],[CAT]]="",0,1)</f>
        <v>1</v>
      </c>
      <c r="W1699" s="20">
        <v>46198</v>
      </c>
      <c r="X1699" s="21" t="str">
        <f>UPPER(IF(AUDITORIA[[#This Row],[DATA VERIFICAÇÃO]]="","",TEXT(AUDITORIA[[#This Row],[DATA VERIFICAÇÃO]],"mmm")))</f>
        <v>JUN</v>
      </c>
      <c r="Y1699" t="s">
        <v>598</v>
      </c>
      <c r="Z1699" t="s">
        <v>894</v>
      </c>
      <c r="AA1699" t="s">
        <v>895</v>
      </c>
    </row>
    <row r="1700" spans="1:27" ht="14.4" hidden="1" customHeight="1" x14ac:dyDescent="0.3">
      <c r="A1700" s="4" t="s">
        <v>279</v>
      </c>
      <c r="B1700" s="4" t="s">
        <v>17</v>
      </c>
      <c r="C1700" s="16" t="s">
        <v>18</v>
      </c>
      <c r="D1700" s="4">
        <v>11</v>
      </c>
      <c r="E1700" s="4" t="s">
        <v>745</v>
      </c>
      <c r="F1700" t="s">
        <v>388</v>
      </c>
      <c r="G1700" t="s">
        <v>290</v>
      </c>
      <c r="J1700" s="4" t="s">
        <v>19</v>
      </c>
      <c r="K1700" s="4" t="s">
        <v>20</v>
      </c>
      <c r="L1700" s="4" t="s">
        <v>742</v>
      </c>
      <c r="M1700" s="17">
        <v>30</v>
      </c>
      <c r="N1700" s="17">
        <v>822</v>
      </c>
      <c r="O1700" s="18" t="s">
        <v>19</v>
      </c>
      <c r="P1700" s="18">
        <v>822</v>
      </c>
      <c r="Q1700" s="18">
        <v>30</v>
      </c>
      <c r="R1700" s="18" t="s">
        <v>778</v>
      </c>
      <c r="S1700" s="18" t="s">
        <v>891</v>
      </c>
      <c r="T1700" s="18" t="s">
        <v>794</v>
      </c>
      <c r="U17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00" s="19">
        <f>IF(AUDITORIA[[#This Row],[CAT]]="",0,1)</f>
        <v>1</v>
      </c>
      <c r="W1700" s="20">
        <v>46198</v>
      </c>
      <c r="X1700" s="21" t="str">
        <f>UPPER(IF(AUDITORIA[[#This Row],[DATA VERIFICAÇÃO]]="","",TEXT(AUDITORIA[[#This Row],[DATA VERIFICAÇÃO]],"mmm")))</f>
        <v>JUN</v>
      </c>
      <c r="Y1700" t="s">
        <v>598</v>
      </c>
      <c r="Z1700" t="s">
        <v>894</v>
      </c>
      <c r="AA1700" t="s">
        <v>895</v>
      </c>
    </row>
    <row r="1701" spans="1:27" ht="14.4" hidden="1" customHeight="1" x14ac:dyDescent="0.3">
      <c r="A1701" s="4" t="s">
        <v>279</v>
      </c>
      <c r="B1701" s="4" t="s">
        <v>17</v>
      </c>
      <c r="C1701" s="16" t="s">
        <v>18</v>
      </c>
      <c r="D1701" s="4">
        <v>11</v>
      </c>
      <c r="E1701" s="4" t="s">
        <v>745</v>
      </c>
      <c r="F1701" t="s">
        <v>389</v>
      </c>
      <c r="G1701" t="s">
        <v>290</v>
      </c>
      <c r="J1701" s="4" t="s">
        <v>19</v>
      </c>
      <c r="K1701" s="4" t="s">
        <v>21</v>
      </c>
      <c r="L1701" s="4" t="s">
        <v>742</v>
      </c>
      <c r="M1701" s="17">
        <v>24</v>
      </c>
      <c r="N1701" s="17">
        <v>1010</v>
      </c>
      <c r="O1701" s="18" t="s">
        <v>19</v>
      </c>
      <c r="P1701" s="18">
        <v>1010</v>
      </c>
      <c r="Q1701" s="18">
        <v>24</v>
      </c>
      <c r="R1701" s="18" t="s">
        <v>778</v>
      </c>
      <c r="S1701" s="18" t="s">
        <v>890</v>
      </c>
      <c r="T1701" s="18" t="s">
        <v>794</v>
      </c>
      <c r="U17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01" s="19">
        <f>IF(AUDITORIA[[#This Row],[CAT]]="",0,1)</f>
        <v>1</v>
      </c>
      <c r="W1701" s="20">
        <v>46198</v>
      </c>
      <c r="X1701" s="21" t="str">
        <f>UPPER(IF(AUDITORIA[[#This Row],[DATA VERIFICAÇÃO]]="","",TEXT(AUDITORIA[[#This Row],[DATA VERIFICAÇÃO]],"mmm")))</f>
        <v>JUN</v>
      </c>
      <c r="Y1701" t="s">
        <v>598</v>
      </c>
      <c r="Z1701" t="s">
        <v>894</v>
      </c>
      <c r="AA1701" t="s">
        <v>895</v>
      </c>
    </row>
    <row r="1702" spans="1:27" ht="14.4" hidden="1" customHeight="1" x14ac:dyDescent="0.3">
      <c r="A1702" s="4" t="s">
        <v>279</v>
      </c>
      <c r="B1702" s="4" t="s">
        <v>17</v>
      </c>
      <c r="C1702" s="16" t="s">
        <v>18</v>
      </c>
      <c r="D1702" s="4">
        <v>11</v>
      </c>
      <c r="E1702" s="4" t="s">
        <v>745</v>
      </c>
      <c r="F1702" t="s">
        <v>390</v>
      </c>
      <c r="G1702" t="s">
        <v>66</v>
      </c>
      <c r="J1702" s="4" t="s">
        <v>55</v>
      </c>
      <c r="K1702" s="4" t="s">
        <v>20</v>
      </c>
      <c r="L1702" s="4" t="s">
        <v>742</v>
      </c>
      <c r="M1702" s="17">
        <v>30</v>
      </c>
      <c r="N1702" s="17">
        <v>805</v>
      </c>
      <c r="O1702" s="18" t="s">
        <v>55</v>
      </c>
      <c r="P1702" s="18">
        <v>805</v>
      </c>
      <c r="Q1702" s="18">
        <v>30</v>
      </c>
      <c r="R1702" s="18" t="s">
        <v>814</v>
      </c>
      <c r="S1702" s="18" t="s">
        <v>847</v>
      </c>
      <c r="T1702" s="18" t="s">
        <v>840</v>
      </c>
      <c r="U17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02" s="19">
        <f>IF(AUDITORIA[[#This Row],[CAT]]="",0,1)</f>
        <v>1</v>
      </c>
      <c r="W1702" s="20">
        <v>46198</v>
      </c>
      <c r="X1702" s="21" t="str">
        <f>UPPER(IF(AUDITORIA[[#This Row],[DATA VERIFICAÇÃO]]="","",TEXT(AUDITORIA[[#This Row],[DATA VERIFICAÇÃO]],"mmm")))</f>
        <v>JUN</v>
      </c>
      <c r="Y1702" t="s">
        <v>598</v>
      </c>
      <c r="Z1702" t="s">
        <v>894</v>
      </c>
      <c r="AA1702" t="s">
        <v>895</v>
      </c>
    </row>
    <row r="1703" spans="1:27" ht="14.4" hidden="1" customHeight="1" x14ac:dyDescent="0.3">
      <c r="A1703" s="4" t="s">
        <v>279</v>
      </c>
      <c r="B1703" s="4" t="s">
        <v>17</v>
      </c>
      <c r="C1703" s="16" t="s">
        <v>18</v>
      </c>
      <c r="D1703" s="4">
        <v>11</v>
      </c>
      <c r="E1703" s="4" t="s">
        <v>745</v>
      </c>
      <c r="F1703" t="s">
        <v>382</v>
      </c>
      <c r="G1703" t="s">
        <v>66</v>
      </c>
      <c r="J1703" s="4" t="s">
        <v>55</v>
      </c>
      <c r="K1703" s="4" t="s">
        <v>21</v>
      </c>
      <c r="L1703" s="4" t="s">
        <v>742</v>
      </c>
      <c r="M1703" s="17">
        <v>24</v>
      </c>
      <c r="N1703" s="17">
        <v>1015</v>
      </c>
      <c r="O1703" s="18" t="s">
        <v>55</v>
      </c>
      <c r="P1703" s="18">
        <v>1015</v>
      </c>
      <c r="Q1703" s="18">
        <v>24</v>
      </c>
      <c r="R1703" s="18" t="s">
        <v>814</v>
      </c>
      <c r="S1703" s="18" t="s">
        <v>854</v>
      </c>
      <c r="T1703" s="18" t="s">
        <v>781</v>
      </c>
      <c r="U17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03" s="19">
        <f>IF(AUDITORIA[[#This Row],[CAT]]="",0,1)</f>
        <v>1</v>
      </c>
      <c r="W1703" s="20">
        <v>46198</v>
      </c>
      <c r="X1703" s="21" t="str">
        <f>UPPER(IF(AUDITORIA[[#This Row],[DATA VERIFICAÇÃO]]="","",TEXT(AUDITORIA[[#This Row],[DATA VERIFICAÇÃO]],"mmm")))</f>
        <v>JUN</v>
      </c>
      <c r="Y1703" t="s">
        <v>598</v>
      </c>
      <c r="Z1703" t="s">
        <v>894</v>
      </c>
      <c r="AA1703" t="s">
        <v>895</v>
      </c>
    </row>
    <row r="1704" spans="1:27" ht="14.4" hidden="1" customHeight="1" x14ac:dyDescent="0.3">
      <c r="A1704" s="4" t="s">
        <v>279</v>
      </c>
      <c r="B1704" s="4" t="s">
        <v>17</v>
      </c>
      <c r="C1704" s="16" t="s">
        <v>18</v>
      </c>
      <c r="D1704" s="4">
        <v>11</v>
      </c>
      <c r="E1704" s="4" t="s">
        <v>745</v>
      </c>
      <c r="F1704" t="s">
        <v>383</v>
      </c>
      <c r="G1704" t="s">
        <v>66</v>
      </c>
      <c r="J1704" s="4" t="s">
        <v>55</v>
      </c>
      <c r="K1704" s="4" t="s">
        <v>20</v>
      </c>
      <c r="L1704" s="4" t="s">
        <v>742</v>
      </c>
      <c r="M1704" s="17">
        <v>30</v>
      </c>
      <c r="N1704" s="17">
        <v>791</v>
      </c>
      <c r="O1704" s="18" t="s">
        <v>55</v>
      </c>
      <c r="P1704" s="18">
        <v>791</v>
      </c>
      <c r="Q1704" s="18">
        <v>30</v>
      </c>
      <c r="R1704" s="18" t="s">
        <v>814</v>
      </c>
      <c r="S1704" s="18" t="s">
        <v>853</v>
      </c>
      <c r="T1704" s="18" t="s">
        <v>782</v>
      </c>
      <c r="U17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04" s="19">
        <f>IF(AUDITORIA[[#This Row],[CAT]]="",0,1)</f>
        <v>1</v>
      </c>
      <c r="W1704" s="20">
        <v>46198</v>
      </c>
      <c r="X1704" s="21" t="str">
        <f>UPPER(IF(AUDITORIA[[#This Row],[DATA VERIFICAÇÃO]]="","",TEXT(AUDITORIA[[#This Row],[DATA VERIFICAÇÃO]],"mmm")))</f>
        <v>JUN</v>
      </c>
      <c r="Y1704" t="s">
        <v>598</v>
      </c>
      <c r="Z1704" t="s">
        <v>894</v>
      </c>
      <c r="AA1704" t="s">
        <v>895</v>
      </c>
    </row>
    <row r="1705" spans="1:27" ht="14.4" hidden="1" customHeight="1" x14ac:dyDescent="0.3">
      <c r="A1705" s="4" t="s">
        <v>279</v>
      </c>
      <c r="B1705" s="4" t="s">
        <v>17</v>
      </c>
      <c r="C1705" s="16" t="s">
        <v>18</v>
      </c>
      <c r="D1705" s="4">
        <v>11</v>
      </c>
      <c r="E1705" s="4" t="s">
        <v>745</v>
      </c>
      <c r="F1705" t="s">
        <v>384</v>
      </c>
      <c r="G1705" t="s">
        <v>290</v>
      </c>
      <c r="J1705" s="4" t="s">
        <v>19</v>
      </c>
      <c r="K1705" s="4" t="s">
        <v>20</v>
      </c>
      <c r="L1705" s="4" t="s">
        <v>742</v>
      </c>
      <c r="M1705" s="17">
        <v>30</v>
      </c>
      <c r="N1705" s="17">
        <v>830</v>
      </c>
      <c r="O1705" s="18" t="s">
        <v>19</v>
      </c>
      <c r="P1705" s="18">
        <v>830</v>
      </c>
      <c r="Q1705" s="18">
        <v>30</v>
      </c>
      <c r="R1705" s="18" t="s">
        <v>778</v>
      </c>
      <c r="S1705" s="18" t="s">
        <v>891</v>
      </c>
      <c r="T1705" s="18" t="s">
        <v>781</v>
      </c>
      <c r="U17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05" s="19">
        <f>IF(AUDITORIA[[#This Row],[CAT]]="",0,1)</f>
        <v>1</v>
      </c>
      <c r="W1705" s="20">
        <v>46198</v>
      </c>
      <c r="X1705" s="21" t="str">
        <f>UPPER(IF(AUDITORIA[[#This Row],[DATA VERIFICAÇÃO]]="","",TEXT(AUDITORIA[[#This Row],[DATA VERIFICAÇÃO]],"mmm")))</f>
        <v>JUN</v>
      </c>
      <c r="Y1705" t="s">
        <v>598</v>
      </c>
      <c r="Z1705" t="s">
        <v>894</v>
      </c>
      <c r="AA1705" t="s">
        <v>895</v>
      </c>
    </row>
    <row r="1706" spans="1:27" ht="14.4" hidden="1" customHeight="1" x14ac:dyDescent="0.3">
      <c r="A1706" s="4" t="s">
        <v>279</v>
      </c>
      <c r="B1706" s="4" t="s">
        <v>17</v>
      </c>
      <c r="C1706" s="16" t="s">
        <v>18</v>
      </c>
      <c r="D1706" s="4">
        <v>11</v>
      </c>
      <c r="E1706" s="4" t="s">
        <v>745</v>
      </c>
      <c r="F1706" t="s">
        <v>385</v>
      </c>
      <c r="G1706" t="s">
        <v>66</v>
      </c>
      <c r="J1706" s="4" t="s">
        <v>55</v>
      </c>
      <c r="K1706" s="4" t="s">
        <v>21</v>
      </c>
      <c r="L1706" s="4" t="s">
        <v>742</v>
      </c>
      <c r="M1706" s="17">
        <v>24</v>
      </c>
      <c r="N1706" s="17">
        <v>1038</v>
      </c>
      <c r="O1706" s="18" t="s">
        <v>55</v>
      </c>
      <c r="P1706" s="18">
        <v>1038</v>
      </c>
      <c r="Q1706" s="18">
        <v>24</v>
      </c>
      <c r="R1706" s="18" t="s">
        <v>814</v>
      </c>
      <c r="S1706" s="18" t="s">
        <v>854</v>
      </c>
      <c r="T1706" s="18" t="s">
        <v>794</v>
      </c>
      <c r="U17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06" s="19">
        <f>IF(AUDITORIA[[#This Row],[CAT]]="",0,1)</f>
        <v>1</v>
      </c>
      <c r="W1706" s="20">
        <v>46198</v>
      </c>
      <c r="X1706" s="21" t="str">
        <f>UPPER(IF(AUDITORIA[[#This Row],[DATA VERIFICAÇÃO]]="","",TEXT(AUDITORIA[[#This Row],[DATA VERIFICAÇÃO]],"mmm")))</f>
        <v>JUN</v>
      </c>
      <c r="Y1706" t="s">
        <v>598</v>
      </c>
      <c r="Z1706" t="s">
        <v>894</v>
      </c>
      <c r="AA1706" t="s">
        <v>895</v>
      </c>
    </row>
    <row r="1707" spans="1:27" ht="14.4" hidden="1" customHeight="1" x14ac:dyDescent="0.3">
      <c r="A1707" s="4" t="s">
        <v>279</v>
      </c>
      <c r="B1707" s="4" t="s">
        <v>17</v>
      </c>
      <c r="C1707" s="16" t="s">
        <v>18</v>
      </c>
      <c r="D1707" s="4">
        <v>11</v>
      </c>
      <c r="E1707" s="4" t="s">
        <v>745</v>
      </c>
      <c r="F1707" t="s">
        <v>386</v>
      </c>
      <c r="G1707" t="s">
        <v>66</v>
      </c>
      <c r="J1707" s="4" t="s">
        <v>55</v>
      </c>
      <c r="K1707" s="4" t="s">
        <v>20</v>
      </c>
      <c r="L1707" s="4" t="s">
        <v>742</v>
      </c>
      <c r="M1707" s="17">
        <v>30</v>
      </c>
      <c r="N1707" s="17">
        <v>791</v>
      </c>
      <c r="O1707" s="18" t="s">
        <v>55</v>
      </c>
      <c r="P1707" s="18">
        <v>791</v>
      </c>
      <c r="Q1707" s="18">
        <v>30</v>
      </c>
      <c r="R1707" s="18" t="s">
        <v>814</v>
      </c>
      <c r="S1707" s="18" t="s">
        <v>853</v>
      </c>
      <c r="T1707" s="18" t="s">
        <v>782</v>
      </c>
      <c r="U17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07" s="19">
        <f>IF(AUDITORIA[[#This Row],[CAT]]="",0,1)</f>
        <v>1</v>
      </c>
      <c r="W1707" s="20">
        <v>46198</v>
      </c>
      <c r="X1707" s="21" t="str">
        <f>UPPER(IF(AUDITORIA[[#This Row],[DATA VERIFICAÇÃO]]="","",TEXT(AUDITORIA[[#This Row],[DATA VERIFICAÇÃO]],"mmm")))</f>
        <v>JUN</v>
      </c>
      <c r="Y1707" t="s">
        <v>598</v>
      </c>
      <c r="Z1707" t="s">
        <v>894</v>
      </c>
      <c r="AA1707" t="s">
        <v>895</v>
      </c>
    </row>
    <row r="1708" spans="1:27" ht="14.4" hidden="1" customHeight="1" x14ac:dyDescent="0.3">
      <c r="A1708" s="4" t="s">
        <v>279</v>
      </c>
      <c r="B1708" s="4" t="s">
        <v>17</v>
      </c>
      <c r="C1708" s="16" t="s">
        <v>18</v>
      </c>
      <c r="D1708" s="4">
        <v>11</v>
      </c>
      <c r="E1708" s="4" t="s">
        <v>745</v>
      </c>
      <c r="F1708" t="s">
        <v>378</v>
      </c>
      <c r="G1708" t="s">
        <v>290</v>
      </c>
      <c r="J1708" s="4" t="s">
        <v>19</v>
      </c>
      <c r="K1708" s="4" t="s">
        <v>20</v>
      </c>
      <c r="L1708" s="4" t="s">
        <v>742</v>
      </c>
      <c r="M1708" s="17">
        <v>30</v>
      </c>
      <c r="N1708" s="17">
        <v>794</v>
      </c>
      <c r="O1708" s="18" t="s">
        <v>19</v>
      </c>
      <c r="P1708" s="18">
        <v>794</v>
      </c>
      <c r="Q1708" s="18">
        <v>30</v>
      </c>
      <c r="R1708" s="18" t="s">
        <v>778</v>
      </c>
      <c r="S1708" s="18" t="s">
        <v>891</v>
      </c>
      <c r="T1708" s="18" t="s">
        <v>782</v>
      </c>
      <c r="U17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08" s="19">
        <f>IF(AUDITORIA[[#This Row],[CAT]]="",0,1)</f>
        <v>1</v>
      </c>
      <c r="W1708" s="20">
        <v>46198</v>
      </c>
      <c r="X1708" s="21" t="str">
        <f>UPPER(IF(AUDITORIA[[#This Row],[DATA VERIFICAÇÃO]]="","",TEXT(AUDITORIA[[#This Row],[DATA VERIFICAÇÃO]],"mmm")))</f>
        <v>JUN</v>
      </c>
      <c r="Y1708" t="s">
        <v>598</v>
      </c>
      <c r="Z1708" t="s">
        <v>894</v>
      </c>
      <c r="AA1708" t="s">
        <v>895</v>
      </c>
    </row>
    <row r="1709" spans="1:27" ht="14.4" hidden="1" customHeight="1" x14ac:dyDescent="0.3">
      <c r="A1709" s="4" t="s">
        <v>279</v>
      </c>
      <c r="B1709" s="4" t="s">
        <v>17</v>
      </c>
      <c r="C1709" s="16" t="s">
        <v>18</v>
      </c>
      <c r="D1709" s="4">
        <v>11</v>
      </c>
      <c r="E1709" s="4" t="s">
        <v>745</v>
      </c>
      <c r="F1709" t="s">
        <v>380</v>
      </c>
      <c r="G1709" t="s">
        <v>66</v>
      </c>
      <c r="J1709" s="4" t="s">
        <v>55</v>
      </c>
      <c r="K1709" s="4" t="s">
        <v>21</v>
      </c>
      <c r="L1709" s="4" t="s">
        <v>742</v>
      </c>
      <c r="M1709" s="17">
        <v>24</v>
      </c>
      <c r="N1709" s="17">
        <v>1045</v>
      </c>
      <c r="O1709" s="18" t="s">
        <v>55</v>
      </c>
      <c r="P1709" s="18">
        <v>1045</v>
      </c>
      <c r="Q1709" s="18">
        <v>24</v>
      </c>
      <c r="R1709" s="18" t="s">
        <v>814</v>
      </c>
      <c r="S1709" s="18" t="s">
        <v>854</v>
      </c>
      <c r="T1709" s="18" t="s">
        <v>782</v>
      </c>
      <c r="U17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09" s="19">
        <f>IF(AUDITORIA[[#This Row],[CAT]]="",0,1)</f>
        <v>1</v>
      </c>
      <c r="W1709" s="20">
        <v>46198</v>
      </c>
      <c r="X1709" s="21" t="str">
        <f>UPPER(IF(AUDITORIA[[#This Row],[DATA VERIFICAÇÃO]]="","",TEXT(AUDITORIA[[#This Row],[DATA VERIFICAÇÃO]],"mmm")))</f>
        <v>JUN</v>
      </c>
      <c r="Y1709" t="s">
        <v>598</v>
      </c>
      <c r="Z1709" t="s">
        <v>894</v>
      </c>
      <c r="AA1709" t="s">
        <v>895</v>
      </c>
    </row>
    <row r="1710" spans="1:27" ht="14.4" hidden="1" customHeight="1" x14ac:dyDescent="0.3">
      <c r="A1710" s="4" t="s">
        <v>279</v>
      </c>
      <c r="B1710" s="4" t="s">
        <v>17</v>
      </c>
      <c r="C1710" s="16" t="s">
        <v>18</v>
      </c>
      <c r="D1710" s="4">
        <v>11</v>
      </c>
      <c r="E1710" s="4" t="s">
        <v>745</v>
      </c>
      <c r="F1710" t="s">
        <v>381</v>
      </c>
      <c r="G1710" t="s">
        <v>66</v>
      </c>
      <c r="J1710" s="4" t="s">
        <v>55</v>
      </c>
      <c r="K1710" s="4" t="s">
        <v>20</v>
      </c>
      <c r="L1710" s="4" t="s">
        <v>742</v>
      </c>
      <c r="M1710" s="17">
        <v>30</v>
      </c>
      <c r="N1710" s="17">
        <v>814</v>
      </c>
      <c r="O1710" s="18" t="s">
        <v>55</v>
      </c>
      <c r="P1710" s="18">
        <v>814</v>
      </c>
      <c r="Q1710" s="18">
        <v>30</v>
      </c>
      <c r="R1710" s="18" t="s">
        <v>814</v>
      </c>
      <c r="S1710" s="18" t="s">
        <v>853</v>
      </c>
      <c r="T1710" s="18" t="s">
        <v>794</v>
      </c>
      <c r="U17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10" s="19">
        <f>IF(AUDITORIA[[#This Row],[CAT]]="",0,1)</f>
        <v>1</v>
      </c>
      <c r="W1710" s="20">
        <v>46198</v>
      </c>
      <c r="X1710" s="21" t="str">
        <f>UPPER(IF(AUDITORIA[[#This Row],[DATA VERIFICAÇÃO]]="","",TEXT(AUDITORIA[[#This Row],[DATA VERIFICAÇÃO]],"mmm")))</f>
        <v>JUN</v>
      </c>
      <c r="Y1710" t="s">
        <v>598</v>
      </c>
      <c r="Z1710" t="s">
        <v>894</v>
      </c>
      <c r="AA1710" t="s">
        <v>895</v>
      </c>
    </row>
    <row r="1711" spans="1:27" ht="14.4" hidden="1" customHeight="1" x14ac:dyDescent="0.3">
      <c r="A1711" s="4" t="s">
        <v>279</v>
      </c>
      <c r="B1711" s="4" t="s">
        <v>17</v>
      </c>
      <c r="C1711" s="16" t="s">
        <v>18</v>
      </c>
      <c r="D1711" s="4">
        <v>11</v>
      </c>
      <c r="E1711" s="4" t="s">
        <v>745</v>
      </c>
      <c r="F1711" t="s">
        <v>357</v>
      </c>
      <c r="G1711" t="s">
        <v>290</v>
      </c>
      <c r="J1711" s="4" t="s">
        <v>19</v>
      </c>
      <c r="K1711" s="4" t="s">
        <v>20</v>
      </c>
      <c r="L1711" s="4" t="s">
        <v>742</v>
      </c>
      <c r="M1711" s="17">
        <v>30</v>
      </c>
      <c r="N1711" s="17">
        <v>764</v>
      </c>
      <c r="O1711" s="18" t="s">
        <v>19</v>
      </c>
      <c r="P1711" s="18">
        <v>764</v>
      </c>
      <c r="Q1711" s="18">
        <v>30</v>
      </c>
      <c r="R1711" s="18" t="s">
        <v>778</v>
      </c>
      <c r="S1711" s="18" t="s">
        <v>884</v>
      </c>
      <c r="T1711" s="18" t="s">
        <v>781</v>
      </c>
      <c r="U17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11" s="19">
        <f>IF(AUDITORIA[[#This Row],[CAT]]="",0,1)</f>
        <v>1</v>
      </c>
      <c r="W1711" s="20">
        <v>46198</v>
      </c>
      <c r="X1711" s="21" t="str">
        <f>UPPER(IF(AUDITORIA[[#This Row],[DATA VERIFICAÇÃO]]="","",TEXT(AUDITORIA[[#This Row],[DATA VERIFICAÇÃO]],"mmm")))</f>
        <v>JUN</v>
      </c>
      <c r="Y1711" t="s">
        <v>598</v>
      </c>
      <c r="Z1711" t="s">
        <v>894</v>
      </c>
      <c r="AA1711" t="s">
        <v>895</v>
      </c>
    </row>
    <row r="1712" spans="1:27" ht="14.4" hidden="1" customHeight="1" x14ac:dyDescent="0.3">
      <c r="A1712" s="4" t="s">
        <v>279</v>
      </c>
      <c r="B1712" s="4" t="s">
        <v>17</v>
      </c>
      <c r="C1712" s="16" t="s">
        <v>18</v>
      </c>
      <c r="D1712" s="4">
        <v>11</v>
      </c>
      <c r="E1712" s="4" t="s">
        <v>745</v>
      </c>
      <c r="F1712" t="s">
        <v>374</v>
      </c>
      <c r="G1712" t="s">
        <v>66</v>
      </c>
      <c r="J1712" s="4" t="s">
        <v>55</v>
      </c>
      <c r="K1712" s="4" t="s">
        <v>21</v>
      </c>
      <c r="L1712" s="4" t="s">
        <v>742</v>
      </c>
      <c r="M1712" s="17">
        <v>18</v>
      </c>
      <c r="N1712" s="17">
        <v>1023</v>
      </c>
      <c r="O1712" s="18" t="s">
        <v>55</v>
      </c>
      <c r="P1712" s="18">
        <v>1023</v>
      </c>
      <c r="Q1712" s="18">
        <v>18</v>
      </c>
      <c r="R1712" s="18" t="s">
        <v>814</v>
      </c>
      <c r="S1712" s="18" t="s">
        <v>855</v>
      </c>
      <c r="T1712" s="18" t="s">
        <v>780</v>
      </c>
      <c r="U17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12" s="19">
        <f>IF(AUDITORIA[[#This Row],[CAT]]="",0,1)</f>
        <v>1</v>
      </c>
      <c r="W1712" s="20">
        <v>46198</v>
      </c>
      <c r="X1712" s="21" t="str">
        <f>UPPER(IF(AUDITORIA[[#This Row],[DATA VERIFICAÇÃO]]="","",TEXT(AUDITORIA[[#This Row],[DATA VERIFICAÇÃO]],"mmm")))</f>
        <v>JUN</v>
      </c>
      <c r="Y1712" t="s">
        <v>598</v>
      </c>
      <c r="Z1712" t="s">
        <v>894</v>
      </c>
      <c r="AA1712" t="s">
        <v>895</v>
      </c>
    </row>
    <row r="1713" spans="1:27" ht="14.4" hidden="1" customHeight="1" x14ac:dyDescent="0.3">
      <c r="A1713" s="4" t="s">
        <v>279</v>
      </c>
      <c r="B1713" s="4" t="s">
        <v>17</v>
      </c>
      <c r="C1713" s="16" t="s">
        <v>18</v>
      </c>
      <c r="D1713" s="4">
        <v>11</v>
      </c>
      <c r="E1713" s="4" t="s">
        <v>745</v>
      </c>
      <c r="F1713" t="s">
        <v>375</v>
      </c>
      <c r="G1713" t="s">
        <v>290</v>
      </c>
      <c r="J1713" s="4" t="s">
        <v>19</v>
      </c>
      <c r="K1713" s="4" t="s">
        <v>20</v>
      </c>
      <c r="L1713" s="4" t="s">
        <v>742</v>
      </c>
      <c r="M1713" s="17">
        <v>30</v>
      </c>
      <c r="N1713" s="17">
        <v>789</v>
      </c>
      <c r="O1713" s="18" t="s">
        <v>19</v>
      </c>
      <c r="P1713" s="18">
        <v>789</v>
      </c>
      <c r="Q1713" s="18">
        <v>30</v>
      </c>
      <c r="R1713" s="18" t="s">
        <v>778</v>
      </c>
      <c r="S1713" s="18" t="s">
        <v>891</v>
      </c>
      <c r="T1713" s="18" t="s">
        <v>780</v>
      </c>
      <c r="U17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13" s="19">
        <f>IF(AUDITORIA[[#This Row],[CAT]]="",0,1)</f>
        <v>1</v>
      </c>
      <c r="W1713" s="20">
        <v>46198</v>
      </c>
      <c r="X1713" s="21" t="str">
        <f>UPPER(IF(AUDITORIA[[#This Row],[DATA VERIFICAÇÃO]]="","",TEXT(AUDITORIA[[#This Row],[DATA VERIFICAÇÃO]],"mmm")))</f>
        <v>JUN</v>
      </c>
      <c r="Y1713" t="s">
        <v>598</v>
      </c>
      <c r="Z1713" t="s">
        <v>894</v>
      </c>
      <c r="AA1713" t="s">
        <v>895</v>
      </c>
    </row>
    <row r="1714" spans="1:27" ht="14.4" hidden="1" customHeight="1" x14ac:dyDescent="0.3">
      <c r="A1714" s="4" t="s">
        <v>279</v>
      </c>
      <c r="B1714" s="4" t="s">
        <v>17</v>
      </c>
      <c r="C1714" s="16" t="s">
        <v>18</v>
      </c>
      <c r="D1714" s="4">
        <v>11</v>
      </c>
      <c r="E1714" s="4" t="s">
        <v>745</v>
      </c>
      <c r="F1714" t="s">
        <v>376</v>
      </c>
      <c r="G1714" t="s">
        <v>66</v>
      </c>
      <c r="J1714" s="4" t="s">
        <v>55</v>
      </c>
      <c r="K1714" s="4" t="s">
        <v>21</v>
      </c>
      <c r="L1714" s="4" t="s">
        <v>742</v>
      </c>
      <c r="M1714" s="17">
        <v>24</v>
      </c>
      <c r="N1714" s="17">
        <v>1015</v>
      </c>
      <c r="O1714" s="18" t="s">
        <v>55</v>
      </c>
      <c r="P1714" s="18">
        <v>1015</v>
      </c>
      <c r="Q1714" s="18">
        <v>24</v>
      </c>
      <c r="R1714" s="18" t="s">
        <v>814</v>
      </c>
      <c r="S1714" s="18" t="s">
        <v>854</v>
      </c>
      <c r="T1714" s="18" t="s">
        <v>840</v>
      </c>
      <c r="U17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14" s="19">
        <f>IF(AUDITORIA[[#This Row],[CAT]]="",0,1)</f>
        <v>1</v>
      </c>
      <c r="W1714" s="20">
        <v>46198</v>
      </c>
      <c r="X1714" s="21" t="str">
        <f>UPPER(IF(AUDITORIA[[#This Row],[DATA VERIFICAÇÃO]]="","",TEXT(AUDITORIA[[#This Row],[DATA VERIFICAÇÃO]],"mmm")))</f>
        <v>JUN</v>
      </c>
      <c r="Y1714" t="s">
        <v>598</v>
      </c>
      <c r="Z1714" t="s">
        <v>894</v>
      </c>
      <c r="AA1714" t="s">
        <v>895</v>
      </c>
    </row>
    <row r="1715" spans="1:27" ht="14.4" hidden="1" customHeight="1" x14ac:dyDescent="0.3">
      <c r="A1715" s="4" t="s">
        <v>279</v>
      </c>
      <c r="B1715" s="4" t="s">
        <v>17</v>
      </c>
      <c r="C1715" s="16" t="s">
        <v>18</v>
      </c>
      <c r="D1715" s="4">
        <v>11</v>
      </c>
      <c r="E1715" s="4" t="s">
        <v>745</v>
      </c>
      <c r="F1715" t="s">
        <v>377</v>
      </c>
      <c r="G1715" t="s">
        <v>66</v>
      </c>
      <c r="J1715" s="4" t="s">
        <v>55</v>
      </c>
      <c r="K1715" s="4" t="s">
        <v>20</v>
      </c>
      <c r="L1715" s="4" t="s">
        <v>742</v>
      </c>
      <c r="M1715" s="17">
        <v>30</v>
      </c>
      <c r="N1715" s="17">
        <v>799</v>
      </c>
      <c r="O1715" s="18" t="s">
        <v>55</v>
      </c>
      <c r="P1715" s="18">
        <v>799</v>
      </c>
      <c r="Q1715" s="18">
        <v>30</v>
      </c>
      <c r="R1715" s="18" t="s">
        <v>814</v>
      </c>
      <c r="S1715" s="18" t="s">
        <v>853</v>
      </c>
      <c r="T1715" s="18" t="s">
        <v>840</v>
      </c>
      <c r="U17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15" s="19">
        <f>IF(AUDITORIA[[#This Row],[CAT]]="",0,1)</f>
        <v>1</v>
      </c>
      <c r="W1715" s="20">
        <v>46198</v>
      </c>
      <c r="X1715" s="21" t="str">
        <f>UPPER(IF(AUDITORIA[[#This Row],[DATA VERIFICAÇÃO]]="","",TEXT(AUDITORIA[[#This Row],[DATA VERIFICAÇÃO]],"mmm")))</f>
        <v>JUN</v>
      </c>
      <c r="Y1715" t="s">
        <v>598</v>
      </c>
      <c r="Z1715" t="s">
        <v>894</v>
      </c>
      <c r="AA1715" t="s">
        <v>895</v>
      </c>
    </row>
    <row r="1716" spans="1:27" ht="14.4" hidden="1" customHeight="1" x14ac:dyDescent="0.3">
      <c r="A1716" s="4" t="s">
        <v>279</v>
      </c>
      <c r="B1716" s="4" t="s">
        <v>17</v>
      </c>
      <c r="C1716" s="16" t="s">
        <v>18</v>
      </c>
      <c r="D1716" s="4">
        <v>11</v>
      </c>
      <c r="E1716" s="4" t="s">
        <v>745</v>
      </c>
      <c r="F1716" t="s">
        <v>379</v>
      </c>
      <c r="G1716" t="s">
        <v>290</v>
      </c>
      <c r="J1716" s="4" t="s">
        <v>19</v>
      </c>
      <c r="K1716" s="4" t="s">
        <v>20</v>
      </c>
      <c r="L1716" s="4" t="s">
        <v>742</v>
      </c>
      <c r="M1716" s="17">
        <v>30</v>
      </c>
      <c r="N1716" s="17">
        <v>785</v>
      </c>
      <c r="O1716" s="18" t="s">
        <v>19</v>
      </c>
      <c r="P1716" s="18">
        <v>785</v>
      </c>
      <c r="Q1716" s="18">
        <v>30</v>
      </c>
      <c r="R1716" s="18" t="s">
        <v>778</v>
      </c>
      <c r="S1716" s="18" t="s">
        <v>884</v>
      </c>
      <c r="T1716" s="18" t="s">
        <v>843</v>
      </c>
      <c r="U17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16" s="19">
        <f>IF(AUDITORIA[[#This Row],[CAT]]="",0,1)</f>
        <v>1</v>
      </c>
      <c r="W1716" s="20">
        <v>46198</v>
      </c>
      <c r="X1716" s="21" t="str">
        <f>UPPER(IF(AUDITORIA[[#This Row],[DATA VERIFICAÇÃO]]="","",TEXT(AUDITORIA[[#This Row],[DATA VERIFICAÇÃO]],"mmm")))</f>
        <v>JUN</v>
      </c>
      <c r="Y1716" t="s">
        <v>598</v>
      </c>
      <c r="Z1716" t="s">
        <v>894</v>
      </c>
      <c r="AA1716" t="s">
        <v>895</v>
      </c>
    </row>
    <row r="1717" spans="1:27" ht="14.4" hidden="1" customHeight="1" x14ac:dyDescent="0.3">
      <c r="A1717" s="4" t="s">
        <v>279</v>
      </c>
      <c r="B1717" s="4" t="s">
        <v>17</v>
      </c>
      <c r="C1717" s="16" t="s">
        <v>18</v>
      </c>
      <c r="D1717" s="4">
        <v>11</v>
      </c>
      <c r="E1717" s="4" t="s">
        <v>745</v>
      </c>
      <c r="F1717" t="s">
        <v>362</v>
      </c>
      <c r="G1717" t="s">
        <v>290</v>
      </c>
      <c r="J1717" s="4" t="s">
        <v>19</v>
      </c>
      <c r="K1717" s="4" t="s">
        <v>20</v>
      </c>
      <c r="L1717" s="4" t="s">
        <v>742</v>
      </c>
      <c r="M1717" s="17">
        <v>30</v>
      </c>
      <c r="N1717" s="17">
        <v>797</v>
      </c>
      <c r="O1717" s="18" t="s">
        <v>19</v>
      </c>
      <c r="P1717" s="18">
        <v>797</v>
      </c>
      <c r="Q1717" s="18">
        <v>30</v>
      </c>
      <c r="R1717" s="18" t="s">
        <v>778</v>
      </c>
      <c r="S1717" s="18" t="s">
        <v>884</v>
      </c>
      <c r="T1717" s="18" t="s">
        <v>782</v>
      </c>
      <c r="U17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17" s="19">
        <f>IF(AUDITORIA[[#This Row],[CAT]]="",0,1)</f>
        <v>1</v>
      </c>
      <c r="W1717" s="20">
        <v>46198</v>
      </c>
      <c r="X1717" s="21" t="str">
        <f>UPPER(IF(AUDITORIA[[#This Row],[DATA VERIFICAÇÃO]]="","",TEXT(AUDITORIA[[#This Row],[DATA VERIFICAÇÃO]],"mmm")))</f>
        <v>JUN</v>
      </c>
      <c r="Y1717" t="s">
        <v>598</v>
      </c>
      <c r="Z1717" t="s">
        <v>894</v>
      </c>
      <c r="AA1717" t="s">
        <v>895</v>
      </c>
    </row>
    <row r="1718" spans="1:27" ht="14.4" hidden="1" customHeight="1" x14ac:dyDescent="0.3">
      <c r="A1718" s="4" t="s">
        <v>279</v>
      </c>
      <c r="B1718" s="4" t="s">
        <v>17</v>
      </c>
      <c r="C1718" s="16" t="s">
        <v>18</v>
      </c>
      <c r="D1718" s="4">
        <v>11</v>
      </c>
      <c r="E1718" s="4" t="s">
        <v>745</v>
      </c>
      <c r="F1718" t="s">
        <v>364</v>
      </c>
      <c r="G1718" t="s">
        <v>106</v>
      </c>
      <c r="J1718" s="4" t="s">
        <v>19</v>
      </c>
      <c r="K1718" s="4" t="s">
        <v>20</v>
      </c>
      <c r="L1718" s="4" t="s">
        <v>742</v>
      </c>
      <c r="M1718" s="17">
        <v>30</v>
      </c>
      <c r="N1718" s="17">
        <v>846</v>
      </c>
      <c r="O1718" s="18" t="s">
        <v>19</v>
      </c>
      <c r="P1718" s="18">
        <v>846</v>
      </c>
      <c r="Q1718" s="18">
        <v>30</v>
      </c>
      <c r="R1718" s="18" t="s">
        <v>778</v>
      </c>
      <c r="S1718" s="18" t="s">
        <v>882</v>
      </c>
      <c r="T1718" s="18" t="s">
        <v>840</v>
      </c>
      <c r="U17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18" s="19">
        <f>IF(AUDITORIA[[#This Row],[CAT]]="",0,1)</f>
        <v>1</v>
      </c>
      <c r="W1718" s="20">
        <v>46198</v>
      </c>
      <c r="X1718" s="21" t="str">
        <f>UPPER(IF(AUDITORIA[[#This Row],[DATA VERIFICAÇÃO]]="","",TEXT(AUDITORIA[[#This Row],[DATA VERIFICAÇÃO]],"mmm")))</f>
        <v>JUN</v>
      </c>
      <c r="Y1718" t="s">
        <v>598</v>
      </c>
      <c r="Z1718" t="s">
        <v>894</v>
      </c>
      <c r="AA1718" t="s">
        <v>895</v>
      </c>
    </row>
    <row r="1719" spans="1:27" ht="14.4" hidden="1" customHeight="1" x14ac:dyDescent="0.3">
      <c r="A1719" s="4" t="s">
        <v>279</v>
      </c>
      <c r="B1719" s="4" t="s">
        <v>17</v>
      </c>
      <c r="C1719" s="16" t="s">
        <v>18</v>
      </c>
      <c r="D1719" s="4">
        <v>11</v>
      </c>
      <c r="E1719" s="4" t="s">
        <v>745</v>
      </c>
      <c r="F1719" t="s">
        <v>365</v>
      </c>
      <c r="G1719" t="s">
        <v>290</v>
      </c>
      <c r="J1719" s="4" t="s">
        <v>19</v>
      </c>
      <c r="K1719" s="4" t="s">
        <v>20</v>
      </c>
      <c r="L1719" s="4" t="s">
        <v>742</v>
      </c>
      <c r="M1719" s="17">
        <v>30</v>
      </c>
      <c r="N1719" s="17">
        <v>802</v>
      </c>
      <c r="O1719" s="18" t="s">
        <v>19</v>
      </c>
      <c r="P1719" s="18">
        <v>802</v>
      </c>
      <c r="Q1719" s="18">
        <v>30</v>
      </c>
      <c r="R1719" s="18" t="s">
        <v>778</v>
      </c>
      <c r="S1719" s="18" t="s">
        <v>884</v>
      </c>
      <c r="T1719" s="18" t="s">
        <v>794</v>
      </c>
      <c r="U17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19" s="19">
        <f>IF(AUDITORIA[[#This Row],[CAT]]="",0,1)</f>
        <v>1</v>
      </c>
      <c r="W1719" s="20">
        <v>46198</v>
      </c>
      <c r="X1719" s="21" t="str">
        <f>UPPER(IF(AUDITORIA[[#This Row],[DATA VERIFICAÇÃO]]="","",TEXT(AUDITORIA[[#This Row],[DATA VERIFICAÇÃO]],"mmm")))</f>
        <v>JUN</v>
      </c>
      <c r="Y1719" t="s">
        <v>598</v>
      </c>
      <c r="Z1719" t="s">
        <v>894</v>
      </c>
      <c r="AA1719" t="s">
        <v>895</v>
      </c>
    </row>
    <row r="1720" spans="1:27" ht="14.4" hidden="1" customHeight="1" x14ac:dyDescent="0.3">
      <c r="A1720" s="4" t="s">
        <v>279</v>
      </c>
      <c r="B1720" s="4" t="s">
        <v>17</v>
      </c>
      <c r="C1720" s="16" t="s">
        <v>18</v>
      </c>
      <c r="D1720" s="4">
        <v>11</v>
      </c>
      <c r="E1720" s="4" t="s">
        <v>745</v>
      </c>
      <c r="F1720" t="s">
        <v>372</v>
      </c>
      <c r="G1720" t="s">
        <v>66</v>
      </c>
      <c r="J1720" s="4" t="s">
        <v>55</v>
      </c>
      <c r="K1720" s="4" t="s">
        <v>20</v>
      </c>
      <c r="L1720" s="4" t="s">
        <v>742</v>
      </c>
      <c r="M1720" s="17">
        <v>20</v>
      </c>
      <c r="N1720" s="17">
        <v>792</v>
      </c>
      <c r="O1720" s="18" t="s">
        <v>55</v>
      </c>
      <c r="P1720" s="18">
        <v>792</v>
      </c>
      <c r="Q1720" s="18">
        <v>20</v>
      </c>
      <c r="R1720" s="18" t="s">
        <v>814</v>
      </c>
      <c r="S1720" s="18" t="s">
        <v>852</v>
      </c>
      <c r="T1720" s="18" t="s">
        <v>840</v>
      </c>
      <c r="U17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20" s="19">
        <f>IF(AUDITORIA[[#This Row],[CAT]]="",0,1)</f>
        <v>1</v>
      </c>
      <c r="W1720" s="20">
        <v>46198</v>
      </c>
      <c r="X1720" s="21" t="str">
        <f>UPPER(IF(AUDITORIA[[#This Row],[DATA VERIFICAÇÃO]]="","",TEXT(AUDITORIA[[#This Row],[DATA VERIFICAÇÃO]],"mmm")))</f>
        <v>JUN</v>
      </c>
      <c r="Y1720" t="s">
        <v>598</v>
      </c>
      <c r="Z1720" t="s">
        <v>894</v>
      </c>
      <c r="AA1720" t="s">
        <v>895</v>
      </c>
    </row>
    <row r="1721" spans="1:27" ht="14.4" hidden="1" customHeight="1" x14ac:dyDescent="0.3">
      <c r="A1721" s="4" t="s">
        <v>279</v>
      </c>
      <c r="B1721" s="4" t="s">
        <v>17</v>
      </c>
      <c r="C1721" s="16" t="s">
        <v>18</v>
      </c>
      <c r="D1721" s="4">
        <v>11</v>
      </c>
      <c r="E1721" s="4" t="s">
        <v>745</v>
      </c>
      <c r="F1721" t="s">
        <v>373</v>
      </c>
      <c r="G1721" t="s">
        <v>290</v>
      </c>
      <c r="J1721" s="4" t="s">
        <v>19</v>
      </c>
      <c r="K1721" s="4" t="s">
        <v>20</v>
      </c>
      <c r="L1721" s="4" t="s">
        <v>742</v>
      </c>
      <c r="M1721" s="17">
        <v>30</v>
      </c>
      <c r="N1721" s="17">
        <v>792</v>
      </c>
      <c r="O1721" s="18" t="s">
        <v>19</v>
      </c>
      <c r="P1721" s="18">
        <v>792</v>
      </c>
      <c r="Q1721" s="18">
        <v>30</v>
      </c>
      <c r="R1721" s="18" t="s">
        <v>778</v>
      </c>
      <c r="S1721" s="18" t="s">
        <v>884</v>
      </c>
      <c r="T1721" s="18" t="s">
        <v>840</v>
      </c>
      <c r="U17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21" s="19">
        <f>IF(AUDITORIA[[#This Row],[CAT]]="",0,1)</f>
        <v>1</v>
      </c>
      <c r="W1721" s="20">
        <v>46198</v>
      </c>
      <c r="X1721" s="21" t="str">
        <f>UPPER(IF(AUDITORIA[[#This Row],[DATA VERIFICAÇÃO]]="","",TEXT(AUDITORIA[[#This Row],[DATA VERIFICAÇÃO]],"mmm")))</f>
        <v>JUN</v>
      </c>
      <c r="Y1721" t="s">
        <v>598</v>
      </c>
      <c r="Z1721" t="s">
        <v>894</v>
      </c>
      <c r="AA1721" t="s">
        <v>895</v>
      </c>
    </row>
    <row r="1722" spans="1:27" ht="14.4" hidden="1" customHeight="1" x14ac:dyDescent="0.3">
      <c r="A1722" s="4" t="s">
        <v>279</v>
      </c>
      <c r="B1722" s="4" t="s">
        <v>17</v>
      </c>
      <c r="C1722" s="16" t="s">
        <v>18</v>
      </c>
      <c r="D1722" s="4">
        <v>11</v>
      </c>
      <c r="E1722" s="4" t="s">
        <v>745</v>
      </c>
      <c r="F1722" t="s">
        <v>358</v>
      </c>
      <c r="G1722" t="s">
        <v>290</v>
      </c>
      <c r="J1722" s="4" t="s">
        <v>19</v>
      </c>
      <c r="K1722" s="4" t="s">
        <v>21</v>
      </c>
      <c r="L1722" s="4" t="s">
        <v>742</v>
      </c>
      <c r="M1722" s="17">
        <v>27</v>
      </c>
      <c r="N1722" s="17">
        <v>998</v>
      </c>
      <c r="O1722" s="18" t="s">
        <v>19</v>
      </c>
      <c r="P1722" s="18">
        <v>998</v>
      </c>
      <c r="Q1722" s="18">
        <v>27</v>
      </c>
      <c r="R1722" s="18" t="s">
        <v>778</v>
      </c>
      <c r="S1722" s="18" t="s">
        <v>890</v>
      </c>
      <c r="T1722" s="18" t="s">
        <v>781</v>
      </c>
      <c r="U17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22" s="19">
        <f>IF(AUDITORIA[[#This Row],[CAT]]="",0,1)</f>
        <v>1</v>
      </c>
      <c r="W1722" s="20">
        <v>46198</v>
      </c>
      <c r="X1722" s="21" t="str">
        <f>UPPER(IF(AUDITORIA[[#This Row],[DATA VERIFICAÇÃO]]="","",TEXT(AUDITORIA[[#This Row],[DATA VERIFICAÇÃO]],"mmm")))</f>
        <v>JUN</v>
      </c>
      <c r="Y1722" t="s">
        <v>598</v>
      </c>
      <c r="Z1722" t="s">
        <v>894</v>
      </c>
      <c r="AA1722" t="s">
        <v>895</v>
      </c>
    </row>
    <row r="1723" spans="1:27" ht="14.4" hidden="1" customHeight="1" x14ac:dyDescent="0.3">
      <c r="A1723" s="4" t="s">
        <v>279</v>
      </c>
      <c r="B1723" s="4" t="s">
        <v>17</v>
      </c>
      <c r="C1723" s="16" t="s">
        <v>18</v>
      </c>
      <c r="D1723" s="4">
        <v>11</v>
      </c>
      <c r="E1723" s="4" t="s">
        <v>745</v>
      </c>
      <c r="F1723" t="s">
        <v>360</v>
      </c>
      <c r="G1723" t="s">
        <v>106</v>
      </c>
      <c r="J1723" s="4" t="s">
        <v>19</v>
      </c>
      <c r="K1723" s="4" t="s">
        <v>20</v>
      </c>
      <c r="L1723" s="4" t="s">
        <v>742</v>
      </c>
      <c r="M1723" s="17">
        <v>30</v>
      </c>
      <c r="N1723" s="17">
        <v>853</v>
      </c>
      <c r="O1723" s="18" t="s">
        <v>19</v>
      </c>
      <c r="P1723" s="18">
        <v>853</v>
      </c>
      <c r="Q1723" s="18">
        <v>30</v>
      </c>
      <c r="R1723" s="18" t="s">
        <v>778</v>
      </c>
      <c r="S1723" s="18" t="s">
        <v>882</v>
      </c>
      <c r="T1723" s="18" t="s">
        <v>782</v>
      </c>
      <c r="U17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23" s="19">
        <f>IF(AUDITORIA[[#This Row],[CAT]]="",0,1)</f>
        <v>1</v>
      </c>
      <c r="W1723" s="20">
        <v>46198</v>
      </c>
      <c r="X1723" s="21" t="str">
        <f>UPPER(IF(AUDITORIA[[#This Row],[DATA VERIFICAÇÃO]]="","",TEXT(AUDITORIA[[#This Row],[DATA VERIFICAÇÃO]],"mmm")))</f>
        <v>JUN</v>
      </c>
      <c r="Y1723" t="s">
        <v>598</v>
      </c>
      <c r="Z1723" t="s">
        <v>894</v>
      </c>
      <c r="AA1723" t="s">
        <v>895</v>
      </c>
    </row>
    <row r="1724" spans="1:27" ht="14.4" hidden="1" customHeight="1" x14ac:dyDescent="0.3">
      <c r="A1724" s="4" t="s">
        <v>279</v>
      </c>
      <c r="B1724" s="4" t="s">
        <v>17</v>
      </c>
      <c r="C1724" s="16" t="s">
        <v>18</v>
      </c>
      <c r="D1724" s="4">
        <v>11</v>
      </c>
      <c r="E1724" s="4" t="s">
        <v>745</v>
      </c>
      <c r="F1724" t="s">
        <v>361</v>
      </c>
      <c r="G1724" t="s">
        <v>106</v>
      </c>
      <c r="J1724" s="4" t="s">
        <v>19</v>
      </c>
      <c r="K1724" s="4" t="s">
        <v>21</v>
      </c>
      <c r="L1724" s="4" t="s">
        <v>742</v>
      </c>
      <c r="M1724" s="17">
        <v>24</v>
      </c>
      <c r="N1724" s="17">
        <v>1030</v>
      </c>
      <c r="O1724" s="18" t="s">
        <v>19</v>
      </c>
      <c r="P1724" s="18">
        <v>1030</v>
      </c>
      <c r="Q1724" s="18">
        <v>24</v>
      </c>
      <c r="R1724" s="18" t="s">
        <v>778</v>
      </c>
      <c r="S1724" s="18" t="s">
        <v>883</v>
      </c>
      <c r="T1724" s="18" t="s">
        <v>840</v>
      </c>
      <c r="U17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24" s="19">
        <f>IF(AUDITORIA[[#This Row],[CAT]]="",0,1)</f>
        <v>1</v>
      </c>
      <c r="W1724" s="20">
        <v>46198</v>
      </c>
      <c r="X1724" s="21" t="str">
        <f>UPPER(IF(AUDITORIA[[#This Row],[DATA VERIFICAÇÃO]]="","",TEXT(AUDITORIA[[#This Row],[DATA VERIFICAÇÃO]],"mmm")))</f>
        <v>JUN</v>
      </c>
      <c r="Y1724" t="s">
        <v>598</v>
      </c>
      <c r="Z1724" t="s">
        <v>894</v>
      </c>
      <c r="AA1724" t="s">
        <v>895</v>
      </c>
    </row>
    <row r="1725" spans="1:27" ht="14.4" hidden="1" customHeight="1" x14ac:dyDescent="0.3">
      <c r="A1725" s="4" t="s">
        <v>279</v>
      </c>
      <c r="B1725" s="4" t="s">
        <v>17</v>
      </c>
      <c r="C1725" s="16" t="s">
        <v>18</v>
      </c>
      <c r="D1725" s="4">
        <v>11</v>
      </c>
      <c r="E1725" s="4" t="s">
        <v>745</v>
      </c>
      <c r="F1725" t="s">
        <v>363</v>
      </c>
      <c r="G1725" t="s">
        <v>106</v>
      </c>
      <c r="J1725" s="4" t="s">
        <v>19</v>
      </c>
      <c r="K1725" s="4" t="s">
        <v>20</v>
      </c>
      <c r="L1725" s="4" t="s">
        <v>742</v>
      </c>
      <c r="M1725" s="17">
        <v>30</v>
      </c>
      <c r="N1725" s="17">
        <v>834</v>
      </c>
      <c r="O1725" s="18" t="s">
        <v>19</v>
      </c>
      <c r="P1725" s="18">
        <v>834</v>
      </c>
      <c r="Q1725" s="18">
        <v>30</v>
      </c>
      <c r="R1725" s="18" t="s">
        <v>778</v>
      </c>
      <c r="S1725" s="18" t="s">
        <v>877</v>
      </c>
      <c r="T1725" s="18"/>
      <c r="U17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25" s="19">
        <f>IF(AUDITORIA[[#This Row],[CAT]]="",0,1)</f>
        <v>1</v>
      </c>
      <c r="W1725" s="20">
        <v>46198</v>
      </c>
      <c r="X1725" s="21" t="str">
        <f>UPPER(IF(AUDITORIA[[#This Row],[DATA VERIFICAÇÃO]]="","",TEXT(AUDITORIA[[#This Row],[DATA VERIFICAÇÃO]],"mmm")))</f>
        <v>JUN</v>
      </c>
      <c r="Y1725" t="s">
        <v>598</v>
      </c>
      <c r="Z1725" t="s">
        <v>894</v>
      </c>
      <c r="AA1725" t="s">
        <v>895</v>
      </c>
    </row>
    <row r="1726" spans="1:27" ht="14.4" hidden="1" customHeight="1" x14ac:dyDescent="0.3">
      <c r="A1726" s="4" t="s">
        <v>279</v>
      </c>
      <c r="B1726" s="4" t="s">
        <v>17</v>
      </c>
      <c r="C1726" s="16" t="s">
        <v>18</v>
      </c>
      <c r="D1726" s="4">
        <v>11</v>
      </c>
      <c r="E1726" s="4" t="s">
        <v>745</v>
      </c>
      <c r="F1726" t="s">
        <v>366</v>
      </c>
      <c r="G1726" t="s">
        <v>106</v>
      </c>
      <c r="J1726" s="4" t="s">
        <v>19</v>
      </c>
      <c r="K1726" s="4" t="s">
        <v>21</v>
      </c>
      <c r="L1726" s="4" t="s">
        <v>742</v>
      </c>
      <c r="M1726" s="17">
        <v>24</v>
      </c>
      <c r="N1726" s="17">
        <v>1029</v>
      </c>
      <c r="O1726" s="18" t="s">
        <v>19</v>
      </c>
      <c r="P1726" s="18">
        <v>1029</v>
      </c>
      <c r="Q1726" s="18">
        <v>24</v>
      </c>
      <c r="R1726" s="18" t="s">
        <v>778</v>
      </c>
      <c r="S1726" s="18" t="s">
        <v>877</v>
      </c>
      <c r="T1726" s="18"/>
      <c r="U17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26" s="19">
        <f>IF(AUDITORIA[[#This Row],[CAT]]="",0,1)</f>
        <v>1</v>
      </c>
      <c r="W1726" s="20">
        <v>46198</v>
      </c>
      <c r="X1726" s="21" t="str">
        <f>UPPER(IF(AUDITORIA[[#This Row],[DATA VERIFICAÇÃO]]="","",TEXT(AUDITORIA[[#This Row],[DATA VERIFICAÇÃO]],"mmm")))</f>
        <v>JUN</v>
      </c>
      <c r="Y1726" t="s">
        <v>598</v>
      </c>
      <c r="Z1726" t="s">
        <v>894</v>
      </c>
      <c r="AA1726" t="s">
        <v>895</v>
      </c>
    </row>
    <row r="1727" spans="1:27" ht="14.4" hidden="1" customHeight="1" x14ac:dyDescent="0.3">
      <c r="A1727" s="4" t="s">
        <v>279</v>
      </c>
      <c r="B1727" s="4" t="s">
        <v>17</v>
      </c>
      <c r="C1727" s="16" t="s">
        <v>18</v>
      </c>
      <c r="D1727" s="4">
        <v>11</v>
      </c>
      <c r="E1727" s="4" t="s">
        <v>745</v>
      </c>
      <c r="F1727" t="s">
        <v>346</v>
      </c>
      <c r="G1727" t="s">
        <v>290</v>
      </c>
      <c r="J1727" s="4" t="s">
        <v>19</v>
      </c>
      <c r="K1727" s="4" t="s">
        <v>21</v>
      </c>
      <c r="L1727" s="4" t="s">
        <v>742</v>
      </c>
      <c r="M1727" s="17">
        <v>27</v>
      </c>
      <c r="N1727" s="17">
        <v>931</v>
      </c>
      <c r="O1727" s="18" t="s">
        <v>19</v>
      </c>
      <c r="P1727" s="18">
        <v>931</v>
      </c>
      <c r="Q1727" s="18">
        <v>27</v>
      </c>
      <c r="R1727" s="18" t="s">
        <v>778</v>
      </c>
      <c r="S1727" s="18" t="s">
        <v>890</v>
      </c>
      <c r="T1727" s="18" t="s">
        <v>782</v>
      </c>
      <c r="U17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27" s="19">
        <f>IF(AUDITORIA[[#This Row],[CAT]]="",0,1)</f>
        <v>1</v>
      </c>
      <c r="W1727" s="20">
        <v>46198</v>
      </c>
      <c r="X1727" s="21" t="str">
        <f>UPPER(IF(AUDITORIA[[#This Row],[DATA VERIFICAÇÃO]]="","",TEXT(AUDITORIA[[#This Row],[DATA VERIFICAÇÃO]],"mmm")))</f>
        <v>JUN</v>
      </c>
      <c r="Y1727" t="s">
        <v>598</v>
      </c>
      <c r="Z1727" t="s">
        <v>894</v>
      </c>
      <c r="AA1727" t="s">
        <v>895</v>
      </c>
    </row>
    <row r="1728" spans="1:27" ht="14.4" hidden="1" customHeight="1" x14ac:dyDescent="0.3">
      <c r="A1728" s="4" t="s">
        <v>279</v>
      </c>
      <c r="B1728" s="4" t="s">
        <v>17</v>
      </c>
      <c r="C1728" s="16" t="s">
        <v>18</v>
      </c>
      <c r="D1728" s="4">
        <v>11</v>
      </c>
      <c r="E1728" s="4" t="s">
        <v>745</v>
      </c>
      <c r="F1728" t="s">
        <v>347</v>
      </c>
      <c r="G1728" t="s">
        <v>106</v>
      </c>
      <c r="J1728" s="4" t="s">
        <v>19</v>
      </c>
      <c r="K1728" s="4" t="s">
        <v>21</v>
      </c>
      <c r="L1728" s="4" t="s">
        <v>742</v>
      </c>
      <c r="M1728" s="17">
        <v>24</v>
      </c>
      <c r="N1728" s="17">
        <v>1019</v>
      </c>
      <c r="O1728" s="18" t="s">
        <v>19</v>
      </c>
      <c r="P1728" s="18">
        <v>1019</v>
      </c>
      <c r="Q1728" s="18">
        <v>24</v>
      </c>
      <c r="R1728" s="18" t="s">
        <v>778</v>
      </c>
      <c r="S1728" s="18" t="s">
        <v>883</v>
      </c>
      <c r="T1728" s="18" t="s">
        <v>780</v>
      </c>
      <c r="U17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28" s="19">
        <f>IF(AUDITORIA[[#This Row],[CAT]]="",0,1)</f>
        <v>1</v>
      </c>
      <c r="W1728" s="20">
        <v>46198</v>
      </c>
      <c r="X1728" s="21" t="str">
        <f>UPPER(IF(AUDITORIA[[#This Row],[DATA VERIFICAÇÃO]]="","",TEXT(AUDITORIA[[#This Row],[DATA VERIFICAÇÃO]],"mmm")))</f>
        <v>JUN</v>
      </c>
      <c r="Y1728" t="s">
        <v>598</v>
      </c>
      <c r="Z1728" t="s">
        <v>894</v>
      </c>
      <c r="AA1728" t="s">
        <v>895</v>
      </c>
    </row>
    <row r="1729" spans="1:27" ht="14.4" hidden="1" customHeight="1" x14ac:dyDescent="0.3">
      <c r="A1729" s="4" t="s">
        <v>279</v>
      </c>
      <c r="B1729" s="4" t="s">
        <v>17</v>
      </c>
      <c r="C1729" s="16" t="s">
        <v>18</v>
      </c>
      <c r="D1729" s="4">
        <v>11</v>
      </c>
      <c r="E1729" s="4" t="s">
        <v>745</v>
      </c>
      <c r="F1729" t="s">
        <v>349</v>
      </c>
      <c r="G1729" t="s">
        <v>106</v>
      </c>
      <c r="J1729" s="4" t="s">
        <v>19</v>
      </c>
      <c r="K1729" s="4" t="s">
        <v>20</v>
      </c>
      <c r="L1729" s="4" t="s">
        <v>742</v>
      </c>
      <c r="M1729" s="17">
        <v>30</v>
      </c>
      <c r="N1729" s="17">
        <v>844</v>
      </c>
      <c r="O1729" s="18" t="s">
        <v>19</v>
      </c>
      <c r="P1729" s="18">
        <v>844</v>
      </c>
      <c r="Q1729" s="18">
        <v>30</v>
      </c>
      <c r="R1729" s="18" t="s">
        <v>778</v>
      </c>
      <c r="S1729" s="18" t="s">
        <v>884</v>
      </c>
      <c r="T1729" s="18" t="s">
        <v>843</v>
      </c>
      <c r="U17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29" s="19">
        <f>IF(AUDITORIA[[#This Row],[CAT]]="",0,1)</f>
        <v>1</v>
      </c>
      <c r="W1729" s="20">
        <v>46198</v>
      </c>
      <c r="X1729" s="21" t="str">
        <f>UPPER(IF(AUDITORIA[[#This Row],[DATA VERIFICAÇÃO]]="","",TEXT(AUDITORIA[[#This Row],[DATA VERIFICAÇÃO]],"mmm")))</f>
        <v>JUN</v>
      </c>
      <c r="Y1729" t="s">
        <v>598</v>
      </c>
      <c r="Z1729" t="s">
        <v>894</v>
      </c>
      <c r="AA1729" t="s">
        <v>895</v>
      </c>
    </row>
    <row r="1730" spans="1:27" ht="14.4" hidden="1" customHeight="1" x14ac:dyDescent="0.3">
      <c r="A1730" s="4" t="s">
        <v>279</v>
      </c>
      <c r="B1730" s="4" t="s">
        <v>17</v>
      </c>
      <c r="C1730" s="16" t="s">
        <v>18</v>
      </c>
      <c r="D1730" s="4">
        <v>11</v>
      </c>
      <c r="E1730" s="4" t="s">
        <v>745</v>
      </c>
      <c r="F1730" t="s">
        <v>350</v>
      </c>
      <c r="G1730" t="s">
        <v>106</v>
      </c>
      <c r="J1730" s="4" t="s">
        <v>19</v>
      </c>
      <c r="K1730" s="4" t="s">
        <v>21</v>
      </c>
      <c r="L1730" s="4" t="s">
        <v>742</v>
      </c>
      <c r="M1730" s="17">
        <v>24</v>
      </c>
      <c r="N1730" s="17">
        <v>1031</v>
      </c>
      <c r="O1730" s="18" t="s">
        <v>19</v>
      </c>
      <c r="P1730" s="18">
        <v>1031</v>
      </c>
      <c r="Q1730" s="18">
        <v>24</v>
      </c>
      <c r="R1730" s="18" t="s">
        <v>778</v>
      </c>
      <c r="S1730" s="18" t="s">
        <v>883</v>
      </c>
      <c r="T1730" s="18" t="s">
        <v>781</v>
      </c>
      <c r="U17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30" s="19">
        <f>IF(AUDITORIA[[#This Row],[CAT]]="",0,1)</f>
        <v>1</v>
      </c>
      <c r="W1730" s="20">
        <v>46198</v>
      </c>
      <c r="X1730" s="21" t="str">
        <f>UPPER(IF(AUDITORIA[[#This Row],[DATA VERIFICAÇÃO]]="","",TEXT(AUDITORIA[[#This Row],[DATA VERIFICAÇÃO]],"mmm")))</f>
        <v>JUN</v>
      </c>
      <c r="Y1730" t="s">
        <v>598</v>
      </c>
      <c r="Z1730" t="s">
        <v>894</v>
      </c>
      <c r="AA1730" t="s">
        <v>895</v>
      </c>
    </row>
    <row r="1731" spans="1:27" ht="14.4" hidden="1" customHeight="1" x14ac:dyDescent="0.3">
      <c r="A1731" s="4" t="s">
        <v>279</v>
      </c>
      <c r="B1731" s="4" t="s">
        <v>17</v>
      </c>
      <c r="C1731" s="16" t="s">
        <v>18</v>
      </c>
      <c r="D1731" s="4">
        <v>11</v>
      </c>
      <c r="E1731" s="4" t="s">
        <v>745</v>
      </c>
      <c r="F1731" t="s">
        <v>352</v>
      </c>
      <c r="G1731" t="s">
        <v>106</v>
      </c>
      <c r="J1731" s="4" t="s">
        <v>19</v>
      </c>
      <c r="K1731" s="4" t="s">
        <v>20</v>
      </c>
      <c r="L1731" s="4" t="s">
        <v>742</v>
      </c>
      <c r="M1731" s="17">
        <v>30</v>
      </c>
      <c r="N1731" s="17">
        <v>833</v>
      </c>
      <c r="O1731" s="18" t="s">
        <v>19</v>
      </c>
      <c r="P1731" s="18">
        <v>833</v>
      </c>
      <c r="Q1731" s="18">
        <v>30</v>
      </c>
      <c r="R1731" s="18" t="s">
        <v>778</v>
      </c>
      <c r="S1731" s="18" t="s">
        <v>882</v>
      </c>
      <c r="T1731" s="18" t="s">
        <v>781</v>
      </c>
      <c r="U17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31" s="19">
        <f>IF(AUDITORIA[[#This Row],[CAT]]="",0,1)</f>
        <v>1</v>
      </c>
      <c r="W1731" s="20">
        <v>46198</v>
      </c>
      <c r="X1731" s="21" t="str">
        <f>UPPER(IF(AUDITORIA[[#This Row],[DATA VERIFICAÇÃO]]="","",TEXT(AUDITORIA[[#This Row],[DATA VERIFICAÇÃO]],"mmm")))</f>
        <v>JUN</v>
      </c>
      <c r="Y1731" t="s">
        <v>598</v>
      </c>
      <c r="Z1731" t="s">
        <v>894</v>
      </c>
      <c r="AA1731" t="s">
        <v>895</v>
      </c>
    </row>
    <row r="1732" spans="1:27" ht="14.4" hidden="1" customHeight="1" x14ac:dyDescent="0.3">
      <c r="A1732" s="4" t="s">
        <v>279</v>
      </c>
      <c r="B1732" s="4" t="s">
        <v>17</v>
      </c>
      <c r="C1732" s="16" t="s">
        <v>18</v>
      </c>
      <c r="D1732" s="4">
        <v>11</v>
      </c>
      <c r="E1732" s="4" t="s">
        <v>745</v>
      </c>
      <c r="F1732" t="s">
        <v>353</v>
      </c>
      <c r="G1732" t="s">
        <v>106</v>
      </c>
      <c r="J1732" s="4" t="s">
        <v>19</v>
      </c>
      <c r="K1732" s="4" t="s">
        <v>21</v>
      </c>
      <c r="L1732" s="4" t="s">
        <v>742</v>
      </c>
      <c r="M1732" s="17">
        <v>24</v>
      </c>
      <c r="N1732" s="17">
        <v>1023</v>
      </c>
      <c r="O1732" s="18" t="s">
        <v>19</v>
      </c>
      <c r="P1732" s="18">
        <v>1023</v>
      </c>
      <c r="Q1732" s="18">
        <v>24</v>
      </c>
      <c r="R1732" s="18" t="s">
        <v>778</v>
      </c>
      <c r="S1732" s="18" t="s">
        <v>883</v>
      </c>
      <c r="T1732" s="18" t="s">
        <v>782</v>
      </c>
      <c r="U17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32" s="19">
        <f>IF(AUDITORIA[[#This Row],[CAT]]="",0,1)</f>
        <v>1</v>
      </c>
      <c r="W1732" s="20">
        <v>46198</v>
      </c>
      <c r="X1732" s="21" t="str">
        <f>UPPER(IF(AUDITORIA[[#This Row],[DATA VERIFICAÇÃO]]="","",TEXT(AUDITORIA[[#This Row],[DATA VERIFICAÇÃO]],"mmm")))</f>
        <v>JUN</v>
      </c>
      <c r="Y1732" t="s">
        <v>598</v>
      </c>
      <c r="Z1732" t="s">
        <v>894</v>
      </c>
      <c r="AA1732" t="s">
        <v>895</v>
      </c>
    </row>
    <row r="1733" spans="1:27" ht="14.4" hidden="1" customHeight="1" x14ac:dyDescent="0.3">
      <c r="A1733" s="4" t="s">
        <v>279</v>
      </c>
      <c r="B1733" s="4" t="s">
        <v>17</v>
      </c>
      <c r="C1733" s="16" t="s">
        <v>18</v>
      </c>
      <c r="D1733" s="4">
        <v>11</v>
      </c>
      <c r="E1733" s="4" t="s">
        <v>745</v>
      </c>
      <c r="F1733" t="s">
        <v>354</v>
      </c>
      <c r="G1733" t="s">
        <v>290</v>
      </c>
      <c r="J1733" s="4" t="s">
        <v>19</v>
      </c>
      <c r="K1733" s="4" t="s">
        <v>20</v>
      </c>
      <c r="L1733" s="4" t="s">
        <v>742</v>
      </c>
      <c r="M1733" s="17">
        <v>30</v>
      </c>
      <c r="N1733" s="17">
        <v>764</v>
      </c>
      <c r="O1733" s="18" t="s">
        <v>19</v>
      </c>
      <c r="P1733" s="18">
        <v>764</v>
      </c>
      <c r="Q1733" s="18">
        <v>30</v>
      </c>
      <c r="R1733" s="18" t="s">
        <v>778</v>
      </c>
      <c r="S1733" s="18" t="s">
        <v>884</v>
      </c>
      <c r="T1733" s="18" t="s">
        <v>780</v>
      </c>
      <c r="U17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33" s="19">
        <f>IF(AUDITORIA[[#This Row],[CAT]]="",0,1)</f>
        <v>1</v>
      </c>
      <c r="W1733" s="20">
        <v>46198</v>
      </c>
      <c r="X1733" s="21" t="str">
        <f>UPPER(IF(AUDITORIA[[#This Row],[DATA VERIFICAÇÃO]]="","",TEXT(AUDITORIA[[#This Row],[DATA VERIFICAÇÃO]],"mmm")))</f>
        <v>JUN</v>
      </c>
      <c r="Y1733" t="s">
        <v>598</v>
      </c>
      <c r="Z1733" t="s">
        <v>894</v>
      </c>
      <c r="AA1733" t="s">
        <v>895</v>
      </c>
    </row>
    <row r="1734" spans="1:27" ht="14.4" hidden="1" customHeight="1" x14ac:dyDescent="0.3">
      <c r="A1734" s="4" t="s">
        <v>279</v>
      </c>
      <c r="B1734" s="4" t="s">
        <v>17</v>
      </c>
      <c r="C1734" s="16" t="s">
        <v>18</v>
      </c>
      <c r="D1734" s="4">
        <v>11</v>
      </c>
      <c r="E1734" s="4" t="s">
        <v>745</v>
      </c>
      <c r="F1734" t="s">
        <v>355</v>
      </c>
      <c r="G1734" t="s">
        <v>106</v>
      </c>
      <c r="J1734" s="4" t="s">
        <v>19</v>
      </c>
      <c r="K1734" s="4" t="s">
        <v>20</v>
      </c>
      <c r="L1734" s="4" t="s">
        <v>742</v>
      </c>
      <c r="M1734" s="17">
        <v>30</v>
      </c>
      <c r="N1734" s="17">
        <v>853</v>
      </c>
      <c r="O1734" s="18" t="s">
        <v>19</v>
      </c>
      <c r="P1734" s="18">
        <v>853</v>
      </c>
      <c r="Q1734" s="18">
        <v>30</v>
      </c>
      <c r="R1734" s="18" t="s">
        <v>778</v>
      </c>
      <c r="S1734" s="18" t="s">
        <v>882</v>
      </c>
      <c r="T1734" s="18" t="s">
        <v>780</v>
      </c>
      <c r="U17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34" s="19">
        <f>IF(AUDITORIA[[#This Row],[CAT]]="",0,1)</f>
        <v>1</v>
      </c>
      <c r="W1734" s="20">
        <v>46198</v>
      </c>
      <c r="X1734" s="21" t="str">
        <f>UPPER(IF(AUDITORIA[[#This Row],[DATA VERIFICAÇÃO]]="","",TEXT(AUDITORIA[[#This Row],[DATA VERIFICAÇÃO]],"mmm")))</f>
        <v>JUN</v>
      </c>
      <c r="Y1734" t="s">
        <v>598</v>
      </c>
      <c r="Z1734" t="s">
        <v>894</v>
      </c>
      <c r="AA1734" t="s">
        <v>895</v>
      </c>
    </row>
    <row r="1735" spans="1:27" ht="14.4" hidden="1" customHeight="1" x14ac:dyDescent="0.3">
      <c r="A1735" s="4" t="s">
        <v>279</v>
      </c>
      <c r="B1735" s="4" t="s">
        <v>17</v>
      </c>
      <c r="C1735" s="16" t="s">
        <v>18</v>
      </c>
      <c r="D1735" s="4">
        <v>11</v>
      </c>
      <c r="E1735" s="4" t="s">
        <v>745</v>
      </c>
      <c r="F1735" t="s">
        <v>356</v>
      </c>
      <c r="G1735" t="s">
        <v>106</v>
      </c>
      <c r="J1735" s="4" t="s">
        <v>19</v>
      </c>
      <c r="K1735" s="4" t="s">
        <v>20</v>
      </c>
      <c r="L1735" s="4" t="s">
        <v>742</v>
      </c>
      <c r="M1735" s="17">
        <v>30</v>
      </c>
      <c r="N1735" s="17">
        <v>849</v>
      </c>
      <c r="O1735" s="18" t="s">
        <v>19</v>
      </c>
      <c r="P1735" s="18">
        <v>849</v>
      </c>
      <c r="Q1735" s="18">
        <v>30</v>
      </c>
      <c r="R1735" s="18" t="s">
        <v>778</v>
      </c>
      <c r="S1735" s="18" t="s">
        <v>882</v>
      </c>
      <c r="T1735" s="18" t="s">
        <v>794</v>
      </c>
      <c r="U17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35" s="19">
        <f>IF(AUDITORIA[[#This Row],[CAT]]="",0,1)</f>
        <v>1</v>
      </c>
      <c r="W1735" s="20">
        <v>46198</v>
      </c>
      <c r="X1735" s="21" t="str">
        <f>UPPER(IF(AUDITORIA[[#This Row],[DATA VERIFICAÇÃO]]="","",TEXT(AUDITORIA[[#This Row],[DATA VERIFICAÇÃO]],"mmm")))</f>
        <v>JUN</v>
      </c>
      <c r="Y1735" t="s">
        <v>598</v>
      </c>
      <c r="Z1735" t="s">
        <v>894</v>
      </c>
      <c r="AA1735" t="s">
        <v>895</v>
      </c>
    </row>
    <row r="1736" spans="1:27" ht="14.4" hidden="1" customHeight="1" x14ac:dyDescent="0.3">
      <c r="A1736" s="4" t="s">
        <v>279</v>
      </c>
      <c r="B1736" s="4" t="s">
        <v>17</v>
      </c>
      <c r="C1736" s="16" t="s">
        <v>18</v>
      </c>
      <c r="D1736" s="4">
        <v>11</v>
      </c>
      <c r="E1736" s="4" t="s">
        <v>745</v>
      </c>
      <c r="F1736" t="s">
        <v>359</v>
      </c>
      <c r="G1736" t="s">
        <v>106</v>
      </c>
      <c r="J1736" s="4" t="s">
        <v>19</v>
      </c>
      <c r="K1736" s="4" t="s">
        <v>21</v>
      </c>
      <c r="L1736" s="4" t="s">
        <v>742</v>
      </c>
      <c r="M1736" s="17">
        <v>24</v>
      </c>
      <c r="N1736" s="17">
        <v>1026</v>
      </c>
      <c r="O1736" s="18" t="s">
        <v>19</v>
      </c>
      <c r="P1736" s="18">
        <v>1026</v>
      </c>
      <c r="Q1736" s="18">
        <v>24</v>
      </c>
      <c r="R1736" s="18" t="s">
        <v>778</v>
      </c>
      <c r="S1736" s="18" t="s">
        <v>883</v>
      </c>
      <c r="T1736" s="18" t="s">
        <v>794</v>
      </c>
      <c r="U17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36" s="19">
        <f>IF(AUDITORIA[[#This Row],[CAT]]="",0,1)</f>
        <v>1</v>
      </c>
      <c r="W1736" s="20">
        <v>46198</v>
      </c>
      <c r="X1736" s="21" t="str">
        <f>UPPER(IF(AUDITORIA[[#This Row],[DATA VERIFICAÇÃO]]="","",TEXT(AUDITORIA[[#This Row],[DATA VERIFICAÇÃO]],"mmm")))</f>
        <v>JUN</v>
      </c>
      <c r="Y1736" t="s">
        <v>598</v>
      </c>
      <c r="Z1736" t="s">
        <v>894</v>
      </c>
      <c r="AA1736" t="s">
        <v>895</v>
      </c>
    </row>
    <row r="1737" spans="1:27" ht="14.4" hidden="1" customHeight="1" x14ac:dyDescent="0.3">
      <c r="A1737" s="4" t="s">
        <v>279</v>
      </c>
      <c r="B1737" s="4" t="s">
        <v>17</v>
      </c>
      <c r="C1737" s="16" t="s">
        <v>18</v>
      </c>
      <c r="D1737" s="4">
        <v>11</v>
      </c>
      <c r="E1737" s="4" t="s">
        <v>745</v>
      </c>
      <c r="F1737" t="s">
        <v>495</v>
      </c>
      <c r="G1737" t="s">
        <v>85</v>
      </c>
      <c r="J1737" s="4" t="s">
        <v>88</v>
      </c>
      <c r="K1737" s="4" t="s">
        <v>20</v>
      </c>
      <c r="L1737" s="4" t="s">
        <v>742</v>
      </c>
      <c r="M1737" s="17">
        <v>5</v>
      </c>
      <c r="N1737" s="17">
        <v>676</v>
      </c>
      <c r="O1737" s="18" t="s">
        <v>88</v>
      </c>
      <c r="P1737" s="18">
        <v>676</v>
      </c>
      <c r="Q1737" s="18">
        <v>5</v>
      </c>
      <c r="R1737" s="18" t="s">
        <v>814</v>
      </c>
      <c r="S1737" s="18" t="s">
        <v>873</v>
      </c>
      <c r="T1737" s="18"/>
      <c r="U17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37" s="19">
        <f>IF(AUDITORIA[[#This Row],[CAT]]="",0,1)</f>
        <v>1</v>
      </c>
      <c r="W1737" s="20">
        <v>46198</v>
      </c>
      <c r="X1737" s="21" t="str">
        <f>UPPER(IF(AUDITORIA[[#This Row],[DATA VERIFICAÇÃO]]="","",TEXT(AUDITORIA[[#This Row],[DATA VERIFICAÇÃO]],"mmm")))</f>
        <v>JUN</v>
      </c>
      <c r="Y1737" t="s">
        <v>598</v>
      </c>
      <c r="Z1737" t="s">
        <v>894</v>
      </c>
      <c r="AA1737" t="s">
        <v>895</v>
      </c>
    </row>
    <row r="1738" spans="1:27" ht="14.4" hidden="1" customHeight="1" x14ac:dyDescent="0.3">
      <c r="A1738" s="4" t="s">
        <v>279</v>
      </c>
      <c r="B1738" s="4" t="s">
        <v>17</v>
      </c>
      <c r="C1738" s="16" t="s">
        <v>18</v>
      </c>
      <c r="D1738" s="4">
        <v>11</v>
      </c>
      <c r="E1738" s="4" t="s">
        <v>745</v>
      </c>
      <c r="F1738" t="s">
        <v>343</v>
      </c>
      <c r="G1738" t="s">
        <v>106</v>
      </c>
      <c r="J1738" s="4" t="s">
        <v>19</v>
      </c>
      <c r="K1738" s="4" t="s">
        <v>20</v>
      </c>
      <c r="L1738" s="4" t="s">
        <v>742</v>
      </c>
      <c r="M1738" s="17">
        <v>30</v>
      </c>
      <c r="N1738" s="17">
        <v>838</v>
      </c>
      <c r="O1738" s="18" t="s">
        <v>19</v>
      </c>
      <c r="P1738" s="18">
        <v>838</v>
      </c>
      <c r="Q1738" s="18">
        <v>30</v>
      </c>
      <c r="R1738" s="18" t="s">
        <v>778</v>
      </c>
      <c r="S1738" s="18" t="s">
        <v>884</v>
      </c>
      <c r="T1738" s="18" t="s">
        <v>782</v>
      </c>
      <c r="U17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38" s="19">
        <f>IF(AUDITORIA[[#This Row],[CAT]]="",0,1)</f>
        <v>1</v>
      </c>
      <c r="W1738" s="20">
        <v>46198</v>
      </c>
      <c r="X1738" s="21" t="str">
        <f>UPPER(IF(AUDITORIA[[#This Row],[DATA VERIFICAÇÃO]]="","",TEXT(AUDITORIA[[#This Row],[DATA VERIFICAÇÃO]],"mmm")))</f>
        <v>JUN</v>
      </c>
      <c r="Y1738" t="s">
        <v>598</v>
      </c>
      <c r="Z1738" t="s">
        <v>894</v>
      </c>
      <c r="AA1738" t="s">
        <v>895</v>
      </c>
    </row>
    <row r="1739" spans="1:27" ht="14.4" hidden="1" customHeight="1" x14ac:dyDescent="0.3">
      <c r="A1739" s="4" t="s">
        <v>279</v>
      </c>
      <c r="B1739" s="4" t="s">
        <v>17</v>
      </c>
      <c r="C1739" s="16" t="s">
        <v>18</v>
      </c>
      <c r="D1739" s="4">
        <v>11</v>
      </c>
      <c r="E1739" s="4" t="s">
        <v>745</v>
      </c>
      <c r="F1739" t="s">
        <v>344</v>
      </c>
      <c r="G1739" t="s">
        <v>106</v>
      </c>
      <c r="J1739" s="4" t="s">
        <v>19</v>
      </c>
      <c r="K1739" s="4" t="s">
        <v>20</v>
      </c>
      <c r="L1739" s="4" t="s">
        <v>742</v>
      </c>
      <c r="M1739" s="17">
        <v>30</v>
      </c>
      <c r="N1739" s="17">
        <v>853</v>
      </c>
      <c r="O1739" s="18" t="s">
        <v>19</v>
      </c>
      <c r="P1739" s="18">
        <v>853</v>
      </c>
      <c r="Q1739" s="18">
        <v>30</v>
      </c>
      <c r="R1739" s="18" t="s">
        <v>778</v>
      </c>
      <c r="S1739" s="18" t="s">
        <v>884</v>
      </c>
      <c r="T1739" s="18" t="s">
        <v>794</v>
      </c>
      <c r="U17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39" s="19">
        <f>IF(AUDITORIA[[#This Row],[CAT]]="",0,1)</f>
        <v>1</v>
      </c>
      <c r="W1739" s="20">
        <v>46198</v>
      </c>
      <c r="X1739" s="21" t="str">
        <f>UPPER(IF(AUDITORIA[[#This Row],[DATA VERIFICAÇÃO]]="","",TEXT(AUDITORIA[[#This Row],[DATA VERIFICAÇÃO]],"mmm")))</f>
        <v>JUN</v>
      </c>
      <c r="Y1739" t="s">
        <v>598</v>
      </c>
      <c r="Z1739" t="s">
        <v>894</v>
      </c>
      <c r="AA1739" t="s">
        <v>895</v>
      </c>
    </row>
    <row r="1740" spans="1:27" ht="14.4" hidden="1" customHeight="1" x14ac:dyDescent="0.3">
      <c r="A1740" s="4" t="s">
        <v>279</v>
      </c>
      <c r="B1740" s="4" t="s">
        <v>17</v>
      </c>
      <c r="C1740" s="16" t="s">
        <v>18</v>
      </c>
      <c r="D1740" s="4">
        <v>11</v>
      </c>
      <c r="E1740" s="4" t="s">
        <v>745</v>
      </c>
      <c r="F1740" t="s">
        <v>345</v>
      </c>
      <c r="G1740" t="s">
        <v>290</v>
      </c>
      <c r="J1740" s="4" t="s">
        <v>19</v>
      </c>
      <c r="K1740" s="4" t="s">
        <v>20</v>
      </c>
      <c r="L1740" s="4" t="s">
        <v>742</v>
      </c>
      <c r="M1740" s="17">
        <v>30</v>
      </c>
      <c r="N1740" s="17">
        <v>762</v>
      </c>
      <c r="O1740" s="18" t="s">
        <v>19</v>
      </c>
      <c r="P1740" s="18">
        <v>762</v>
      </c>
      <c r="Q1740" s="18">
        <v>30</v>
      </c>
      <c r="R1740" s="18" t="s">
        <v>778</v>
      </c>
      <c r="S1740" s="18" t="s">
        <v>889</v>
      </c>
      <c r="T1740" s="18" t="s">
        <v>840</v>
      </c>
      <c r="U17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40" s="19">
        <f>IF(AUDITORIA[[#This Row],[CAT]]="",0,1)</f>
        <v>1</v>
      </c>
      <c r="W1740" s="20">
        <v>46198</v>
      </c>
      <c r="X1740" s="21" t="str">
        <f>UPPER(IF(AUDITORIA[[#This Row],[DATA VERIFICAÇÃO]]="","",TEXT(AUDITORIA[[#This Row],[DATA VERIFICAÇÃO]],"mmm")))</f>
        <v>JUN</v>
      </c>
      <c r="Y1740" t="s">
        <v>598</v>
      </c>
      <c r="Z1740" t="s">
        <v>894</v>
      </c>
      <c r="AA1740" t="s">
        <v>895</v>
      </c>
    </row>
    <row r="1741" spans="1:27" ht="14.4" hidden="1" customHeight="1" x14ac:dyDescent="0.3">
      <c r="A1741" s="4" t="s">
        <v>279</v>
      </c>
      <c r="B1741" s="4" t="s">
        <v>17</v>
      </c>
      <c r="C1741" s="16" t="s">
        <v>18</v>
      </c>
      <c r="D1741" s="4">
        <v>11</v>
      </c>
      <c r="E1741" s="4" t="s">
        <v>745</v>
      </c>
      <c r="F1741" t="s">
        <v>348</v>
      </c>
      <c r="G1741" t="s">
        <v>106</v>
      </c>
      <c r="J1741" s="4" t="s">
        <v>19</v>
      </c>
      <c r="K1741" s="4" t="s">
        <v>20</v>
      </c>
      <c r="L1741" s="4" t="s">
        <v>742</v>
      </c>
      <c r="M1741" s="17">
        <v>30</v>
      </c>
      <c r="N1741" s="17">
        <v>842</v>
      </c>
      <c r="O1741" s="18" t="s">
        <v>19</v>
      </c>
      <c r="P1741" s="18">
        <v>842</v>
      </c>
      <c r="Q1741" s="18">
        <v>30</v>
      </c>
      <c r="R1741" s="18" t="s">
        <v>778</v>
      </c>
      <c r="S1741" s="18" t="s">
        <v>884</v>
      </c>
      <c r="T1741" s="18" t="s">
        <v>840</v>
      </c>
      <c r="U17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41" s="19">
        <f>IF(AUDITORIA[[#This Row],[CAT]]="",0,1)</f>
        <v>1</v>
      </c>
      <c r="W1741" s="20">
        <v>46198</v>
      </c>
      <c r="X1741" s="21" t="str">
        <f>UPPER(IF(AUDITORIA[[#This Row],[DATA VERIFICAÇÃO]]="","",TEXT(AUDITORIA[[#This Row],[DATA VERIFICAÇÃO]],"mmm")))</f>
        <v>JUN</v>
      </c>
      <c r="Y1741" t="s">
        <v>598</v>
      </c>
      <c r="Z1741" t="s">
        <v>894</v>
      </c>
      <c r="AA1741" t="s">
        <v>895</v>
      </c>
    </row>
    <row r="1742" spans="1:27" ht="14.4" hidden="1" customHeight="1" x14ac:dyDescent="0.3">
      <c r="A1742" s="4" t="s">
        <v>279</v>
      </c>
      <c r="B1742" s="4" t="s">
        <v>17</v>
      </c>
      <c r="C1742" s="16" t="s">
        <v>18</v>
      </c>
      <c r="D1742" s="4">
        <v>11</v>
      </c>
      <c r="E1742" s="4" t="s">
        <v>745</v>
      </c>
      <c r="F1742" t="s">
        <v>336</v>
      </c>
      <c r="G1742" t="s">
        <v>290</v>
      </c>
      <c r="J1742" s="4" t="s">
        <v>31</v>
      </c>
      <c r="K1742" s="4" t="s">
        <v>20</v>
      </c>
      <c r="L1742" s="4" t="s">
        <v>742</v>
      </c>
      <c r="M1742" s="17">
        <v>30</v>
      </c>
      <c r="N1742" s="17">
        <v>778</v>
      </c>
      <c r="O1742" s="18" t="s">
        <v>31</v>
      </c>
      <c r="P1742" s="18">
        <v>778</v>
      </c>
      <c r="Q1742" s="18">
        <v>30</v>
      </c>
      <c r="R1742" s="18" t="s">
        <v>778</v>
      </c>
      <c r="S1742" s="18" t="s">
        <v>888</v>
      </c>
      <c r="T1742" s="18" t="s">
        <v>840</v>
      </c>
      <c r="U17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42" s="19">
        <f>IF(AUDITORIA[[#This Row],[CAT]]="",0,1)</f>
        <v>1</v>
      </c>
      <c r="W1742" s="20">
        <v>46198</v>
      </c>
      <c r="X1742" s="21" t="str">
        <f>UPPER(IF(AUDITORIA[[#This Row],[DATA VERIFICAÇÃO]]="","",TEXT(AUDITORIA[[#This Row],[DATA VERIFICAÇÃO]],"mmm")))</f>
        <v>JUN</v>
      </c>
      <c r="Y1742" t="s">
        <v>598</v>
      </c>
      <c r="Z1742" t="s">
        <v>894</v>
      </c>
      <c r="AA1742" t="s">
        <v>895</v>
      </c>
    </row>
    <row r="1743" spans="1:27" ht="14.4" hidden="1" customHeight="1" x14ac:dyDescent="0.3">
      <c r="A1743" s="4" t="s">
        <v>279</v>
      </c>
      <c r="B1743" s="4" t="s">
        <v>17</v>
      </c>
      <c r="C1743" s="16" t="s">
        <v>18</v>
      </c>
      <c r="D1743" s="4">
        <v>11</v>
      </c>
      <c r="E1743" s="4" t="s">
        <v>745</v>
      </c>
      <c r="F1743" t="s">
        <v>337</v>
      </c>
      <c r="G1743" t="s">
        <v>290</v>
      </c>
      <c r="J1743" s="4" t="s">
        <v>31</v>
      </c>
      <c r="K1743" s="4" t="s">
        <v>21</v>
      </c>
      <c r="L1743" s="4" t="s">
        <v>742</v>
      </c>
      <c r="M1743" s="17">
        <v>27</v>
      </c>
      <c r="N1743" s="17">
        <v>928</v>
      </c>
      <c r="O1743" s="18" t="s">
        <v>31</v>
      </c>
      <c r="P1743" s="18">
        <v>928</v>
      </c>
      <c r="Q1743" s="18">
        <v>27</v>
      </c>
      <c r="R1743" s="18" t="s">
        <v>778</v>
      </c>
      <c r="S1743" s="18" t="s">
        <v>887</v>
      </c>
      <c r="T1743" s="18" t="s">
        <v>794</v>
      </c>
      <c r="U17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43" s="19">
        <f>IF(AUDITORIA[[#This Row],[CAT]]="",0,1)</f>
        <v>1</v>
      </c>
      <c r="W1743" s="20">
        <v>46198</v>
      </c>
      <c r="X1743" s="21" t="str">
        <f>UPPER(IF(AUDITORIA[[#This Row],[DATA VERIFICAÇÃO]]="","",TEXT(AUDITORIA[[#This Row],[DATA VERIFICAÇÃO]],"mmm")))</f>
        <v>JUN</v>
      </c>
      <c r="Y1743" t="s">
        <v>598</v>
      </c>
      <c r="Z1743" t="s">
        <v>894</v>
      </c>
      <c r="AA1743" t="s">
        <v>895</v>
      </c>
    </row>
    <row r="1744" spans="1:27" ht="14.4" hidden="1" customHeight="1" x14ac:dyDescent="0.3">
      <c r="A1744" s="4" t="s">
        <v>279</v>
      </c>
      <c r="B1744" s="4" t="s">
        <v>17</v>
      </c>
      <c r="C1744" s="16" t="s">
        <v>18</v>
      </c>
      <c r="D1744" s="4">
        <v>11</v>
      </c>
      <c r="E1744" s="4" t="s">
        <v>745</v>
      </c>
      <c r="F1744" t="s">
        <v>338</v>
      </c>
      <c r="G1744" t="s">
        <v>290</v>
      </c>
      <c r="J1744" s="4" t="s">
        <v>31</v>
      </c>
      <c r="K1744" s="4" t="s">
        <v>20</v>
      </c>
      <c r="L1744" s="4" t="s">
        <v>742</v>
      </c>
      <c r="M1744" s="17">
        <v>30</v>
      </c>
      <c r="N1744" s="17">
        <v>787</v>
      </c>
      <c r="O1744" s="18" t="s">
        <v>31</v>
      </c>
      <c r="P1744" s="18">
        <v>787</v>
      </c>
      <c r="Q1744" s="18">
        <v>30</v>
      </c>
      <c r="R1744" s="18" t="s">
        <v>778</v>
      </c>
      <c r="S1744" s="18" t="s">
        <v>888</v>
      </c>
      <c r="T1744" s="18" t="s">
        <v>794</v>
      </c>
      <c r="U17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44" s="19">
        <f>IF(AUDITORIA[[#This Row],[CAT]]="",0,1)</f>
        <v>1</v>
      </c>
      <c r="W1744" s="20">
        <v>46198</v>
      </c>
      <c r="X1744" s="21" t="str">
        <f>UPPER(IF(AUDITORIA[[#This Row],[DATA VERIFICAÇÃO]]="","",TEXT(AUDITORIA[[#This Row],[DATA VERIFICAÇÃO]],"mmm")))</f>
        <v>JUN</v>
      </c>
      <c r="Y1744" t="s">
        <v>598</v>
      </c>
      <c r="Z1744" t="s">
        <v>894</v>
      </c>
      <c r="AA1744" t="s">
        <v>895</v>
      </c>
    </row>
    <row r="1745" spans="1:27" ht="14.4" hidden="1" customHeight="1" x14ac:dyDescent="0.3">
      <c r="A1745" s="4" t="s">
        <v>279</v>
      </c>
      <c r="B1745" s="4" t="s">
        <v>17</v>
      </c>
      <c r="C1745" s="16" t="s">
        <v>18</v>
      </c>
      <c r="D1745" s="4">
        <v>11</v>
      </c>
      <c r="E1745" s="4" t="s">
        <v>745</v>
      </c>
      <c r="F1745" t="s">
        <v>339</v>
      </c>
      <c r="G1745" t="s">
        <v>106</v>
      </c>
      <c r="J1745" s="4" t="s">
        <v>19</v>
      </c>
      <c r="K1745" s="4" t="s">
        <v>20</v>
      </c>
      <c r="L1745" s="4" t="s">
        <v>742</v>
      </c>
      <c r="M1745" s="17">
        <v>30</v>
      </c>
      <c r="N1745" s="17">
        <v>825</v>
      </c>
      <c r="O1745" s="18" t="s">
        <v>19</v>
      </c>
      <c r="P1745" s="18">
        <v>825</v>
      </c>
      <c r="Q1745" s="18">
        <v>30</v>
      </c>
      <c r="R1745" s="18" t="s">
        <v>778</v>
      </c>
      <c r="S1745" s="18" t="s">
        <v>884</v>
      </c>
      <c r="T1745" s="18" t="s">
        <v>780</v>
      </c>
      <c r="U17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45" s="19">
        <f>IF(AUDITORIA[[#This Row],[CAT]]="",0,1)</f>
        <v>1</v>
      </c>
      <c r="W1745" s="20">
        <v>46198</v>
      </c>
      <c r="X1745" s="21" t="str">
        <f>UPPER(IF(AUDITORIA[[#This Row],[DATA VERIFICAÇÃO]]="","",TEXT(AUDITORIA[[#This Row],[DATA VERIFICAÇÃO]],"mmm")))</f>
        <v>JUN</v>
      </c>
      <c r="Y1745" t="s">
        <v>598</v>
      </c>
      <c r="Z1745" t="s">
        <v>894</v>
      </c>
      <c r="AA1745" t="s">
        <v>895</v>
      </c>
    </row>
    <row r="1746" spans="1:27" ht="14.4" hidden="1" customHeight="1" x14ac:dyDescent="0.3">
      <c r="A1746" s="4" t="s">
        <v>279</v>
      </c>
      <c r="B1746" s="4" t="s">
        <v>17</v>
      </c>
      <c r="C1746" s="16" t="s">
        <v>18</v>
      </c>
      <c r="D1746" s="4">
        <v>11</v>
      </c>
      <c r="E1746" s="4" t="s">
        <v>745</v>
      </c>
      <c r="F1746" t="s">
        <v>340</v>
      </c>
      <c r="G1746" t="s">
        <v>106</v>
      </c>
      <c r="J1746" s="4" t="s">
        <v>19</v>
      </c>
      <c r="K1746" s="4" t="s">
        <v>20</v>
      </c>
      <c r="L1746" s="4" t="s">
        <v>742</v>
      </c>
      <c r="M1746" s="17">
        <v>30</v>
      </c>
      <c r="N1746" s="17">
        <v>842</v>
      </c>
      <c r="O1746" s="18" t="s">
        <v>19</v>
      </c>
      <c r="P1746" s="18">
        <v>842</v>
      </c>
      <c r="Q1746" s="18">
        <v>30</v>
      </c>
      <c r="R1746" s="18" t="s">
        <v>778</v>
      </c>
      <c r="S1746" s="18" t="s">
        <v>884</v>
      </c>
      <c r="T1746" s="18" t="s">
        <v>781</v>
      </c>
      <c r="U17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46" s="19">
        <f>IF(AUDITORIA[[#This Row],[CAT]]="",0,1)</f>
        <v>1</v>
      </c>
      <c r="W1746" s="20">
        <v>46198</v>
      </c>
      <c r="X1746" s="21" t="str">
        <f>UPPER(IF(AUDITORIA[[#This Row],[DATA VERIFICAÇÃO]]="","",TEXT(AUDITORIA[[#This Row],[DATA VERIFICAÇÃO]],"mmm")))</f>
        <v>JUN</v>
      </c>
      <c r="Y1746" t="s">
        <v>598</v>
      </c>
      <c r="Z1746" t="s">
        <v>894</v>
      </c>
      <c r="AA1746" t="s">
        <v>895</v>
      </c>
    </row>
    <row r="1747" spans="1:27" ht="14.4" hidden="1" customHeight="1" x14ac:dyDescent="0.3">
      <c r="A1747" s="4" t="s">
        <v>279</v>
      </c>
      <c r="B1747" s="4" t="s">
        <v>17</v>
      </c>
      <c r="C1747" s="16" t="s">
        <v>18</v>
      </c>
      <c r="D1747" s="4">
        <v>11</v>
      </c>
      <c r="E1747" s="4" t="s">
        <v>745</v>
      </c>
      <c r="F1747" t="s">
        <v>341</v>
      </c>
      <c r="G1747" t="s">
        <v>290</v>
      </c>
      <c r="J1747" s="4" t="s">
        <v>19</v>
      </c>
      <c r="K1747" s="4" t="s">
        <v>20</v>
      </c>
      <c r="L1747" s="4" t="s">
        <v>742</v>
      </c>
      <c r="M1747" s="17">
        <v>30</v>
      </c>
      <c r="N1747" s="17">
        <v>787</v>
      </c>
      <c r="O1747" s="18" t="s">
        <v>19</v>
      </c>
      <c r="P1747" s="18">
        <v>787</v>
      </c>
      <c r="Q1747" s="18">
        <v>30</v>
      </c>
      <c r="R1747" s="18" t="s">
        <v>778</v>
      </c>
      <c r="S1747" s="18" t="s">
        <v>889</v>
      </c>
      <c r="T1747" s="18" t="s">
        <v>794</v>
      </c>
      <c r="U17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47" s="19">
        <f>IF(AUDITORIA[[#This Row],[CAT]]="",0,1)</f>
        <v>1</v>
      </c>
      <c r="W1747" s="20">
        <v>46198</v>
      </c>
      <c r="X1747" s="21" t="str">
        <f>UPPER(IF(AUDITORIA[[#This Row],[DATA VERIFICAÇÃO]]="","",TEXT(AUDITORIA[[#This Row],[DATA VERIFICAÇÃO]],"mmm")))</f>
        <v>JUN</v>
      </c>
      <c r="Y1747" t="s">
        <v>598</v>
      </c>
      <c r="Z1747" t="s">
        <v>894</v>
      </c>
      <c r="AA1747" t="s">
        <v>895</v>
      </c>
    </row>
    <row r="1748" spans="1:27" ht="14.4" hidden="1" customHeight="1" x14ac:dyDescent="0.3">
      <c r="A1748" s="4" t="s">
        <v>279</v>
      </c>
      <c r="B1748" s="4" t="s">
        <v>17</v>
      </c>
      <c r="C1748" s="16" t="s">
        <v>18</v>
      </c>
      <c r="D1748" s="4">
        <v>11</v>
      </c>
      <c r="E1748" s="4" t="s">
        <v>745</v>
      </c>
      <c r="F1748" t="s">
        <v>342</v>
      </c>
      <c r="G1748" t="s">
        <v>106</v>
      </c>
      <c r="J1748" s="4" t="s">
        <v>19</v>
      </c>
      <c r="K1748" s="4" t="s">
        <v>21</v>
      </c>
      <c r="L1748" s="4" t="s">
        <v>742</v>
      </c>
      <c r="M1748" s="17">
        <v>24</v>
      </c>
      <c r="N1748" s="17">
        <v>1029</v>
      </c>
      <c r="O1748" s="18" t="s">
        <v>19</v>
      </c>
      <c r="P1748" s="18">
        <v>1029</v>
      </c>
      <c r="Q1748" s="18">
        <v>24</v>
      </c>
      <c r="R1748" s="18" t="s">
        <v>778</v>
      </c>
      <c r="S1748" s="18" t="s">
        <v>875</v>
      </c>
      <c r="T1748" s="18" t="s">
        <v>843</v>
      </c>
      <c r="U17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48" s="19">
        <f>IF(AUDITORIA[[#This Row],[CAT]]="",0,1)</f>
        <v>1</v>
      </c>
      <c r="W1748" s="20">
        <v>46198</v>
      </c>
      <c r="X1748" s="21" t="str">
        <f>UPPER(IF(AUDITORIA[[#This Row],[DATA VERIFICAÇÃO]]="","",TEXT(AUDITORIA[[#This Row],[DATA VERIFICAÇÃO]],"mmm")))</f>
        <v>JUN</v>
      </c>
      <c r="Y1748" t="s">
        <v>598</v>
      </c>
      <c r="Z1748" t="s">
        <v>894</v>
      </c>
      <c r="AA1748" t="s">
        <v>895</v>
      </c>
    </row>
    <row r="1749" spans="1:27" ht="14.4" hidden="1" customHeight="1" x14ac:dyDescent="0.3">
      <c r="A1749" s="4" t="s">
        <v>279</v>
      </c>
      <c r="B1749" s="4" t="s">
        <v>17</v>
      </c>
      <c r="C1749" s="16" t="s">
        <v>18</v>
      </c>
      <c r="D1749" s="4">
        <v>11</v>
      </c>
      <c r="E1749" s="4" t="s">
        <v>745</v>
      </c>
      <c r="F1749" t="s">
        <v>333</v>
      </c>
      <c r="G1749" t="s">
        <v>106</v>
      </c>
      <c r="J1749" s="4" t="s">
        <v>19</v>
      </c>
      <c r="K1749" s="4" t="s">
        <v>20</v>
      </c>
      <c r="L1749" s="4" t="s">
        <v>742</v>
      </c>
      <c r="M1749" s="17">
        <v>30</v>
      </c>
      <c r="N1749" s="17">
        <v>842</v>
      </c>
      <c r="O1749" s="18" t="s">
        <v>19</v>
      </c>
      <c r="P1749" s="18">
        <v>842</v>
      </c>
      <c r="Q1749" s="18">
        <v>30</v>
      </c>
      <c r="R1749" s="18" t="s">
        <v>778</v>
      </c>
      <c r="S1749" s="18" t="s">
        <v>876</v>
      </c>
      <c r="T1749" s="18" t="s">
        <v>843</v>
      </c>
      <c r="U17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49" s="19">
        <f>IF(AUDITORIA[[#This Row],[CAT]]="",0,1)</f>
        <v>1</v>
      </c>
      <c r="W1749" s="20">
        <v>46198</v>
      </c>
      <c r="X1749" s="21" t="str">
        <f>UPPER(IF(AUDITORIA[[#This Row],[DATA VERIFICAÇÃO]]="","",TEXT(AUDITORIA[[#This Row],[DATA VERIFICAÇÃO]],"mmm")))</f>
        <v>JUN</v>
      </c>
      <c r="Y1749" t="s">
        <v>598</v>
      </c>
      <c r="Z1749" t="s">
        <v>894</v>
      </c>
      <c r="AA1749" t="s">
        <v>895</v>
      </c>
    </row>
    <row r="1750" spans="1:27" ht="14.4" hidden="1" customHeight="1" x14ac:dyDescent="0.3">
      <c r="A1750" s="4" t="s">
        <v>279</v>
      </c>
      <c r="B1750" s="4" t="s">
        <v>17</v>
      </c>
      <c r="C1750" s="16" t="s">
        <v>18</v>
      </c>
      <c r="D1750" s="4">
        <v>11</v>
      </c>
      <c r="E1750" s="4" t="s">
        <v>745</v>
      </c>
      <c r="F1750" t="s">
        <v>334</v>
      </c>
      <c r="G1750" t="s">
        <v>290</v>
      </c>
      <c r="J1750" s="4" t="s">
        <v>31</v>
      </c>
      <c r="K1750" s="4" t="s">
        <v>20</v>
      </c>
      <c r="L1750" s="4" t="s">
        <v>742</v>
      </c>
      <c r="M1750" s="17">
        <v>30</v>
      </c>
      <c r="N1750" s="17">
        <v>785</v>
      </c>
      <c r="O1750" s="18" t="s">
        <v>31</v>
      </c>
      <c r="P1750" s="18">
        <v>785</v>
      </c>
      <c r="Q1750" s="18">
        <v>30</v>
      </c>
      <c r="R1750" s="18" t="s">
        <v>778</v>
      </c>
      <c r="S1750" s="18" t="s">
        <v>888</v>
      </c>
      <c r="T1750" s="18" t="s">
        <v>843</v>
      </c>
      <c r="U17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50" s="19">
        <f>IF(AUDITORIA[[#This Row],[CAT]]="",0,1)</f>
        <v>1</v>
      </c>
      <c r="W1750" s="20">
        <v>46198</v>
      </c>
      <c r="X1750" s="21" t="str">
        <f>UPPER(IF(AUDITORIA[[#This Row],[DATA VERIFICAÇÃO]]="","",TEXT(AUDITORIA[[#This Row],[DATA VERIFICAÇÃO]],"mmm")))</f>
        <v>JUN</v>
      </c>
      <c r="Y1750" t="s">
        <v>598</v>
      </c>
      <c r="Z1750" t="s">
        <v>894</v>
      </c>
      <c r="AA1750" t="s">
        <v>895</v>
      </c>
    </row>
    <row r="1751" spans="1:27" ht="14.4" hidden="1" customHeight="1" x14ac:dyDescent="0.3">
      <c r="A1751" s="4" t="s">
        <v>279</v>
      </c>
      <c r="B1751" s="4" t="s">
        <v>17</v>
      </c>
      <c r="C1751" s="16" t="s">
        <v>18</v>
      </c>
      <c r="D1751" s="4">
        <v>11</v>
      </c>
      <c r="E1751" s="4" t="s">
        <v>745</v>
      </c>
      <c r="F1751" t="s">
        <v>335</v>
      </c>
      <c r="G1751" t="s">
        <v>106</v>
      </c>
      <c r="J1751" s="4" t="s">
        <v>19</v>
      </c>
      <c r="K1751" s="4" t="s">
        <v>21</v>
      </c>
      <c r="L1751" s="4" t="s">
        <v>742</v>
      </c>
      <c r="M1751" s="17">
        <v>24</v>
      </c>
      <c r="N1751" s="17">
        <v>1027</v>
      </c>
      <c r="O1751" s="18" t="s">
        <v>19</v>
      </c>
      <c r="P1751" s="18">
        <v>1027</v>
      </c>
      <c r="Q1751" s="18">
        <v>24</v>
      </c>
      <c r="R1751" s="18" t="s">
        <v>778</v>
      </c>
      <c r="S1751" s="18" t="s">
        <v>875</v>
      </c>
      <c r="T1751" s="18" t="s">
        <v>840</v>
      </c>
      <c r="U17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51" s="19">
        <f>IF(AUDITORIA[[#This Row],[CAT]]="",0,1)</f>
        <v>1</v>
      </c>
      <c r="W1751" s="20">
        <v>46198</v>
      </c>
      <c r="X1751" s="21" t="str">
        <f>UPPER(IF(AUDITORIA[[#This Row],[DATA VERIFICAÇÃO]]="","",TEXT(AUDITORIA[[#This Row],[DATA VERIFICAÇÃO]],"mmm")))</f>
        <v>JUN</v>
      </c>
      <c r="Y1751" t="s">
        <v>598</v>
      </c>
      <c r="Z1751" t="s">
        <v>894</v>
      </c>
      <c r="AA1751" t="s">
        <v>895</v>
      </c>
    </row>
    <row r="1752" spans="1:27" ht="14.4" hidden="1" customHeight="1" x14ac:dyDescent="0.3">
      <c r="A1752" s="4" t="s">
        <v>279</v>
      </c>
      <c r="B1752" s="4" t="s">
        <v>17</v>
      </c>
      <c r="C1752" s="16" t="s">
        <v>18</v>
      </c>
      <c r="D1752" s="4">
        <v>11</v>
      </c>
      <c r="E1752" s="4" t="s">
        <v>745</v>
      </c>
      <c r="F1752" t="s">
        <v>324</v>
      </c>
      <c r="G1752" t="s">
        <v>290</v>
      </c>
      <c r="J1752" s="4" t="s">
        <v>31</v>
      </c>
      <c r="K1752" s="4" t="s">
        <v>21</v>
      </c>
      <c r="L1752" s="4" t="s">
        <v>742</v>
      </c>
      <c r="M1752" s="17">
        <v>27</v>
      </c>
      <c r="N1752" s="17">
        <v>934</v>
      </c>
      <c r="O1752" s="18" t="s">
        <v>31</v>
      </c>
      <c r="P1752" s="18">
        <v>934</v>
      </c>
      <c r="Q1752" s="18">
        <v>27</v>
      </c>
      <c r="R1752" s="18" t="s">
        <v>778</v>
      </c>
      <c r="S1752" s="18" t="s">
        <v>887</v>
      </c>
      <c r="T1752" s="18" t="s">
        <v>781</v>
      </c>
      <c r="U17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52" s="19">
        <f>IF(AUDITORIA[[#This Row],[CAT]]="",0,1)</f>
        <v>1</v>
      </c>
      <c r="W1752" s="20">
        <v>46198</v>
      </c>
      <c r="X1752" s="21" t="str">
        <f>UPPER(IF(AUDITORIA[[#This Row],[DATA VERIFICAÇÃO]]="","",TEXT(AUDITORIA[[#This Row],[DATA VERIFICAÇÃO]],"mmm")))</f>
        <v>JUN</v>
      </c>
      <c r="Y1752" t="s">
        <v>598</v>
      </c>
      <c r="Z1752" t="s">
        <v>894</v>
      </c>
      <c r="AA1752" t="s">
        <v>895</v>
      </c>
    </row>
    <row r="1753" spans="1:27" ht="14.4" hidden="1" customHeight="1" x14ac:dyDescent="0.3">
      <c r="A1753" s="4" t="s">
        <v>279</v>
      </c>
      <c r="B1753" s="4" t="s">
        <v>17</v>
      </c>
      <c r="C1753" s="16" t="s">
        <v>18</v>
      </c>
      <c r="D1753" s="4">
        <v>11</v>
      </c>
      <c r="E1753" s="4" t="s">
        <v>745</v>
      </c>
      <c r="F1753" t="s">
        <v>328</v>
      </c>
      <c r="G1753" t="s">
        <v>290</v>
      </c>
      <c r="J1753" s="4" t="s">
        <v>31</v>
      </c>
      <c r="K1753" s="4" t="s">
        <v>20</v>
      </c>
      <c r="L1753" s="4" t="s">
        <v>742</v>
      </c>
      <c r="M1753" s="17">
        <v>30</v>
      </c>
      <c r="N1753" s="17">
        <v>783</v>
      </c>
      <c r="O1753" s="18" t="s">
        <v>31</v>
      </c>
      <c r="P1753" s="18">
        <v>783</v>
      </c>
      <c r="Q1753" s="18">
        <v>30</v>
      </c>
      <c r="R1753" s="18" t="s">
        <v>778</v>
      </c>
      <c r="S1753" s="18" t="s">
        <v>888</v>
      </c>
      <c r="T1753" s="18" t="s">
        <v>780</v>
      </c>
      <c r="U17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53" s="19">
        <f>IF(AUDITORIA[[#This Row],[CAT]]="",0,1)</f>
        <v>1</v>
      </c>
      <c r="W1753" s="20">
        <v>46198</v>
      </c>
      <c r="X1753" s="21" t="str">
        <f>UPPER(IF(AUDITORIA[[#This Row],[DATA VERIFICAÇÃO]]="","",TEXT(AUDITORIA[[#This Row],[DATA VERIFICAÇÃO]],"mmm")))</f>
        <v>JUN</v>
      </c>
      <c r="Y1753" t="s">
        <v>598</v>
      </c>
      <c r="Z1753" t="s">
        <v>894</v>
      </c>
      <c r="AA1753" t="s">
        <v>895</v>
      </c>
    </row>
    <row r="1754" spans="1:27" ht="14.4" hidden="1" customHeight="1" x14ac:dyDescent="0.3">
      <c r="A1754" s="4" t="s">
        <v>279</v>
      </c>
      <c r="B1754" s="4" t="s">
        <v>17</v>
      </c>
      <c r="C1754" s="16" t="s">
        <v>18</v>
      </c>
      <c r="D1754" s="4">
        <v>11</v>
      </c>
      <c r="E1754" s="4" t="s">
        <v>745</v>
      </c>
      <c r="F1754" t="s">
        <v>330</v>
      </c>
      <c r="G1754" t="s">
        <v>290</v>
      </c>
      <c r="J1754" s="4" t="s">
        <v>31</v>
      </c>
      <c r="K1754" s="4" t="s">
        <v>20</v>
      </c>
      <c r="L1754" s="4" t="s">
        <v>742</v>
      </c>
      <c r="M1754" s="17">
        <v>30</v>
      </c>
      <c r="N1754" s="17">
        <v>789</v>
      </c>
      <c r="O1754" s="18" t="s">
        <v>31</v>
      </c>
      <c r="P1754" s="18">
        <v>789</v>
      </c>
      <c r="Q1754" s="18">
        <v>30</v>
      </c>
      <c r="R1754" s="18" t="s">
        <v>778</v>
      </c>
      <c r="S1754" s="18" t="s">
        <v>888</v>
      </c>
      <c r="T1754" s="18" t="s">
        <v>782</v>
      </c>
      <c r="U17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54" s="19">
        <f>IF(AUDITORIA[[#This Row],[CAT]]="",0,1)</f>
        <v>1</v>
      </c>
      <c r="W1754" s="20">
        <v>46198</v>
      </c>
      <c r="X1754" s="21" t="str">
        <f>UPPER(IF(AUDITORIA[[#This Row],[DATA VERIFICAÇÃO]]="","",TEXT(AUDITORIA[[#This Row],[DATA VERIFICAÇÃO]],"mmm")))</f>
        <v>JUN</v>
      </c>
      <c r="Y1754" t="s">
        <v>598</v>
      </c>
      <c r="Z1754" t="s">
        <v>894</v>
      </c>
      <c r="AA1754" t="s">
        <v>895</v>
      </c>
    </row>
    <row r="1755" spans="1:27" ht="14.4" hidden="1" customHeight="1" x14ac:dyDescent="0.3">
      <c r="A1755" s="4" t="s">
        <v>279</v>
      </c>
      <c r="B1755" s="4" t="s">
        <v>17</v>
      </c>
      <c r="C1755" s="16" t="s">
        <v>18</v>
      </c>
      <c r="D1755" s="4">
        <v>11</v>
      </c>
      <c r="E1755" s="4" t="s">
        <v>745</v>
      </c>
      <c r="F1755" t="s">
        <v>331</v>
      </c>
      <c r="G1755" t="s">
        <v>106</v>
      </c>
      <c r="J1755" s="4" t="s">
        <v>19</v>
      </c>
      <c r="K1755" s="4" t="s">
        <v>20</v>
      </c>
      <c r="L1755" s="4" t="s">
        <v>742</v>
      </c>
      <c r="M1755" s="17">
        <v>30</v>
      </c>
      <c r="N1755" s="17">
        <v>851</v>
      </c>
      <c r="O1755" s="18" t="s">
        <v>19</v>
      </c>
      <c r="P1755" s="18">
        <v>851</v>
      </c>
      <c r="Q1755" s="18">
        <v>30</v>
      </c>
      <c r="R1755" s="18" t="s">
        <v>778</v>
      </c>
      <c r="S1755" s="18" t="s">
        <v>876</v>
      </c>
      <c r="T1755" s="18" t="s">
        <v>840</v>
      </c>
      <c r="U17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55" s="19">
        <f>IF(AUDITORIA[[#This Row],[CAT]]="",0,1)</f>
        <v>1</v>
      </c>
      <c r="W1755" s="20">
        <v>46198</v>
      </c>
      <c r="X1755" s="21" t="str">
        <f>UPPER(IF(AUDITORIA[[#This Row],[DATA VERIFICAÇÃO]]="","",TEXT(AUDITORIA[[#This Row],[DATA VERIFICAÇÃO]],"mmm")))</f>
        <v>JUN</v>
      </c>
      <c r="Y1755" t="s">
        <v>598</v>
      </c>
      <c r="Z1755" t="s">
        <v>894</v>
      </c>
      <c r="AA1755" t="s">
        <v>895</v>
      </c>
    </row>
    <row r="1756" spans="1:27" ht="14.4" hidden="1" customHeight="1" x14ac:dyDescent="0.3">
      <c r="A1756" s="4" t="s">
        <v>279</v>
      </c>
      <c r="B1756" s="4" t="s">
        <v>17</v>
      </c>
      <c r="C1756" s="16" t="s">
        <v>18</v>
      </c>
      <c r="D1756" s="4">
        <v>11</v>
      </c>
      <c r="E1756" s="4" t="s">
        <v>745</v>
      </c>
      <c r="F1756" t="s">
        <v>332</v>
      </c>
      <c r="G1756" t="s">
        <v>290</v>
      </c>
      <c r="J1756" s="4" t="s">
        <v>31</v>
      </c>
      <c r="K1756" s="4" t="s">
        <v>21</v>
      </c>
      <c r="L1756" s="4" t="s">
        <v>742</v>
      </c>
      <c r="M1756" s="17">
        <v>27</v>
      </c>
      <c r="N1756" s="17">
        <v>937</v>
      </c>
      <c r="O1756" s="18" t="s">
        <v>31</v>
      </c>
      <c r="P1756" s="18">
        <v>937</v>
      </c>
      <c r="Q1756" s="18">
        <v>27</v>
      </c>
      <c r="R1756" s="18" t="s">
        <v>778</v>
      </c>
      <c r="S1756" s="18" t="s">
        <v>887</v>
      </c>
      <c r="T1756" s="18" t="s">
        <v>782</v>
      </c>
      <c r="U17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56" s="19">
        <f>IF(AUDITORIA[[#This Row],[CAT]]="",0,1)</f>
        <v>1</v>
      </c>
      <c r="W1756" s="20">
        <v>46198</v>
      </c>
      <c r="X1756" s="21" t="str">
        <f>UPPER(IF(AUDITORIA[[#This Row],[DATA VERIFICAÇÃO]]="","",TEXT(AUDITORIA[[#This Row],[DATA VERIFICAÇÃO]],"mmm")))</f>
        <v>JUN</v>
      </c>
      <c r="Y1756" t="s">
        <v>598</v>
      </c>
      <c r="Z1756" t="s">
        <v>894</v>
      </c>
      <c r="AA1756" t="s">
        <v>895</v>
      </c>
    </row>
    <row r="1757" spans="1:27" ht="14.4" hidden="1" customHeight="1" x14ac:dyDescent="0.3">
      <c r="A1757" s="4" t="s">
        <v>279</v>
      </c>
      <c r="B1757" s="4" t="s">
        <v>17</v>
      </c>
      <c r="C1757" s="16" t="s">
        <v>18</v>
      </c>
      <c r="D1757" s="4">
        <v>11</v>
      </c>
      <c r="E1757" s="4" t="s">
        <v>745</v>
      </c>
      <c r="F1757" t="s">
        <v>314</v>
      </c>
      <c r="G1757" t="s">
        <v>290</v>
      </c>
      <c r="J1757" s="4" t="s">
        <v>19</v>
      </c>
      <c r="K1757" s="4" t="s">
        <v>21</v>
      </c>
      <c r="L1757" s="4" t="s">
        <v>742</v>
      </c>
      <c r="M1757" s="17">
        <v>27</v>
      </c>
      <c r="N1757" s="17">
        <v>917</v>
      </c>
      <c r="O1757" s="18" t="s">
        <v>19</v>
      </c>
      <c r="P1757" s="18">
        <v>917</v>
      </c>
      <c r="Q1757" s="18">
        <v>27</v>
      </c>
      <c r="R1757" s="18" t="s">
        <v>778</v>
      </c>
      <c r="S1757" s="18" t="s">
        <v>890</v>
      </c>
      <c r="T1757" s="18" t="s">
        <v>780</v>
      </c>
      <c r="U17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57" s="19">
        <f>IF(AUDITORIA[[#This Row],[CAT]]="",0,1)</f>
        <v>1</v>
      </c>
      <c r="W1757" s="20">
        <v>46198</v>
      </c>
      <c r="X1757" s="21" t="str">
        <f>UPPER(IF(AUDITORIA[[#This Row],[DATA VERIFICAÇÃO]]="","",TEXT(AUDITORIA[[#This Row],[DATA VERIFICAÇÃO]],"mmm")))</f>
        <v>JUN</v>
      </c>
      <c r="Y1757" t="s">
        <v>598</v>
      </c>
      <c r="Z1757" t="s">
        <v>894</v>
      </c>
      <c r="AA1757" t="s">
        <v>895</v>
      </c>
    </row>
    <row r="1758" spans="1:27" ht="14.4" hidden="1" customHeight="1" x14ac:dyDescent="0.3">
      <c r="A1758" s="4" t="s">
        <v>279</v>
      </c>
      <c r="B1758" s="4" t="s">
        <v>17</v>
      </c>
      <c r="C1758" s="16" t="s">
        <v>18</v>
      </c>
      <c r="D1758" s="4">
        <v>11</v>
      </c>
      <c r="E1758" s="4" t="s">
        <v>745</v>
      </c>
      <c r="F1758" t="s">
        <v>320</v>
      </c>
      <c r="G1758" t="s">
        <v>290</v>
      </c>
      <c r="J1758" s="4" t="s">
        <v>19</v>
      </c>
      <c r="K1758" s="4" t="s">
        <v>20</v>
      </c>
      <c r="L1758" s="4" t="s">
        <v>742</v>
      </c>
      <c r="M1758" s="17">
        <v>30</v>
      </c>
      <c r="N1758" s="17">
        <v>786</v>
      </c>
      <c r="O1758" s="18" t="s">
        <v>19</v>
      </c>
      <c r="P1758" s="18">
        <v>786</v>
      </c>
      <c r="Q1758" s="18">
        <v>30</v>
      </c>
      <c r="R1758" s="18" t="s">
        <v>778</v>
      </c>
      <c r="S1758" s="18" t="s">
        <v>889</v>
      </c>
      <c r="T1758" s="18" t="s">
        <v>780</v>
      </c>
      <c r="U17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58" s="19">
        <f>IF(AUDITORIA[[#This Row],[CAT]]="",0,1)</f>
        <v>1</v>
      </c>
      <c r="W1758" s="20">
        <v>46198</v>
      </c>
      <c r="X1758" s="21" t="str">
        <f>UPPER(IF(AUDITORIA[[#This Row],[DATA VERIFICAÇÃO]]="","",TEXT(AUDITORIA[[#This Row],[DATA VERIFICAÇÃO]],"mmm")))</f>
        <v>JUN</v>
      </c>
      <c r="Y1758" t="s">
        <v>598</v>
      </c>
      <c r="Z1758" t="s">
        <v>894</v>
      </c>
      <c r="AA1758" t="s">
        <v>895</v>
      </c>
    </row>
    <row r="1759" spans="1:27" ht="14.4" hidden="1" customHeight="1" x14ac:dyDescent="0.3">
      <c r="A1759" s="4" t="s">
        <v>279</v>
      </c>
      <c r="B1759" s="4" t="s">
        <v>17</v>
      </c>
      <c r="C1759" s="16" t="s">
        <v>18</v>
      </c>
      <c r="D1759" s="4">
        <v>11</v>
      </c>
      <c r="E1759" s="4" t="s">
        <v>745</v>
      </c>
      <c r="F1759" t="s">
        <v>322</v>
      </c>
      <c r="G1759" t="s">
        <v>290</v>
      </c>
      <c r="J1759" s="4" t="s">
        <v>31</v>
      </c>
      <c r="K1759" s="4" t="s">
        <v>20</v>
      </c>
      <c r="L1759" s="4" t="s">
        <v>742</v>
      </c>
      <c r="M1759" s="17">
        <v>30</v>
      </c>
      <c r="N1759" s="17">
        <v>747</v>
      </c>
      <c r="O1759" s="18" t="s">
        <v>31</v>
      </c>
      <c r="P1759" s="18">
        <v>747</v>
      </c>
      <c r="Q1759" s="18">
        <v>30</v>
      </c>
      <c r="R1759" s="18" t="s">
        <v>778</v>
      </c>
      <c r="S1759" s="18" t="s">
        <v>887</v>
      </c>
      <c r="T1759" s="18" t="s">
        <v>780</v>
      </c>
      <c r="U17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59" s="19">
        <f>IF(AUDITORIA[[#This Row],[CAT]]="",0,1)</f>
        <v>1</v>
      </c>
      <c r="W1759" s="20">
        <v>46198</v>
      </c>
      <c r="X1759" s="21" t="str">
        <f>UPPER(IF(AUDITORIA[[#This Row],[DATA VERIFICAÇÃO]]="","",TEXT(AUDITORIA[[#This Row],[DATA VERIFICAÇÃO]],"mmm")))</f>
        <v>JUN</v>
      </c>
      <c r="Y1759" t="s">
        <v>598</v>
      </c>
      <c r="Z1759" t="s">
        <v>894</v>
      </c>
      <c r="AA1759" t="s">
        <v>895</v>
      </c>
    </row>
    <row r="1760" spans="1:27" ht="14.4" hidden="1" customHeight="1" x14ac:dyDescent="0.3">
      <c r="A1760" s="4" t="s">
        <v>279</v>
      </c>
      <c r="B1760" s="4" t="s">
        <v>17</v>
      </c>
      <c r="C1760" s="16" t="s">
        <v>18</v>
      </c>
      <c r="D1760" s="4">
        <v>11</v>
      </c>
      <c r="E1760" s="4" t="s">
        <v>745</v>
      </c>
      <c r="F1760" t="s">
        <v>323</v>
      </c>
      <c r="G1760" t="s">
        <v>106</v>
      </c>
      <c r="J1760" s="4" t="s">
        <v>19</v>
      </c>
      <c r="K1760" s="4" t="s">
        <v>21</v>
      </c>
      <c r="L1760" s="4" t="s">
        <v>742</v>
      </c>
      <c r="M1760" s="17">
        <v>24</v>
      </c>
      <c r="N1760" s="17">
        <v>1039</v>
      </c>
      <c r="O1760" s="18" t="s">
        <v>19</v>
      </c>
      <c r="P1760" s="18">
        <v>1039</v>
      </c>
      <c r="Q1760" s="18">
        <v>24</v>
      </c>
      <c r="R1760" s="18" t="s">
        <v>778</v>
      </c>
      <c r="S1760" s="18" t="s">
        <v>875</v>
      </c>
      <c r="T1760" s="18" t="s">
        <v>782</v>
      </c>
      <c r="U17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60" s="19">
        <f>IF(AUDITORIA[[#This Row],[CAT]]="",0,1)</f>
        <v>1</v>
      </c>
      <c r="W1760" s="20">
        <v>46198</v>
      </c>
      <c r="X1760" s="21" t="str">
        <f>UPPER(IF(AUDITORIA[[#This Row],[DATA VERIFICAÇÃO]]="","",TEXT(AUDITORIA[[#This Row],[DATA VERIFICAÇÃO]],"mmm")))</f>
        <v>JUN</v>
      </c>
      <c r="Y1760" t="s">
        <v>598</v>
      </c>
      <c r="Z1760" t="s">
        <v>894</v>
      </c>
      <c r="AA1760" t="s">
        <v>895</v>
      </c>
    </row>
    <row r="1761" spans="1:27" ht="14.4" hidden="1" customHeight="1" x14ac:dyDescent="0.3">
      <c r="A1761" s="4" t="s">
        <v>279</v>
      </c>
      <c r="B1761" s="4" t="s">
        <v>17</v>
      </c>
      <c r="C1761" s="16" t="s">
        <v>18</v>
      </c>
      <c r="D1761" s="4">
        <v>11</v>
      </c>
      <c r="E1761" s="4" t="s">
        <v>745</v>
      </c>
      <c r="F1761" t="s">
        <v>325</v>
      </c>
      <c r="G1761" t="s">
        <v>106</v>
      </c>
      <c r="J1761" s="4" t="s">
        <v>19</v>
      </c>
      <c r="K1761" s="4" t="s">
        <v>20</v>
      </c>
      <c r="L1761" s="4" t="s">
        <v>742</v>
      </c>
      <c r="M1761" s="17">
        <v>30</v>
      </c>
      <c r="N1761" s="17">
        <v>850</v>
      </c>
      <c r="O1761" s="18" t="s">
        <v>19</v>
      </c>
      <c r="P1761" s="18">
        <v>850</v>
      </c>
      <c r="Q1761" s="18">
        <v>30</v>
      </c>
      <c r="R1761" s="18" t="s">
        <v>778</v>
      </c>
      <c r="S1761" s="18" t="s">
        <v>876</v>
      </c>
      <c r="T1761" s="18" t="s">
        <v>782</v>
      </c>
      <c r="U17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61" s="19">
        <f>IF(AUDITORIA[[#This Row],[CAT]]="",0,1)</f>
        <v>1</v>
      </c>
      <c r="W1761" s="20">
        <v>46198</v>
      </c>
      <c r="X1761" s="21" t="str">
        <f>UPPER(IF(AUDITORIA[[#This Row],[DATA VERIFICAÇÃO]]="","",TEXT(AUDITORIA[[#This Row],[DATA VERIFICAÇÃO]],"mmm")))</f>
        <v>JUN</v>
      </c>
      <c r="Y1761" t="s">
        <v>598</v>
      </c>
      <c r="Z1761" t="s">
        <v>894</v>
      </c>
      <c r="AA1761" t="s">
        <v>895</v>
      </c>
    </row>
    <row r="1762" spans="1:27" ht="14.4" hidden="1" customHeight="1" x14ac:dyDescent="0.3">
      <c r="A1762" s="4" t="s">
        <v>279</v>
      </c>
      <c r="B1762" s="4" t="s">
        <v>17</v>
      </c>
      <c r="C1762" s="16" t="s">
        <v>18</v>
      </c>
      <c r="D1762" s="4">
        <v>11</v>
      </c>
      <c r="E1762" s="4" t="s">
        <v>745</v>
      </c>
      <c r="F1762" t="s">
        <v>326</v>
      </c>
      <c r="G1762" t="s">
        <v>290</v>
      </c>
      <c r="J1762" s="4" t="s">
        <v>31</v>
      </c>
      <c r="K1762" s="4" t="s">
        <v>20</v>
      </c>
      <c r="L1762" s="4" t="s">
        <v>742</v>
      </c>
      <c r="M1762" s="17">
        <v>30</v>
      </c>
      <c r="N1762" s="17">
        <v>775</v>
      </c>
      <c r="O1762" s="18" t="s">
        <v>31</v>
      </c>
      <c r="P1762" s="18">
        <v>775</v>
      </c>
      <c r="Q1762" s="18">
        <v>30</v>
      </c>
      <c r="R1762" s="18" t="s">
        <v>778</v>
      </c>
      <c r="S1762" s="18" t="s">
        <v>888</v>
      </c>
      <c r="T1762" s="18" t="s">
        <v>781</v>
      </c>
      <c r="U17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62" s="19">
        <f>IF(AUDITORIA[[#This Row],[CAT]]="",0,1)</f>
        <v>1</v>
      </c>
      <c r="W1762" s="20">
        <v>46198</v>
      </c>
      <c r="X1762" s="21" t="str">
        <f>UPPER(IF(AUDITORIA[[#This Row],[DATA VERIFICAÇÃO]]="","",TEXT(AUDITORIA[[#This Row],[DATA VERIFICAÇÃO]],"mmm")))</f>
        <v>JUN</v>
      </c>
      <c r="Y1762" t="s">
        <v>598</v>
      </c>
      <c r="Z1762" t="s">
        <v>894</v>
      </c>
      <c r="AA1762" t="s">
        <v>895</v>
      </c>
    </row>
    <row r="1763" spans="1:27" ht="14.4" hidden="1" customHeight="1" x14ac:dyDescent="0.3">
      <c r="A1763" s="4" t="s">
        <v>279</v>
      </c>
      <c r="B1763" s="4" t="s">
        <v>17</v>
      </c>
      <c r="C1763" s="16" t="s">
        <v>18</v>
      </c>
      <c r="D1763" s="4">
        <v>11</v>
      </c>
      <c r="E1763" s="4" t="s">
        <v>745</v>
      </c>
      <c r="F1763" t="s">
        <v>327</v>
      </c>
      <c r="G1763" t="s">
        <v>106</v>
      </c>
      <c r="J1763" s="4" t="s">
        <v>19</v>
      </c>
      <c r="K1763" s="4" t="s">
        <v>20</v>
      </c>
      <c r="L1763" s="4" t="s">
        <v>742</v>
      </c>
      <c r="M1763" s="17">
        <v>30</v>
      </c>
      <c r="N1763" s="17">
        <v>850</v>
      </c>
      <c r="O1763" s="18" t="s">
        <v>19</v>
      </c>
      <c r="P1763" s="18">
        <v>850</v>
      </c>
      <c r="Q1763" s="18">
        <v>30</v>
      </c>
      <c r="R1763" s="18" t="s">
        <v>778</v>
      </c>
      <c r="S1763" s="18" t="s">
        <v>876</v>
      </c>
      <c r="T1763" s="18" t="s">
        <v>781</v>
      </c>
      <c r="U17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63" s="19">
        <f>IF(AUDITORIA[[#This Row],[CAT]]="",0,1)</f>
        <v>1</v>
      </c>
      <c r="W1763" s="20">
        <v>46198</v>
      </c>
      <c r="X1763" s="21" t="str">
        <f>UPPER(IF(AUDITORIA[[#This Row],[DATA VERIFICAÇÃO]]="","",TEXT(AUDITORIA[[#This Row],[DATA VERIFICAÇÃO]],"mmm")))</f>
        <v>JUN</v>
      </c>
      <c r="Y1763" t="s">
        <v>598</v>
      </c>
      <c r="Z1763" t="s">
        <v>894</v>
      </c>
      <c r="AA1763" t="s">
        <v>895</v>
      </c>
    </row>
    <row r="1764" spans="1:27" ht="14.4" hidden="1" customHeight="1" x14ac:dyDescent="0.3">
      <c r="A1764" s="4" t="s">
        <v>279</v>
      </c>
      <c r="B1764" s="4" t="s">
        <v>17</v>
      </c>
      <c r="C1764" s="16" t="s">
        <v>18</v>
      </c>
      <c r="D1764" s="4">
        <v>11</v>
      </c>
      <c r="E1764" s="4" t="s">
        <v>745</v>
      </c>
      <c r="F1764" t="s">
        <v>312</v>
      </c>
      <c r="G1764" t="s">
        <v>106</v>
      </c>
      <c r="J1764" s="4" t="s">
        <v>19</v>
      </c>
      <c r="K1764" s="4" t="s">
        <v>21</v>
      </c>
      <c r="L1764" s="4" t="s">
        <v>742</v>
      </c>
      <c r="M1764" s="17">
        <v>24</v>
      </c>
      <c r="N1764" s="17">
        <v>1045</v>
      </c>
      <c r="O1764" s="18" t="s">
        <v>19</v>
      </c>
      <c r="P1764" s="18">
        <v>1045</v>
      </c>
      <c r="Q1764" s="18">
        <v>24</v>
      </c>
      <c r="R1764" s="18" t="s">
        <v>778</v>
      </c>
      <c r="S1764" s="18" t="s">
        <v>875</v>
      </c>
      <c r="T1764" s="18" t="s">
        <v>780</v>
      </c>
      <c r="U17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64" s="19">
        <f>IF(AUDITORIA[[#This Row],[CAT]]="",0,1)</f>
        <v>1</v>
      </c>
      <c r="W1764" s="20">
        <v>46198</v>
      </c>
      <c r="X1764" s="21" t="str">
        <f>UPPER(IF(AUDITORIA[[#This Row],[DATA VERIFICAÇÃO]]="","",TEXT(AUDITORIA[[#This Row],[DATA VERIFICAÇÃO]],"mmm")))</f>
        <v>JUN</v>
      </c>
      <c r="Y1764" t="s">
        <v>598</v>
      </c>
      <c r="Z1764" t="s">
        <v>894</v>
      </c>
      <c r="AA1764" t="s">
        <v>895</v>
      </c>
    </row>
    <row r="1765" spans="1:27" ht="14.4" hidden="1" customHeight="1" x14ac:dyDescent="0.3">
      <c r="A1765" s="4" t="s">
        <v>279</v>
      </c>
      <c r="B1765" s="4" t="s">
        <v>17</v>
      </c>
      <c r="C1765" s="16" t="s">
        <v>18</v>
      </c>
      <c r="D1765" s="4">
        <v>11</v>
      </c>
      <c r="E1765" s="4" t="s">
        <v>745</v>
      </c>
      <c r="F1765" t="s">
        <v>313</v>
      </c>
      <c r="G1765" t="s">
        <v>290</v>
      </c>
      <c r="J1765" s="4" t="s">
        <v>19</v>
      </c>
      <c r="K1765" s="4" t="s">
        <v>20</v>
      </c>
      <c r="L1765" s="4" t="s">
        <v>742</v>
      </c>
      <c r="M1765" s="17">
        <v>30</v>
      </c>
      <c r="N1765" s="17">
        <v>763</v>
      </c>
      <c r="O1765" s="18" t="s">
        <v>19</v>
      </c>
      <c r="P1765" s="18">
        <v>763</v>
      </c>
      <c r="Q1765" s="18">
        <v>30</v>
      </c>
      <c r="R1765" s="18" t="s">
        <v>778</v>
      </c>
      <c r="S1765" s="18" t="s">
        <v>885</v>
      </c>
      <c r="T1765" s="18" t="s">
        <v>840</v>
      </c>
      <c r="U17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65" s="19">
        <f>IF(AUDITORIA[[#This Row],[CAT]]="",0,1)</f>
        <v>1</v>
      </c>
      <c r="W1765" s="20">
        <v>46198</v>
      </c>
      <c r="X1765" s="21" t="str">
        <f>UPPER(IF(AUDITORIA[[#This Row],[DATA VERIFICAÇÃO]]="","",TEXT(AUDITORIA[[#This Row],[DATA VERIFICAÇÃO]],"mmm")))</f>
        <v>JUN</v>
      </c>
      <c r="Y1765" t="s">
        <v>598</v>
      </c>
      <c r="Z1765" t="s">
        <v>894</v>
      </c>
      <c r="AA1765" t="s">
        <v>895</v>
      </c>
    </row>
    <row r="1766" spans="1:27" ht="14.4" hidden="1" customHeight="1" x14ac:dyDescent="0.3">
      <c r="A1766" s="4" t="s">
        <v>279</v>
      </c>
      <c r="B1766" s="4" t="s">
        <v>17</v>
      </c>
      <c r="C1766" s="16" t="s">
        <v>18</v>
      </c>
      <c r="D1766" s="4">
        <v>11</v>
      </c>
      <c r="E1766" s="4" t="s">
        <v>745</v>
      </c>
      <c r="F1766" t="s">
        <v>315</v>
      </c>
      <c r="G1766" t="s">
        <v>106</v>
      </c>
      <c r="J1766" s="4" t="s">
        <v>19</v>
      </c>
      <c r="K1766" s="4" t="s">
        <v>20</v>
      </c>
      <c r="L1766" s="4" t="s">
        <v>742</v>
      </c>
      <c r="M1766" s="17">
        <v>30</v>
      </c>
      <c r="N1766" s="17">
        <v>841</v>
      </c>
      <c r="O1766" s="18" t="s">
        <v>19</v>
      </c>
      <c r="P1766" s="18">
        <v>841</v>
      </c>
      <c r="Q1766" s="18">
        <v>30</v>
      </c>
      <c r="R1766" s="18" t="s">
        <v>778</v>
      </c>
      <c r="S1766" s="18" t="s">
        <v>879</v>
      </c>
      <c r="T1766" s="18" t="s">
        <v>840</v>
      </c>
      <c r="U17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66" s="19">
        <f>IF(AUDITORIA[[#This Row],[CAT]]="",0,1)</f>
        <v>1</v>
      </c>
      <c r="W1766" s="20">
        <v>46198</v>
      </c>
      <c r="X1766" s="21" t="str">
        <f>UPPER(IF(AUDITORIA[[#This Row],[DATA VERIFICAÇÃO]]="","",TEXT(AUDITORIA[[#This Row],[DATA VERIFICAÇÃO]],"mmm")))</f>
        <v>JUN</v>
      </c>
      <c r="Y1766" t="s">
        <v>598</v>
      </c>
      <c r="Z1766" t="s">
        <v>894</v>
      </c>
      <c r="AA1766" t="s">
        <v>895</v>
      </c>
    </row>
    <row r="1767" spans="1:27" ht="14.4" hidden="1" customHeight="1" x14ac:dyDescent="0.3">
      <c r="A1767" s="4" t="s">
        <v>279</v>
      </c>
      <c r="B1767" s="4" t="s">
        <v>17</v>
      </c>
      <c r="C1767" s="16" t="s">
        <v>18</v>
      </c>
      <c r="D1767" s="4">
        <v>11</v>
      </c>
      <c r="E1767" s="4" t="s">
        <v>745</v>
      </c>
      <c r="F1767" t="s">
        <v>316</v>
      </c>
      <c r="G1767" t="s">
        <v>290</v>
      </c>
      <c r="J1767" s="4" t="s">
        <v>19</v>
      </c>
      <c r="K1767" s="4" t="s">
        <v>20</v>
      </c>
      <c r="L1767" s="4" t="s">
        <v>742</v>
      </c>
      <c r="M1767" s="17">
        <v>30</v>
      </c>
      <c r="N1767" s="17">
        <v>760</v>
      </c>
      <c r="O1767" s="18" t="s">
        <v>19</v>
      </c>
      <c r="P1767" s="18">
        <v>760</v>
      </c>
      <c r="Q1767" s="18">
        <v>30</v>
      </c>
      <c r="R1767" s="18" t="s">
        <v>778</v>
      </c>
      <c r="S1767" s="18" t="s">
        <v>889</v>
      </c>
      <c r="T1767" s="18" t="s">
        <v>781</v>
      </c>
      <c r="U17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67" s="19">
        <f>IF(AUDITORIA[[#This Row],[CAT]]="",0,1)</f>
        <v>1</v>
      </c>
      <c r="W1767" s="20">
        <v>46198</v>
      </c>
      <c r="X1767" s="21" t="str">
        <f>UPPER(IF(AUDITORIA[[#This Row],[DATA VERIFICAÇÃO]]="","",TEXT(AUDITORIA[[#This Row],[DATA VERIFICAÇÃO]],"mmm")))</f>
        <v>JUN</v>
      </c>
      <c r="Y1767" t="s">
        <v>598</v>
      </c>
      <c r="Z1767" t="s">
        <v>894</v>
      </c>
      <c r="AA1767" t="s">
        <v>895</v>
      </c>
    </row>
    <row r="1768" spans="1:27" ht="14.4" hidden="1" customHeight="1" x14ac:dyDescent="0.3">
      <c r="A1768" s="4" t="s">
        <v>279</v>
      </c>
      <c r="B1768" s="4" t="s">
        <v>17</v>
      </c>
      <c r="C1768" s="16" t="s">
        <v>18</v>
      </c>
      <c r="D1768" s="4">
        <v>11</v>
      </c>
      <c r="E1768" s="4" t="s">
        <v>745</v>
      </c>
      <c r="F1768" t="s">
        <v>317</v>
      </c>
      <c r="G1768" t="s">
        <v>106</v>
      </c>
      <c r="J1768" s="4" t="s">
        <v>19</v>
      </c>
      <c r="K1768" s="4" t="s">
        <v>21</v>
      </c>
      <c r="L1768" s="4" t="s">
        <v>742</v>
      </c>
      <c r="M1768" s="17">
        <v>24</v>
      </c>
      <c r="N1768" s="17">
        <v>1029</v>
      </c>
      <c r="O1768" s="18" t="s">
        <v>19</v>
      </c>
      <c r="P1768" s="18">
        <v>1029</v>
      </c>
      <c r="Q1768" s="18">
        <v>24</v>
      </c>
      <c r="R1768" s="18" t="s">
        <v>778</v>
      </c>
      <c r="S1768" s="18" t="s">
        <v>875</v>
      </c>
      <c r="T1768" s="18" t="s">
        <v>781</v>
      </c>
      <c r="U17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68" s="19">
        <f>IF(AUDITORIA[[#This Row],[CAT]]="",0,1)</f>
        <v>1</v>
      </c>
      <c r="W1768" s="20">
        <v>46198</v>
      </c>
      <c r="X1768" s="21" t="str">
        <f>UPPER(IF(AUDITORIA[[#This Row],[DATA VERIFICAÇÃO]]="","",TEXT(AUDITORIA[[#This Row],[DATA VERIFICAÇÃO]],"mmm")))</f>
        <v>JUN</v>
      </c>
      <c r="Y1768" t="s">
        <v>598</v>
      </c>
      <c r="Z1768" t="s">
        <v>894</v>
      </c>
      <c r="AA1768" t="s">
        <v>895</v>
      </c>
    </row>
    <row r="1769" spans="1:27" ht="14.4" hidden="1" customHeight="1" x14ac:dyDescent="0.3">
      <c r="A1769" s="4" t="s">
        <v>279</v>
      </c>
      <c r="B1769" s="4" t="s">
        <v>17</v>
      </c>
      <c r="C1769" s="16" t="s">
        <v>18</v>
      </c>
      <c r="D1769" s="4">
        <v>11</v>
      </c>
      <c r="E1769" s="4" t="s">
        <v>745</v>
      </c>
      <c r="F1769" t="s">
        <v>318</v>
      </c>
      <c r="G1769" t="s">
        <v>106</v>
      </c>
      <c r="J1769" s="4" t="s">
        <v>19</v>
      </c>
      <c r="K1769" s="4" t="s">
        <v>20</v>
      </c>
      <c r="L1769" s="4" t="s">
        <v>742</v>
      </c>
      <c r="M1769" s="17">
        <v>30</v>
      </c>
      <c r="N1769" s="17">
        <v>846</v>
      </c>
      <c r="O1769" s="18" t="s">
        <v>19</v>
      </c>
      <c r="P1769" s="18">
        <v>846</v>
      </c>
      <c r="Q1769" s="18">
        <v>30</v>
      </c>
      <c r="R1769" s="18" t="s">
        <v>778</v>
      </c>
      <c r="S1769" s="18" t="s">
        <v>876</v>
      </c>
      <c r="T1769" s="18" t="s">
        <v>780</v>
      </c>
      <c r="U17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69" s="19">
        <f>IF(AUDITORIA[[#This Row],[CAT]]="",0,1)</f>
        <v>1</v>
      </c>
      <c r="W1769" s="20">
        <v>46198</v>
      </c>
      <c r="X1769" s="21" t="str">
        <f>UPPER(IF(AUDITORIA[[#This Row],[DATA VERIFICAÇÃO]]="","",TEXT(AUDITORIA[[#This Row],[DATA VERIFICAÇÃO]],"mmm")))</f>
        <v>JUN</v>
      </c>
      <c r="Y1769" t="s">
        <v>598</v>
      </c>
      <c r="Z1769" t="s">
        <v>894</v>
      </c>
      <c r="AA1769" t="s">
        <v>895</v>
      </c>
    </row>
    <row r="1770" spans="1:27" ht="14.4" hidden="1" customHeight="1" x14ac:dyDescent="0.3">
      <c r="A1770" s="4" t="s">
        <v>279</v>
      </c>
      <c r="B1770" s="4" t="s">
        <v>17</v>
      </c>
      <c r="C1770" s="16" t="s">
        <v>18</v>
      </c>
      <c r="D1770" s="4">
        <v>11</v>
      </c>
      <c r="E1770" s="4" t="s">
        <v>745</v>
      </c>
      <c r="F1770" t="s">
        <v>319</v>
      </c>
      <c r="G1770" t="s">
        <v>290</v>
      </c>
      <c r="J1770" s="4" t="s">
        <v>19</v>
      </c>
      <c r="K1770" s="4" t="s">
        <v>20</v>
      </c>
      <c r="L1770" s="4" t="s">
        <v>742</v>
      </c>
      <c r="M1770" s="17">
        <v>30</v>
      </c>
      <c r="N1770" s="17">
        <v>759</v>
      </c>
      <c r="O1770" s="18" t="s">
        <v>19</v>
      </c>
      <c r="P1770" s="18">
        <v>759</v>
      </c>
      <c r="Q1770" s="18">
        <v>30</v>
      </c>
      <c r="R1770" s="18" t="s">
        <v>778</v>
      </c>
      <c r="S1770" s="18" t="s">
        <v>889</v>
      </c>
      <c r="T1770" s="18" t="s">
        <v>782</v>
      </c>
      <c r="U17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70" s="19">
        <f>IF(AUDITORIA[[#This Row],[CAT]]="",0,1)</f>
        <v>1</v>
      </c>
      <c r="W1770" s="20">
        <v>46198</v>
      </c>
      <c r="X1770" s="21" t="str">
        <f>UPPER(IF(AUDITORIA[[#This Row],[DATA VERIFICAÇÃO]]="","",TEXT(AUDITORIA[[#This Row],[DATA VERIFICAÇÃO]],"mmm")))</f>
        <v>JUN</v>
      </c>
      <c r="Y1770" t="s">
        <v>598</v>
      </c>
      <c r="Z1770" t="s">
        <v>894</v>
      </c>
      <c r="AA1770" t="s">
        <v>895</v>
      </c>
    </row>
    <row r="1771" spans="1:27" ht="14.4" hidden="1" customHeight="1" x14ac:dyDescent="0.3">
      <c r="A1771" s="4" t="s">
        <v>279</v>
      </c>
      <c r="B1771" s="4" t="s">
        <v>17</v>
      </c>
      <c r="C1771" s="16" t="s">
        <v>18</v>
      </c>
      <c r="D1771" s="4">
        <v>11</v>
      </c>
      <c r="E1771" s="4" t="s">
        <v>745</v>
      </c>
      <c r="F1771" t="s">
        <v>321</v>
      </c>
      <c r="G1771" t="s">
        <v>106</v>
      </c>
      <c r="J1771" s="4" t="s">
        <v>19</v>
      </c>
      <c r="K1771" s="4" t="s">
        <v>20</v>
      </c>
      <c r="L1771" s="4" t="s">
        <v>742</v>
      </c>
      <c r="M1771" s="17">
        <v>30</v>
      </c>
      <c r="N1771" s="17">
        <v>830</v>
      </c>
      <c r="O1771" s="18" t="s">
        <v>19</v>
      </c>
      <c r="P1771" s="18">
        <v>830</v>
      </c>
      <c r="Q1771" s="18">
        <v>30</v>
      </c>
      <c r="R1771" s="18" t="s">
        <v>778</v>
      </c>
      <c r="S1771" s="18" t="s">
        <v>876</v>
      </c>
      <c r="T1771" s="18" t="s">
        <v>794</v>
      </c>
      <c r="U17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71" s="19">
        <f>IF(AUDITORIA[[#This Row],[CAT]]="",0,1)</f>
        <v>1</v>
      </c>
      <c r="W1771" s="20">
        <v>46198</v>
      </c>
      <c r="X1771" s="21" t="str">
        <f>UPPER(IF(AUDITORIA[[#This Row],[DATA VERIFICAÇÃO]]="","",TEXT(AUDITORIA[[#This Row],[DATA VERIFICAÇÃO]],"mmm")))</f>
        <v>JUN</v>
      </c>
      <c r="Y1771" t="s">
        <v>598</v>
      </c>
      <c r="Z1771" t="s">
        <v>894</v>
      </c>
      <c r="AA1771" t="s">
        <v>895</v>
      </c>
    </row>
    <row r="1772" spans="1:27" ht="14.4" hidden="1" customHeight="1" x14ac:dyDescent="0.3">
      <c r="A1772" s="4" t="s">
        <v>279</v>
      </c>
      <c r="B1772" s="4" t="s">
        <v>17</v>
      </c>
      <c r="C1772" s="16" t="s">
        <v>18</v>
      </c>
      <c r="D1772" s="4">
        <v>11</v>
      </c>
      <c r="E1772" s="4" t="s">
        <v>745</v>
      </c>
      <c r="F1772" t="s">
        <v>583</v>
      </c>
      <c r="G1772" t="s">
        <v>368</v>
      </c>
      <c r="J1772" s="4" t="s">
        <v>88</v>
      </c>
      <c r="K1772" s="4" t="s">
        <v>20</v>
      </c>
      <c r="L1772" s="4" t="s">
        <v>742</v>
      </c>
      <c r="M1772" s="17">
        <v>30</v>
      </c>
      <c r="N1772" s="17">
        <v>689</v>
      </c>
      <c r="O1772" s="18" t="s">
        <v>88</v>
      </c>
      <c r="P1772" s="18">
        <v>689</v>
      </c>
      <c r="Q1772" s="18">
        <v>30</v>
      </c>
      <c r="R1772" s="18" t="s">
        <v>778</v>
      </c>
      <c r="S1772" s="18" t="s">
        <v>842</v>
      </c>
      <c r="T1772" s="18" t="s">
        <v>844</v>
      </c>
      <c r="U17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72" s="19">
        <f>IF(AUDITORIA[[#This Row],[CAT]]="",0,1)</f>
        <v>1</v>
      </c>
      <c r="W1772" s="20">
        <v>46198</v>
      </c>
      <c r="X1772" s="21" t="str">
        <f>UPPER(IF(AUDITORIA[[#This Row],[DATA VERIFICAÇÃO]]="","",TEXT(AUDITORIA[[#This Row],[DATA VERIFICAÇÃO]],"mmm")))</f>
        <v>JUN</v>
      </c>
      <c r="Y1772" t="s">
        <v>598</v>
      </c>
      <c r="Z1772" t="s">
        <v>894</v>
      </c>
      <c r="AA1772" t="s">
        <v>895</v>
      </c>
    </row>
    <row r="1773" spans="1:27" ht="14.4" hidden="1" customHeight="1" x14ac:dyDescent="0.3">
      <c r="A1773" s="4" t="s">
        <v>279</v>
      </c>
      <c r="B1773" s="4" t="s">
        <v>17</v>
      </c>
      <c r="C1773" s="16" t="s">
        <v>18</v>
      </c>
      <c r="D1773" s="4">
        <v>11</v>
      </c>
      <c r="E1773" s="4" t="s">
        <v>745</v>
      </c>
      <c r="F1773" t="s">
        <v>581</v>
      </c>
      <c r="G1773" t="s">
        <v>368</v>
      </c>
      <c r="J1773" s="4" t="s">
        <v>88</v>
      </c>
      <c r="K1773" s="4" t="s">
        <v>20</v>
      </c>
      <c r="L1773" s="4" t="s">
        <v>742</v>
      </c>
      <c r="M1773" s="17">
        <v>30</v>
      </c>
      <c r="N1773" s="17">
        <v>668</v>
      </c>
      <c r="O1773" s="18" t="s">
        <v>88</v>
      </c>
      <c r="P1773" s="18">
        <v>668</v>
      </c>
      <c r="Q1773" s="18">
        <v>30</v>
      </c>
      <c r="R1773" s="18" t="s">
        <v>778</v>
      </c>
      <c r="S1773" s="18" t="s">
        <v>842</v>
      </c>
      <c r="T1773" s="18" t="s">
        <v>843</v>
      </c>
      <c r="U17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73" s="19">
        <f>IF(AUDITORIA[[#This Row],[CAT]]="",0,1)</f>
        <v>1</v>
      </c>
      <c r="W1773" s="20">
        <v>46198</v>
      </c>
      <c r="X1773" s="21" t="str">
        <f>UPPER(IF(AUDITORIA[[#This Row],[DATA VERIFICAÇÃO]]="","",TEXT(AUDITORIA[[#This Row],[DATA VERIFICAÇÃO]],"mmm")))</f>
        <v>JUN</v>
      </c>
      <c r="Y1773" t="s">
        <v>598</v>
      </c>
      <c r="Z1773" t="s">
        <v>894</v>
      </c>
      <c r="AA1773" t="s">
        <v>895</v>
      </c>
    </row>
    <row r="1774" spans="1:27" ht="14.4" hidden="1" customHeight="1" x14ac:dyDescent="0.3">
      <c r="A1774" s="4" t="s">
        <v>279</v>
      </c>
      <c r="B1774" s="4" t="s">
        <v>17</v>
      </c>
      <c r="C1774" s="16" t="s">
        <v>18</v>
      </c>
      <c r="D1774" s="4">
        <v>11</v>
      </c>
      <c r="E1774" s="4" t="s">
        <v>745</v>
      </c>
      <c r="F1774" t="s">
        <v>307</v>
      </c>
      <c r="G1774" t="s">
        <v>106</v>
      </c>
      <c r="J1774" s="4" t="s">
        <v>19</v>
      </c>
      <c r="K1774" s="4" t="s">
        <v>20</v>
      </c>
      <c r="L1774" s="4" t="s">
        <v>742</v>
      </c>
      <c r="M1774" s="17">
        <v>30</v>
      </c>
      <c r="N1774" s="17">
        <v>858</v>
      </c>
      <c r="O1774" s="18" t="s">
        <v>19</v>
      </c>
      <c r="P1774" s="18">
        <v>858</v>
      </c>
      <c r="Q1774" s="18">
        <v>30</v>
      </c>
      <c r="R1774" s="18" t="s">
        <v>778</v>
      </c>
      <c r="S1774" s="18" t="s">
        <v>879</v>
      </c>
      <c r="T1774" s="18" t="s">
        <v>782</v>
      </c>
      <c r="U17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74" s="19">
        <f>IF(AUDITORIA[[#This Row],[CAT]]="",0,1)</f>
        <v>1</v>
      </c>
      <c r="W1774" s="20">
        <v>46198</v>
      </c>
      <c r="X1774" s="21" t="str">
        <f>UPPER(IF(AUDITORIA[[#This Row],[DATA VERIFICAÇÃO]]="","",TEXT(AUDITORIA[[#This Row],[DATA VERIFICAÇÃO]],"mmm")))</f>
        <v>JUN</v>
      </c>
      <c r="Y1774" t="s">
        <v>598</v>
      </c>
      <c r="Z1774" t="s">
        <v>894</v>
      </c>
      <c r="AA1774" t="s">
        <v>895</v>
      </c>
    </row>
    <row r="1775" spans="1:27" ht="14.4" hidden="1" customHeight="1" x14ac:dyDescent="0.3">
      <c r="A1775" s="4" t="s">
        <v>279</v>
      </c>
      <c r="B1775" s="4" t="s">
        <v>17</v>
      </c>
      <c r="C1775" s="16" t="s">
        <v>18</v>
      </c>
      <c r="D1775" s="4">
        <v>11</v>
      </c>
      <c r="E1775" s="4" t="s">
        <v>745</v>
      </c>
      <c r="F1775" t="s">
        <v>308</v>
      </c>
      <c r="G1775" t="s">
        <v>106</v>
      </c>
      <c r="J1775" s="4" t="s">
        <v>19</v>
      </c>
      <c r="K1775" s="4" t="s">
        <v>21</v>
      </c>
      <c r="L1775" s="4" t="s">
        <v>742</v>
      </c>
      <c r="M1775" s="17">
        <v>24</v>
      </c>
      <c r="N1775" s="17">
        <v>1030</v>
      </c>
      <c r="O1775" s="18" t="s">
        <v>19</v>
      </c>
      <c r="P1775" s="18">
        <v>1030</v>
      </c>
      <c r="Q1775" s="18">
        <v>24</v>
      </c>
      <c r="R1775" s="18" t="s">
        <v>778</v>
      </c>
      <c r="S1775" s="18" t="s">
        <v>876</v>
      </c>
      <c r="T1775" s="18"/>
      <c r="U17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75" s="19">
        <f>IF(AUDITORIA[[#This Row],[CAT]]="",0,1)</f>
        <v>1</v>
      </c>
      <c r="W1775" s="20">
        <v>46198</v>
      </c>
      <c r="X1775" s="21" t="str">
        <f>UPPER(IF(AUDITORIA[[#This Row],[DATA VERIFICAÇÃO]]="","",TEXT(AUDITORIA[[#This Row],[DATA VERIFICAÇÃO]],"mmm")))</f>
        <v>JUN</v>
      </c>
      <c r="Y1775" t="s">
        <v>598</v>
      </c>
      <c r="Z1775" t="s">
        <v>894</v>
      </c>
      <c r="AA1775" t="s">
        <v>895</v>
      </c>
    </row>
    <row r="1776" spans="1:27" ht="14.4" hidden="1" customHeight="1" x14ac:dyDescent="0.3">
      <c r="A1776" s="4" t="s">
        <v>279</v>
      </c>
      <c r="B1776" s="4" t="s">
        <v>17</v>
      </c>
      <c r="C1776" s="16" t="s">
        <v>18</v>
      </c>
      <c r="D1776" s="4">
        <v>11</v>
      </c>
      <c r="E1776" s="4" t="s">
        <v>745</v>
      </c>
      <c r="F1776" t="s">
        <v>309</v>
      </c>
      <c r="G1776" t="s">
        <v>290</v>
      </c>
      <c r="J1776" s="4" t="s">
        <v>19</v>
      </c>
      <c r="K1776" s="4" t="s">
        <v>20</v>
      </c>
      <c r="L1776" s="4" t="s">
        <v>742</v>
      </c>
      <c r="M1776" s="17">
        <v>30</v>
      </c>
      <c r="N1776" s="17">
        <v>739</v>
      </c>
      <c r="O1776" s="18" t="s">
        <v>19</v>
      </c>
      <c r="P1776" s="18">
        <v>739</v>
      </c>
      <c r="Q1776" s="18">
        <v>30</v>
      </c>
      <c r="R1776" s="18" t="s">
        <v>778</v>
      </c>
      <c r="S1776" s="18" t="s">
        <v>885</v>
      </c>
      <c r="T1776" s="18" t="s">
        <v>782</v>
      </c>
      <c r="U17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76" s="19">
        <f>IF(AUDITORIA[[#This Row],[CAT]]="",0,1)</f>
        <v>1</v>
      </c>
      <c r="W1776" s="20">
        <v>46198</v>
      </c>
      <c r="X1776" s="21" t="str">
        <f>UPPER(IF(AUDITORIA[[#This Row],[DATA VERIFICAÇÃO]]="","",TEXT(AUDITORIA[[#This Row],[DATA VERIFICAÇÃO]],"mmm")))</f>
        <v>JUN</v>
      </c>
      <c r="Y1776" t="s">
        <v>598</v>
      </c>
      <c r="Z1776" t="s">
        <v>894</v>
      </c>
      <c r="AA1776" t="s">
        <v>895</v>
      </c>
    </row>
    <row r="1777" spans="1:27" ht="14.4" hidden="1" customHeight="1" x14ac:dyDescent="0.3">
      <c r="A1777" s="4" t="s">
        <v>279</v>
      </c>
      <c r="B1777" s="4" t="s">
        <v>17</v>
      </c>
      <c r="C1777" s="16" t="s">
        <v>18</v>
      </c>
      <c r="D1777" s="4">
        <v>11</v>
      </c>
      <c r="E1777" s="4" t="s">
        <v>745</v>
      </c>
      <c r="F1777" t="s">
        <v>310</v>
      </c>
      <c r="G1777" t="s">
        <v>290</v>
      </c>
      <c r="J1777" s="4" t="s">
        <v>19</v>
      </c>
      <c r="K1777" s="4" t="s">
        <v>20</v>
      </c>
      <c r="L1777" s="4" t="s">
        <v>742</v>
      </c>
      <c r="M1777" s="17">
        <v>30</v>
      </c>
      <c r="N1777" s="17">
        <v>769</v>
      </c>
      <c r="O1777" s="18" t="s">
        <v>19</v>
      </c>
      <c r="P1777" s="18">
        <v>769</v>
      </c>
      <c r="Q1777" s="18">
        <v>30</v>
      </c>
      <c r="R1777" s="18" t="s">
        <v>778</v>
      </c>
      <c r="S1777" s="18" t="s">
        <v>885</v>
      </c>
      <c r="T1777" s="18" t="s">
        <v>794</v>
      </c>
      <c r="U17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77" s="19">
        <f>IF(AUDITORIA[[#This Row],[CAT]]="",0,1)</f>
        <v>1</v>
      </c>
      <c r="W1777" s="20">
        <v>46198</v>
      </c>
      <c r="X1777" s="21" t="str">
        <f>UPPER(IF(AUDITORIA[[#This Row],[DATA VERIFICAÇÃO]]="","",TEXT(AUDITORIA[[#This Row],[DATA VERIFICAÇÃO]],"mmm")))</f>
        <v>JUN</v>
      </c>
      <c r="Y1777" t="s">
        <v>598</v>
      </c>
      <c r="Z1777" t="s">
        <v>894</v>
      </c>
      <c r="AA1777" t="s">
        <v>895</v>
      </c>
    </row>
    <row r="1778" spans="1:27" ht="14.4" hidden="1" customHeight="1" x14ac:dyDescent="0.3">
      <c r="A1778" s="4" t="s">
        <v>279</v>
      </c>
      <c r="B1778" s="4" t="s">
        <v>17</v>
      </c>
      <c r="C1778" s="16" t="s">
        <v>18</v>
      </c>
      <c r="D1778" s="4">
        <v>11</v>
      </c>
      <c r="E1778" s="4" t="s">
        <v>745</v>
      </c>
      <c r="F1778" t="s">
        <v>311</v>
      </c>
      <c r="G1778" t="s">
        <v>106</v>
      </c>
      <c r="J1778" s="4" t="s">
        <v>19</v>
      </c>
      <c r="K1778" s="4" t="s">
        <v>20</v>
      </c>
      <c r="L1778" s="4" t="s">
        <v>742</v>
      </c>
      <c r="M1778" s="17">
        <v>30</v>
      </c>
      <c r="N1778" s="17">
        <v>857</v>
      </c>
      <c r="O1778" s="18" t="s">
        <v>19</v>
      </c>
      <c r="P1778" s="18">
        <v>857</v>
      </c>
      <c r="Q1778" s="18">
        <v>30</v>
      </c>
      <c r="R1778" s="18" t="s">
        <v>778</v>
      </c>
      <c r="S1778" s="18" t="s">
        <v>879</v>
      </c>
      <c r="T1778" s="18" t="s">
        <v>794</v>
      </c>
      <c r="U17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78" s="19">
        <f>IF(AUDITORIA[[#This Row],[CAT]]="",0,1)</f>
        <v>1</v>
      </c>
      <c r="W1778" s="20">
        <v>46198</v>
      </c>
      <c r="X1778" s="21" t="str">
        <f>UPPER(IF(AUDITORIA[[#This Row],[DATA VERIFICAÇÃO]]="","",TEXT(AUDITORIA[[#This Row],[DATA VERIFICAÇÃO]],"mmm")))</f>
        <v>JUN</v>
      </c>
      <c r="Y1778" t="s">
        <v>598</v>
      </c>
      <c r="Z1778" t="s">
        <v>894</v>
      </c>
      <c r="AA1778" t="s">
        <v>895</v>
      </c>
    </row>
    <row r="1779" spans="1:27" ht="14.4" hidden="1" customHeight="1" x14ac:dyDescent="0.3">
      <c r="A1779" s="4" t="s">
        <v>279</v>
      </c>
      <c r="B1779" s="4" t="s">
        <v>17</v>
      </c>
      <c r="C1779" s="16" t="s">
        <v>18</v>
      </c>
      <c r="D1779" s="4">
        <v>11</v>
      </c>
      <c r="E1779" s="4" t="s">
        <v>745</v>
      </c>
      <c r="F1779" t="s">
        <v>299</v>
      </c>
      <c r="G1779" t="s">
        <v>290</v>
      </c>
      <c r="J1779" s="4" t="s">
        <v>19</v>
      </c>
      <c r="K1779" s="4" t="s">
        <v>21</v>
      </c>
      <c r="L1779" s="4" t="s">
        <v>742</v>
      </c>
      <c r="M1779" s="17">
        <v>30</v>
      </c>
      <c r="N1779" s="17">
        <v>911</v>
      </c>
      <c r="O1779" s="18" t="s">
        <v>19</v>
      </c>
      <c r="P1779" s="18">
        <v>911</v>
      </c>
      <c r="Q1779" s="18">
        <v>30</v>
      </c>
      <c r="R1779" s="18" t="s">
        <v>778</v>
      </c>
      <c r="S1779" s="18" t="s">
        <v>878</v>
      </c>
      <c r="T1779" s="18" t="s">
        <v>782</v>
      </c>
      <c r="U17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79" s="19">
        <f>IF(AUDITORIA[[#This Row],[CAT]]="",0,1)</f>
        <v>1</v>
      </c>
      <c r="W1779" s="20">
        <v>46198</v>
      </c>
      <c r="X1779" s="21" t="str">
        <f>UPPER(IF(AUDITORIA[[#This Row],[DATA VERIFICAÇÃO]]="","",TEXT(AUDITORIA[[#This Row],[DATA VERIFICAÇÃO]],"mmm")))</f>
        <v>JUN</v>
      </c>
      <c r="Y1779" t="s">
        <v>598</v>
      </c>
      <c r="Z1779" t="s">
        <v>894</v>
      </c>
      <c r="AA1779" t="s">
        <v>895</v>
      </c>
    </row>
    <row r="1780" spans="1:27" ht="14.4" hidden="1" customHeight="1" x14ac:dyDescent="0.3">
      <c r="A1780" s="4" t="s">
        <v>279</v>
      </c>
      <c r="B1780" s="4" t="s">
        <v>17</v>
      </c>
      <c r="C1780" s="16" t="s">
        <v>18</v>
      </c>
      <c r="D1780" s="4">
        <v>11</v>
      </c>
      <c r="E1780" s="4" t="s">
        <v>745</v>
      </c>
      <c r="F1780" t="s">
        <v>301</v>
      </c>
      <c r="G1780" t="s">
        <v>290</v>
      </c>
      <c r="J1780" s="4" t="s">
        <v>19</v>
      </c>
      <c r="K1780" s="4" t="s">
        <v>20</v>
      </c>
      <c r="L1780" s="4" t="s">
        <v>742</v>
      </c>
      <c r="M1780" s="17">
        <v>30</v>
      </c>
      <c r="N1780" s="17">
        <v>746</v>
      </c>
      <c r="O1780" s="18" t="s">
        <v>19</v>
      </c>
      <c r="P1780" s="18">
        <v>746</v>
      </c>
      <c r="Q1780" s="18">
        <v>30</v>
      </c>
      <c r="R1780" s="18" t="s">
        <v>778</v>
      </c>
      <c r="S1780" s="18" t="s">
        <v>886</v>
      </c>
      <c r="T1780" s="18" t="s">
        <v>782</v>
      </c>
      <c r="U17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80" s="19">
        <f>IF(AUDITORIA[[#This Row],[CAT]]="",0,1)</f>
        <v>1</v>
      </c>
      <c r="W1780" s="20">
        <v>46198</v>
      </c>
      <c r="X1780" s="21" t="str">
        <f>UPPER(IF(AUDITORIA[[#This Row],[DATA VERIFICAÇÃO]]="","",TEXT(AUDITORIA[[#This Row],[DATA VERIFICAÇÃO]],"mmm")))</f>
        <v>JUN</v>
      </c>
      <c r="Y1780" t="s">
        <v>598</v>
      </c>
      <c r="Z1780" t="s">
        <v>894</v>
      </c>
      <c r="AA1780" t="s">
        <v>895</v>
      </c>
    </row>
    <row r="1781" spans="1:27" ht="14.4" hidden="1" customHeight="1" x14ac:dyDescent="0.3">
      <c r="A1781" s="4" t="s">
        <v>279</v>
      </c>
      <c r="B1781" s="4" t="s">
        <v>17</v>
      </c>
      <c r="C1781" s="16" t="s">
        <v>18</v>
      </c>
      <c r="D1781" s="4">
        <v>11</v>
      </c>
      <c r="E1781" s="4" t="s">
        <v>745</v>
      </c>
      <c r="F1781" t="s">
        <v>302</v>
      </c>
      <c r="G1781" t="s">
        <v>290</v>
      </c>
      <c r="J1781" s="4" t="s">
        <v>19</v>
      </c>
      <c r="K1781" s="4" t="s">
        <v>21</v>
      </c>
      <c r="L1781" s="4" t="s">
        <v>742</v>
      </c>
      <c r="M1781" s="17">
        <v>27</v>
      </c>
      <c r="N1781" s="17">
        <v>933</v>
      </c>
      <c r="O1781" s="18" t="s">
        <v>19</v>
      </c>
      <c r="P1781" s="18">
        <v>933</v>
      </c>
      <c r="Q1781" s="18">
        <v>27</v>
      </c>
      <c r="R1781" s="18" t="s">
        <v>778</v>
      </c>
      <c r="S1781" s="18" t="s">
        <v>878</v>
      </c>
      <c r="T1781" s="18" t="s">
        <v>794</v>
      </c>
      <c r="U17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81" s="19">
        <f>IF(AUDITORIA[[#This Row],[CAT]]="",0,1)</f>
        <v>1</v>
      </c>
      <c r="W1781" s="20">
        <v>46198</v>
      </c>
      <c r="X1781" s="21" t="str">
        <f>UPPER(IF(AUDITORIA[[#This Row],[DATA VERIFICAÇÃO]]="","",TEXT(AUDITORIA[[#This Row],[DATA VERIFICAÇÃO]],"mmm")))</f>
        <v>JUN</v>
      </c>
      <c r="Y1781" t="s">
        <v>598</v>
      </c>
      <c r="Z1781" t="s">
        <v>894</v>
      </c>
      <c r="AA1781" t="s">
        <v>895</v>
      </c>
    </row>
    <row r="1782" spans="1:27" ht="14.4" hidden="1" customHeight="1" x14ac:dyDescent="0.3">
      <c r="A1782" s="4" t="s">
        <v>279</v>
      </c>
      <c r="B1782" s="4" t="s">
        <v>17</v>
      </c>
      <c r="C1782" s="16" t="s">
        <v>18</v>
      </c>
      <c r="D1782" s="4">
        <v>11</v>
      </c>
      <c r="E1782" s="4" t="s">
        <v>745</v>
      </c>
      <c r="F1782" t="s">
        <v>303</v>
      </c>
      <c r="G1782" t="s">
        <v>106</v>
      </c>
      <c r="J1782" s="4" t="s">
        <v>19</v>
      </c>
      <c r="K1782" s="4" t="s">
        <v>21</v>
      </c>
      <c r="L1782" s="4" t="s">
        <v>742</v>
      </c>
      <c r="M1782" s="17">
        <v>24</v>
      </c>
      <c r="N1782" s="17">
        <v>1020</v>
      </c>
      <c r="O1782" s="18" t="s">
        <v>19</v>
      </c>
      <c r="P1782" s="18">
        <v>1020</v>
      </c>
      <c r="Q1782" s="18">
        <v>24</v>
      </c>
      <c r="R1782" s="18" t="s">
        <v>778</v>
      </c>
      <c r="S1782" s="18" t="s">
        <v>881</v>
      </c>
      <c r="T1782" s="18" t="s">
        <v>840</v>
      </c>
      <c r="U17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82" s="19">
        <f>IF(AUDITORIA[[#This Row],[CAT]]="",0,1)</f>
        <v>1</v>
      </c>
      <c r="W1782" s="20">
        <v>46198</v>
      </c>
      <c r="X1782" s="21" t="str">
        <f>UPPER(IF(AUDITORIA[[#This Row],[DATA VERIFICAÇÃO]]="","",TEXT(AUDITORIA[[#This Row],[DATA VERIFICAÇÃO]],"mmm")))</f>
        <v>JUN</v>
      </c>
      <c r="Y1782" t="s">
        <v>598</v>
      </c>
      <c r="Z1782" t="s">
        <v>894</v>
      </c>
      <c r="AA1782" t="s">
        <v>895</v>
      </c>
    </row>
    <row r="1783" spans="1:27" ht="14.4" hidden="1" customHeight="1" x14ac:dyDescent="0.3">
      <c r="A1783" s="4" t="s">
        <v>279</v>
      </c>
      <c r="B1783" s="4" t="s">
        <v>17</v>
      </c>
      <c r="C1783" s="16" t="s">
        <v>18</v>
      </c>
      <c r="D1783" s="4">
        <v>11</v>
      </c>
      <c r="E1783" s="4" t="s">
        <v>745</v>
      </c>
      <c r="F1783" t="s">
        <v>304</v>
      </c>
      <c r="G1783" t="s">
        <v>290</v>
      </c>
      <c r="J1783" s="4" t="s">
        <v>19</v>
      </c>
      <c r="K1783" s="4" t="s">
        <v>20</v>
      </c>
      <c r="L1783" s="4" t="s">
        <v>742</v>
      </c>
      <c r="M1783" s="17">
        <v>30</v>
      </c>
      <c r="N1783" s="17">
        <v>755</v>
      </c>
      <c r="O1783" s="18" t="s">
        <v>19</v>
      </c>
      <c r="P1783" s="18">
        <v>755</v>
      </c>
      <c r="Q1783" s="18">
        <v>30</v>
      </c>
      <c r="R1783" s="18" t="s">
        <v>778</v>
      </c>
      <c r="S1783" s="18" t="s">
        <v>885</v>
      </c>
      <c r="T1783" s="18" t="s">
        <v>780</v>
      </c>
      <c r="U17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83" s="19">
        <f>IF(AUDITORIA[[#This Row],[CAT]]="",0,1)</f>
        <v>1</v>
      </c>
      <c r="W1783" s="20">
        <v>46198</v>
      </c>
      <c r="X1783" s="21" t="str">
        <f>UPPER(IF(AUDITORIA[[#This Row],[DATA VERIFICAÇÃO]]="","",TEXT(AUDITORIA[[#This Row],[DATA VERIFICAÇÃO]],"mmm")))</f>
        <v>JUN</v>
      </c>
      <c r="Y1783" t="s">
        <v>598</v>
      </c>
      <c r="Z1783" t="s">
        <v>894</v>
      </c>
      <c r="AA1783" t="s">
        <v>895</v>
      </c>
    </row>
    <row r="1784" spans="1:27" ht="14.4" hidden="1" customHeight="1" x14ac:dyDescent="0.3">
      <c r="A1784" s="4" t="s">
        <v>279</v>
      </c>
      <c r="B1784" s="4" t="s">
        <v>17</v>
      </c>
      <c r="C1784" s="16" t="s">
        <v>18</v>
      </c>
      <c r="D1784" s="4">
        <v>11</v>
      </c>
      <c r="E1784" s="4" t="s">
        <v>745</v>
      </c>
      <c r="F1784" t="s">
        <v>306</v>
      </c>
      <c r="G1784" t="s">
        <v>290</v>
      </c>
      <c r="J1784" s="4" t="s">
        <v>19</v>
      </c>
      <c r="K1784" s="4" t="s">
        <v>20</v>
      </c>
      <c r="L1784" s="4" t="s">
        <v>742</v>
      </c>
      <c r="M1784" s="17">
        <v>30</v>
      </c>
      <c r="N1784" s="17">
        <v>720</v>
      </c>
      <c r="O1784" s="18" t="s">
        <v>19</v>
      </c>
      <c r="P1784" s="18">
        <v>720</v>
      </c>
      <c r="Q1784" s="18">
        <v>30</v>
      </c>
      <c r="R1784" s="18" t="s">
        <v>778</v>
      </c>
      <c r="S1784" s="18" t="s">
        <v>885</v>
      </c>
      <c r="T1784" s="18" t="s">
        <v>781</v>
      </c>
      <c r="U17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84" s="19">
        <f>IF(AUDITORIA[[#This Row],[CAT]]="",0,1)</f>
        <v>1</v>
      </c>
      <c r="W1784" s="20">
        <v>46198</v>
      </c>
      <c r="X1784" s="21" t="str">
        <f>UPPER(IF(AUDITORIA[[#This Row],[DATA VERIFICAÇÃO]]="","",TEXT(AUDITORIA[[#This Row],[DATA VERIFICAÇÃO]],"mmm")))</f>
        <v>JUN</v>
      </c>
      <c r="Y1784" t="s">
        <v>598</v>
      </c>
      <c r="Z1784" t="s">
        <v>894</v>
      </c>
      <c r="AA1784" t="s">
        <v>895</v>
      </c>
    </row>
    <row r="1785" spans="1:27" ht="14.4" hidden="1" customHeight="1" x14ac:dyDescent="0.3">
      <c r="A1785" s="4" t="s">
        <v>279</v>
      </c>
      <c r="B1785" s="4" t="s">
        <v>17</v>
      </c>
      <c r="C1785" s="16" t="s">
        <v>18</v>
      </c>
      <c r="D1785" s="4">
        <v>11</v>
      </c>
      <c r="E1785" s="4" t="s">
        <v>745</v>
      </c>
      <c r="F1785" t="s">
        <v>288</v>
      </c>
      <c r="G1785" t="s">
        <v>106</v>
      </c>
      <c r="J1785" s="4" t="s">
        <v>19</v>
      </c>
      <c r="K1785" s="4" t="s">
        <v>21</v>
      </c>
      <c r="L1785" s="4" t="s">
        <v>742</v>
      </c>
      <c r="M1785" s="17">
        <v>24</v>
      </c>
      <c r="N1785" s="17">
        <v>1025</v>
      </c>
      <c r="O1785" s="18" t="s">
        <v>19</v>
      </c>
      <c r="P1785" s="18">
        <v>1025</v>
      </c>
      <c r="Q1785" s="18">
        <v>24</v>
      </c>
      <c r="R1785" s="18" t="s">
        <v>778</v>
      </c>
      <c r="S1785" s="18" t="s">
        <v>881</v>
      </c>
      <c r="T1785" s="18" t="s">
        <v>782</v>
      </c>
      <c r="U17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85" s="19">
        <f>IF(AUDITORIA[[#This Row],[CAT]]="",0,1)</f>
        <v>1</v>
      </c>
      <c r="W1785" s="20">
        <v>46198</v>
      </c>
      <c r="X1785" s="21" t="str">
        <f>UPPER(IF(AUDITORIA[[#This Row],[DATA VERIFICAÇÃO]]="","",TEXT(AUDITORIA[[#This Row],[DATA VERIFICAÇÃO]],"mmm")))</f>
        <v>JUN</v>
      </c>
      <c r="Y1785" t="s">
        <v>598</v>
      </c>
      <c r="Z1785" t="s">
        <v>894</v>
      </c>
      <c r="AA1785" t="s">
        <v>895</v>
      </c>
    </row>
    <row r="1786" spans="1:27" ht="14.4" hidden="1" customHeight="1" x14ac:dyDescent="0.3">
      <c r="A1786" s="4" t="s">
        <v>279</v>
      </c>
      <c r="B1786" s="4" t="s">
        <v>17</v>
      </c>
      <c r="C1786" s="16" t="s">
        <v>18</v>
      </c>
      <c r="D1786" s="4">
        <v>11</v>
      </c>
      <c r="E1786" s="4" t="s">
        <v>745</v>
      </c>
      <c r="F1786" t="s">
        <v>296</v>
      </c>
      <c r="G1786" t="s">
        <v>106</v>
      </c>
      <c r="J1786" s="4" t="s">
        <v>19</v>
      </c>
      <c r="K1786" s="4" t="s">
        <v>20</v>
      </c>
      <c r="L1786" s="4" t="s">
        <v>742</v>
      </c>
      <c r="M1786" s="17">
        <v>30</v>
      </c>
      <c r="N1786" s="17">
        <v>863</v>
      </c>
      <c r="O1786" s="18" t="s">
        <v>19</v>
      </c>
      <c r="P1786" s="18">
        <v>863</v>
      </c>
      <c r="Q1786" s="18">
        <v>30</v>
      </c>
      <c r="R1786" s="18" t="s">
        <v>778</v>
      </c>
      <c r="S1786" s="18" t="s">
        <v>880</v>
      </c>
      <c r="T1786" s="18" t="s">
        <v>840</v>
      </c>
      <c r="U17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86" s="19">
        <f>IF(AUDITORIA[[#This Row],[CAT]]="",0,1)</f>
        <v>1</v>
      </c>
      <c r="W1786" s="20">
        <v>46198</v>
      </c>
      <c r="X1786" s="21" t="str">
        <f>UPPER(IF(AUDITORIA[[#This Row],[DATA VERIFICAÇÃO]]="","",TEXT(AUDITORIA[[#This Row],[DATA VERIFICAÇÃO]],"mmm")))</f>
        <v>JUN</v>
      </c>
      <c r="Y1786" t="s">
        <v>598</v>
      </c>
      <c r="Z1786" t="s">
        <v>894</v>
      </c>
      <c r="AA1786" t="s">
        <v>895</v>
      </c>
    </row>
    <row r="1787" spans="1:27" ht="14.4" hidden="1" customHeight="1" x14ac:dyDescent="0.3">
      <c r="A1787" s="4" t="s">
        <v>279</v>
      </c>
      <c r="B1787" s="4" t="s">
        <v>17</v>
      </c>
      <c r="C1787" s="16" t="s">
        <v>18</v>
      </c>
      <c r="D1787" s="4">
        <v>11</v>
      </c>
      <c r="E1787" s="4" t="s">
        <v>745</v>
      </c>
      <c r="F1787" t="s">
        <v>297</v>
      </c>
      <c r="G1787" t="s">
        <v>106</v>
      </c>
      <c r="J1787" s="4" t="s">
        <v>19</v>
      </c>
      <c r="K1787" s="4" t="s">
        <v>21</v>
      </c>
      <c r="L1787" s="4" t="s">
        <v>742</v>
      </c>
      <c r="M1787" s="17">
        <v>24</v>
      </c>
      <c r="N1787" s="17">
        <v>1016</v>
      </c>
      <c r="O1787" s="18" t="s">
        <v>19</v>
      </c>
      <c r="P1787" s="18">
        <v>1016</v>
      </c>
      <c r="Q1787" s="18">
        <v>24</v>
      </c>
      <c r="R1787" s="18" t="s">
        <v>778</v>
      </c>
      <c r="S1787" s="18" t="s">
        <v>881</v>
      </c>
      <c r="T1787" s="18" t="s">
        <v>794</v>
      </c>
      <c r="U17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87" s="19">
        <f>IF(AUDITORIA[[#This Row],[CAT]]="",0,1)</f>
        <v>1</v>
      </c>
      <c r="W1787" s="20">
        <v>46198</v>
      </c>
      <c r="X1787" s="21" t="str">
        <f>UPPER(IF(AUDITORIA[[#This Row],[DATA VERIFICAÇÃO]]="","",TEXT(AUDITORIA[[#This Row],[DATA VERIFICAÇÃO]],"mmm")))</f>
        <v>JUN</v>
      </c>
      <c r="Y1787" t="s">
        <v>598</v>
      </c>
      <c r="Z1787" t="s">
        <v>894</v>
      </c>
      <c r="AA1787" t="s">
        <v>895</v>
      </c>
    </row>
    <row r="1788" spans="1:27" ht="14.4" hidden="1" customHeight="1" x14ac:dyDescent="0.3">
      <c r="A1788" s="4" t="s">
        <v>279</v>
      </c>
      <c r="B1788" s="4" t="s">
        <v>17</v>
      </c>
      <c r="C1788" s="16" t="s">
        <v>18</v>
      </c>
      <c r="D1788" s="4">
        <v>11</v>
      </c>
      <c r="E1788" s="4" t="s">
        <v>745</v>
      </c>
      <c r="F1788" t="s">
        <v>298</v>
      </c>
      <c r="G1788" t="s">
        <v>290</v>
      </c>
      <c r="J1788" s="4" t="s">
        <v>19</v>
      </c>
      <c r="K1788" s="4" t="s">
        <v>20</v>
      </c>
      <c r="L1788" s="4" t="s">
        <v>742</v>
      </c>
      <c r="M1788" s="17">
        <v>30</v>
      </c>
      <c r="N1788" s="17">
        <v>800</v>
      </c>
      <c r="O1788" s="18" t="s">
        <v>19</v>
      </c>
      <c r="P1788" s="18">
        <v>800</v>
      </c>
      <c r="Q1788" s="18">
        <v>30</v>
      </c>
      <c r="R1788" s="18" t="s">
        <v>778</v>
      </c>
      <c r="S1788" s="18" t="s">
        <v>886</v>
      </c>
      <c r="T1788" s="18" t="s">
        <v>781</v>
      </c>
      <c r="U17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88" s="19">
        <f>IF(AUDITORIA[[#This Row],[CAT]]="",0,1)</f>
        <v>1</v>
      </c>
      <c r="W1788" s="20">
        <v>46198</v>
      </c>
      <c r="X1788" s="21" t="str">
        <f>UPPER(IF(AUDITORIA[[#This Row],[DATA VERIFICAÇÃO]]="","",TEXT(AUDITORIA[[#This Row],[DATA VERIFICAÇÃO]],"mmm")))</f>
        <v>JUN</v>
      </c>
      <c r="Y1788" t="s">
        <v>598</v>
      </c>
      <c r="Z1788" t="s">
        <v>894</v>
      </c>
      <c r="AA1788" t="s">
        <v>895</v>
      </c>
    </row>
    <row r="1789" spans="1:27" ht="14.4" hidden="1" customHeight="1" x14ac:dyDescent="0.3">
      <c r="A1789" s="4" t="s">
        <v>279</v>
      </c>
      <c r="B1789" s="4" t="s">
        <v>17</v>
      </c>
      <c r="C1789" s="16" t="s">
        <v>18</v>
      </c>
      <c r="D1789" s="4">
        <v>11</v>
      </c>
      <c r="E1789" s="4" t="s">
        <v>745</v>
      </c>
      <c r="F1789" t="s">
        <v>300</v>
      </c>
      <c r="G1789" t="s">
        <v>106</v>
      </c>
      <c r="J1789" s="4" t="s">
        <v>19</v>
      </c>
      <c r="K1789" s="4" t="s">
        <v>20</v>
      </c>
      <c r="L1789" s="4" t="s">
        <v>742</v>
      </c>
      <c r="M1789" s="17">
        <v>30</v>
      </c>
      <c r="N1789" s="17">
        <v>854</v>
      </c>
      <c r="O1789" s="18" t="s">
        <v>19</v>
      </c>
      <c r="P1789" s="18">
        <v>854</v>
      </c>
      <c r="Q1789" s="18">
        <v>30</v>
      </c>
      <c r="R1789" s="18" t="s">
        <v>778</v>
      </c>
      <c r="S1789" s="18" t="s">
        <v>879</v>
      </c>
      <c r="T1789" s="18" t="s">
        <v>780</v>
      </c>
      <c r="U17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89" s="19">
        <f>IF(AUDITORIA[[#This Row],[CAT]]="",0,1)</f>
        <v>1</v>
      </c>
      <c r="W1789" s="20">
        <v>46198</v>
      </c>
      <c r="X1789" s="21" t="str">
        <f>UPPER(IF(AUDITORIA[[#This Row],[DATA VERIFICAÇÃO]]="","",TEXT(AUDITORIA[[#This Row],[DATA VERIFICAÇÃO]],"mmm")))</f>
        <v>JUN</v>
      </c>
      <c r="Y1789" t="s">
        <v>598</v>
      </c>
      <c r="Z1789" t="s">
        <v>894</v>
      </c>
      <c r="AA1789" t="s">
        <v>895</v>
      </c>
    </row>
    <row r="1790" spans="1:27" ht="14.4" hidden="1" customHeight="1" x14ac:dyDescent="0.3">
      <c r="A1790" s="4" t="s">
        <v>279</v>
      </c>
      <c r="B1790" s="4" t="s">
        <v>17</v>
      </c>
      <c r="C1790" s="16" t="s">
        <v>18</v>
      </c>
      <c r="D1790" s="4">
        <v>11</v>
      </c>
      <c r="E1790" s="4" t="s">
        <v>745</v>
      </c>
      <c r="F1790" t="s">
        <v>284</v>
      </c>
      <c r="G1790" t="s">
        <v>106</v>
      </c>
      <c r="J1790" s="4" t="s">
        <v>19</v>
      </c>
      <c r="K1790" s="4" t="s">
        <v>21</v>
      </c>
      <c r="L1790" s="4" t="s">
        <v>742</v>
      </c>
      <c r="M1790" s="17">
        <v>24</v>
      </c>
      <c r="N1790" s="17">
        <v>1027</v>
      </c>
      <c r="O1790" s="18" t="s">
        <v>19</v>
      </c>
      <c r="P1790" s="18">
        <v>1027</v>
      </c>
      <c r="Q1790" s="18">
        <v>24</v>
      </c>
      <c r="R1790" s="18" t="s">
        <v>778</v>
      </c>
      <c r="S1790" s="18" t="s">
        <v>881</v>
      </c>
      <c r="T1790" s="18" t="s">
        <v>781</v>
      </c>
      <c r="U17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90" s="19">
        <f>IF(AUDITORIA[[#This Row],[CAT]]="",0,1)</f>
        <v>1</v>
      </c>
      <c r="W1790" s="20">
        <v>46198</v>
      </c>
      <c r="X1790" s="21" t="str">
        <f>UPPER(IF(AUDITORIA[[#This Row],[DATA VERIFICAÇÃO]]="","",TEXT(AUDITORIA[[#This Row],[DATA VERIFICAÇÃO]],"mmm")))</f>
        <v>JUN</v>
      </c>
      <c r="Y1790" t="s">
        <v>598</v>
      </c>
      <c r="Z1790" t="s">
        <v>894</v>
      </c>
      <c r="AA1790" t="s">
        <v>895</v>
      </c>
    </row>
    <row r="1791" spans="1:27" ht="14.4" hidden="1" customHeight="1" x14ac:dyDescent="0.3">
      <c r="A1791" s="4" t="s">
        <v>279</v>
      </c>
      <c r="B1791" s="4" t="s">
        <v>17</v>
      </c>
      <c r="C1791" s="16" t="s">
        <v>18</v>
      </c>
      <c r="D1791" s="4">
        <v>11</v>
      </c>
      <c r="E1791" s="4" t="s">
        <v>745</v>
      </c>
      <c r="F1791" t="s">
        <v>286</v>
      </c>
      <c r="G1791" t="s">
        <v>106</v>
      </c>
      <c r="J1791" s="4" t="s">
        <v>19</v>
      </c>
      <c r="K1791" s="4" t="s">
        <v>20</v>
      </c>
      <c r="L1791" s="4" t="s">
        <v>742</v>
      </c>
      <c r="M1791" s="17">
        <v>30</v>
      </c>
      <c r="N1791" s="17">
        <v>833</v>
      </c>
      <c r="O1791" s="18" t="s">
        <v>19</v>
      </c>
      <c r="P1791" s="18">
        <v>833</v>
      </c>
      <c r="Q1791" s="18">
        <v>30</v>
      </c>
      <c r="R1791" s="18" t="s">
        <v>778</v>
      </c>
      <c r="S1791" s="18" t="s">
        <v>880</v>
      </c>
      <c r="T1791" s="18" t="s">
        <v>781</v>
      </c>
      <c r="U17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91" s="19">
        <f>IF(AUDITORIA[[#This Row],[CAT]]="",0,1)</f>
        <v>1</v>
      </c>
      <c r="W1791" s="20">
        <v>46198</v>
      </c>
      <c r="X1791" s="21" t="str">
        <f>UPPER(IF(AUDITORIA[[#This Row],[DATA VERIFICAÇÃO]]="","",TEXT(AUDITORIA[[#This Row],[DATA VERIFICAÇÃO]],"mmm")))</f>
        <v>JUN</v>
      </c>
      <c r="Y1791" t="s">
        <v>598</v>
      </c>
      <c r="Z1791" t="s">
        <v>894</v>
      </c>
      <c r="AA1791" t="s">
        <v>895</v>
      </c>
    </row>
    <row r="1792" spans="1:27" ht="14.4" hidden="1" customHeight="1" x14ac:dyDescent="0.3">
      <c r="A1792" s="4" t="s">
        <v>279</v>
      </c>
      <c r="B1792" s="4" t="s">
        <v>17</v>
      </c>
      <c r="C1792" s="16" t="s">
        <v>18</v>
      </c>
      <c r="D1792" s="4">
        <v>11</v>
      </c>
      <c r="E1792" s="4" t="s">
        <v>745</v>
      </c>
      <c r="F1792" t="s">
        <v>287</v>
      </c>
      <c r="G1792" t="s">
        <v>106</v>
      </c>
      <c r="J1792" s="4" t="s">
        <v>19</v>
      </c>
      <c r="K1792" s="4" t="s">
        <v>20</v>
      </c>
      <c r="L1792" s="4" t="s">
        <v>742</v>
      </c>
      <c r="M1792" s="17">
        <v>30</v>
      </c>
      <c r="N1792" s="17">
        <v>857</v>
      </c>
      <c r="O1792" s="18" t="s">
        <v>19</v>
      </c>
      <c r="P1792" s="18">
        <v>857</v>
      </c>
      <c r="Q1792" s="18">
        <v>30</v>
      </c>
      <c r="R1792" s="18" t="s">
        <v>778</v>
      </c>
      <c r="S1792" s="18" t="s">
        <v>880</v>
      </c>
      <c r="T1792" s="18" t="s">
        <v>782</v>
      </c>
      <c r="U17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92" s="19">
        <f>IF(AUDITORIA[[#This Row],[CAT]]="",0,1)</f>
        <v>1</v>
      </c>
      <c r="W1792" s="20">
        <v>46198</v>
      </c>
      <c r="X1792" s="21" t="str">
        <f>UPPER(IF(AUDITORIA[[#This Row],[DATA VERIFICAÇÃO]]="","",TEXT(AUDITORIA[[#This Row],[DATA VERIFICAÇÃO]],"mmm")))</f>
        <v>JUN</v>
      </c>
      <c r="Y1792" t="s">
        <v>598</v>
      </c>
      <c r="Z1792" t="s">
        <v>894</v>
      </c>
      <c r="AA1792" t="s">
        <v>895</v>
      </c>
    </row>
    <row r="1793" spans="1:27" ht="14.4" hidden="1" customHeight="1" x14ac:dyDescent="0.3">
      <c r="A1793" s="4" t="s">
        <v>279</v>
      </c>
      <c r="B1793" s="4" t="s">
        <v>17</v>
      </c>
      <c r="C1793" s="16" t="s">
        <v>18</v>
      </c>
      <c r="D1793" s="4">
        <v>11</v>
      </c>
      <c r="E1793" s="4" t="s">
        <v>745</v>
      </c>
      <c r="F1793" t="s">
        <v>289</v>
      </c>
      <c r="G1793" t="s">
        <v>290</v>
      </c>
      <c r="J1793" s="4" t="s">
        <v>19</v>
      </c>
      <c r="K1793" s="4" t="s">
        <v>20</v>
      </c>
      <c r="L1793" s="4" t="s">
        <v>742</v>
      </c>
      <c r="M1793" s="17">
        <v>9</v>
      </c>
      <c r="N1793" s="17">
        <v>777</v>
      </c>
      <c r="O1793" s="18" t="s">
        <v>19</v>
      </c>
      <c r="P1793" s="18">
        <v>777</v>
      </c>
      <c r="Q1793" s="18">
        <v>9</v>
      </c>
      <c r="R1793" s="18" t="s">
        <v>778</v>
      </c>
      <c r="S1793" s="18" t="s">
        <v>878</v>
      </c>
      <c r="T1793" s="18" t="s">
        <v>781</v>
      </c>
      <c r="U17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93" s="19">
        <f>IF(AUDITORIA[[#This Row],[CAT]]="",0,1)</f>
        <v>1</v>
      </c>
      <c r="W1793" s="20">
        <v>46198</v>
      </c>
      <c r="X1793" s="21" t="str">
        <f>UPPER(IF(AUDITORIA[[#This Row],[DATA VERIFICAÇÃO]]="","",TEXT(AUDITORIA[[#This Row],[DATA VERIFICAÇÃO]],"mmm")))</f>
        <v>JUN</v>
      </c>
      <c r="Y1793" t="s">
        <v>598</v>
      </c>
      <c r="Z1793" t="s">
        <v>894</v>
      </c>
      <c r="AA1793" t="s">
        <v>895</v>
      </c>
    </row>
    <row r="1794" spans="1:27" ht="14.4" hidden="1" customHeight="1" x14ac:dyDescent="0.3">
      <c r="A1794" s="4" t="s">
        <v>279</v>
      </c>
      <c r="B1794" s="4" t="s">
        <v>17</v>
      </c>
      <c r="C1794" s="16" t="s">
        <v>18</v>
      </c>
      <c r="D1794" s="4">
        <v>11</v>
      </c>
      <c r="E1794" s="4" t="s">
        <v>745</v>
      </c>
      <c r="F1794" t="s">
        <v>293</v>
      </c>
      <c r="G1794" t="s">
        <v>290</v>
      </c>
      <c r="J1794" s="4" t="s">
        <v>19</v>
      </c>
      <c r="K1794" s="4" t="s">
        <v>21</v>
      </c>
      <c r="L1794" s="4" t="s">
        <v>742</v>
      </c>
      <c r="M1794" s="17">
        <v>11</v>
      </c>
      <c r="N1794" s="17">
        <v>928</v>
      </c>
      <c r="O1794" s="18" t="s">
        <v>19</v>
      </c>
      <c r="P1794" s="18">
        <v>928</v>
      </c>
      <c r="Q1794" s="18">
        <v>11</v>
      </c>
      <c r="R1794" s="18" t="s">
        <v>778</v>
      </c>
      <c r="S1794" s="18" t="s">
        <v>878</v>
      </c>
      <c r="T1794" s="18" t="s">
        <v>780</v>
      </c>
      <c r="U17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94" s="19">
        <f>IF(AUDITORIA[[#This Row],[CAT]]="",0,1)</f>
        <v>1</v>
      </c>
      <c r="W1794" s="20">
        <v>46198</v>
      </c>
      <c r="X1794" s="21" t="str">
        <f>UPPER(IF(AUDITORIA[[#This Row],[DATA VERIFICAÇÃO]]="","",TEXT(AUDITORIA[[#This Row],[DATA VERIFICAÇÃO]],"mmm")))</f>
        <v>JUN</v>
      </c>
      <c r="Y1794" t="s">
        <v>598</v>
      </c>
      <c r="Z1794" t="s">
        <v>894</v>
      </c>
      <c r="AA1794" t="s">
        <v>895</v>
      </c>
    </row>
    <row r="1795" spans="1:27" ht="14.4" hidden="1" customHeight="1" x14ac:dyDescent="0.3">
      <c r="A1795" s="4" t="s">
        <v>279</v>
      </c>
      <c r="B1795" s="4" t="s">
        <v>17</v>
      </c>
      <c r="C1795" s="16" t="s">
        <v>18</v>
      </c>
      <c r="D1795" s="4">
        <v>11</v>
      </c>
      <c r="E1795" s="4" t="s">
        <v>745</v>
      </c>
      <c r="F1795" t="s">
        <v>294</v>
      </c>
      <c r="G1795" t="s">
        <v>106</v>
      </c>
      <c r="J1795" s="4" t="s">
        <v>19</v>
      </c>
      <c r="K1795" s="4" t="s">
        <v>20</v>
      </c>
      <c r="L1795" s="4" t="s">
        <v>742</v>
      </c>
      <c r="M1795" s="17">
        <v>30</v>
      </c>
      <c r="N1795" s="17">
        <v>844</v>
      </c>
      <c r="O1795" s="18" t="s">
        <v>19</v>
      </c>
      <c r="P1795" s="18">
        <v>844</v>
      </c>
      <c r="Q1795" s="18">
        <v>30</v>
      </c>
      <c r="R1795" s="18" t="s">
        <v>778</v>
      </c>
      <c r="S1795" s="18" t="s">
        <v>880</v>
      </c>
      <c r="T1795" s="18" t="s">
        <v>794</v>
      </c>
      <c r="U17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95" s="19">
        <f>IF(AUDITORIA[[#This Row],[CAT]]="",0,1)</f>
        <v>1</v>
      </c>
      <c r="W1795" s="20">
        <v>46198</v>
      </c>
      <c r="X1795" s="21" t="str">
        <f>UPPER(IF(AUDITORIA[[#This Row],[DATA VERIFICAÇÃO]]="","",TEXT(AUDITORIA[[#This Row],[DATA VERIFICAÇÃO]],"mmm")))</f>
        <v>JUN</v>
      </c>
      <c r="Y1795" t="s">
        <v>598</v>
      </c>
      <c r="Z1795" t="s">
        <v>894</v>
      </c>
      <c r="AA1795" t="s">
        <v>895</v>
      </c>
    </row>
    <row r="1796" spans="1:27" ht="14.4" hidden="1" customHeight="1" x14ac:dyDescent="0.3">
      <c r="A1796" s="4" t="s">
        <v>279</v>
      </c>
      <c r="B1796" s="4" t="s">
        <v>17</v>
      </c>
      <c r="C1796" s="16" t="s">
        <v>18</v>
      </c>
      <c r="D1796" s="4">
        <v>11</v>
      </c>
      <c r="E1796" s="4" t="s">
        <v>745</v>
      </c>
      <c r="F1796" t="s">
        <v>295</v>
      </c>
      <c r="G1796" t="s">
        <v>290</v>
      </c>
      <c r="J1796" s="4" t="s">
        <v>19</v>
      </c>
      <c r="K1796" s="4" t="s">
        <v>20</v>
      </c>
      <c r="L1796" s="4" t="s">
        <v>742</v>
      </c>
      <c r="M1796" s="17">
        <v>30</v>
      </c>
      <c r="N1796" s="17">
        <v>766</v>
      </c>
      <c r="O1796" s="18" t="s">
        <v>19</v>
      </c>
      <c r="P1796" s="18">
        <v>766</v>
      </c>
      <c r="Q1796" s="18">
        <v>30</v>
      </c>
      <c r="R1796" s="18" t="s">
        <v>778</v>
      </c>
      <c r="S1796" s="18" t="s">
        <v>886</v>
      </c>
      <c r="T1796" s="18" t="s">
        <v>780</v>
      </c>
      <c r="U17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96" s="19">
        <f>IF(AUDITORIA[[#This Row],[CAT]]="",0,1)</f>
        <v>1</v>
      </c>
      <c r="W1796" s="20">
        <v>46198</v>
      </c>
      <c r="X1796" s="21" t="str">
        <f>UPPER(IF(AUDITORIA[[#This Row],[DATA VERIFICAÇÃO]]="","",TEXT(AUDITORIA[[#This Row],[DATA VERIFICAÇÃO]],"mmm")))</f>
        <v>JUN</v>
      </c>
      <c r="Y1796" t="s">
        <v>598</v>
      </c>
      <c r="Z1796" t="s">
        <v>894</v>
      </c>
      <c r="AA1796" t="s">
        <v>895</v>
      </c>
    </row>
    <row r="1797" spans="1:27" ht="14.4" hidden="1" customHeight="1" x14ac:dyDescent="0.3">
      <c r="A1797" s="4" t="s">
        <v>279</v>
      </c>
      <c r="B1797" s="4" t="s">
        <v>17</v>
      </c>
      <c r="C1797" s="16" t="s">
        <v>18</v>
      </c>
      <c r="D1797" s="4">
        <v>11</v>
      </c>
      <c r="E1797" s="4" t="s">
        <v>745</v>
      </c>
      <c r="F1797" t="s">
        <v>305</v>
      </c>
      <c r="G1797" t="s">
        <v>106</v>
      </c>
      <c r="J1797" s="4" t="s">
        <v>19</v>
      </c>
      <c r="K1797" s="4" t="s">
        <v>20</v>
      </c>
      <c r="L1797" s="4" t="s">
        <v>742</v>
      </c>
      <c r="M1797" s="17">
        <v>30</v>
      </c>
      <c r="N1797" s="17">
        <v>852</v>
      </c>
      <c r="O1797" s="18" t="s">
        <v>19</v>
      </c>
      <c r="P1797" s="18">
        <v>852</v>
      </c>
      <c r="Q1797" s="18">
        <v>30</v>
      </c>
      <c r="R1797" s="18" t="s">
        <v>778</v>
      </c>
      <c r="S1797" s="18" t="s">
        <v>879</v>
      </c>
      <c r="T1797" s="18" t="s">
        <v>781</v>
      </c>
      <c r="U17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97" s="19">
        <f>IF(AUDITORIA[[#This Row],[CAT]]="",0,1)</f>
        <v>1</v>
      </c>
      <c r="W1797" s="20">
        <v>46198</v>
      </c>
      <c r="X1797" s="21" t="str">
        <f>UPPER(IF(AUDITORIA[[#This Row],[DATA VERIFICAÇÃO]]="","",TEXT(AUDITORIA[[#This Row],[DATA VERIFICAÇÃO]],"mmm")))</f>
        <v>JUN</v>
      </c>
      <c r="Y1797" t="s">
        <v>598</v>
      </c>
      <c r="Z1797" t="s">
        <v>894</v>
      </c>
      <c r="AA1797" t="s">
        <v>895</v>
      </c>
    </row>
    <row r="1798" spans="1:27" ht="14.4" hidden="1" customHeight="1" x14ac:dyDescent="0.3">
      <c r="A1798" s="4" t="s">
        <v>279</v>
      </c>
      <c r="B1798" s="4" t="s">
        <v>17</v>
      </c>
      <c r="C1798" s="16" t="s">
        <v>18</v>
      </c>
      <c r="D1798" s="4">
        <v>11</v>
      </c>
      <c r="E1798" s="4" t="s">
        <v>745</v>
      </c>
      <c r="F1798" t="s">
        <v>498</v>
      </c>
      <c r="G1798" t="s">
        <v>281</v>
      </c>
      <c r="J1798" s="4" t="s">
        <v>31</v>
      </c>
      <c r="K1798" s="4" t="s">
        <v>21</v>
      </c>
      <c r="L1798" s="4" t="s">
        <v>742</v>
      </c>
      <c r="M1798" s="17">
        <v>24</v>
      </c>
      <c r="N1798" s="17">
        <v>1032</v>
      </c>
      <c r="O1798" s="18" t="s">
        <v>31</v>
      </c>
      <c r="P1798" s="18">
        <v>1032</v>
      </c>
      <c r="Q1798" s="18">
        <v>24</v>
      </c>
      <c r="R1798" s="18" t="s">
        <v>814</v>
      </c>
      <c r="S1798" s="18" t="s">
        <v>857</v>
      </c>
      <c r="T1798" s="18" t="s">
        <v>781</v>
      </c>
      <c r="U17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98" s="19">
        <f>IF(AUDITORIA[[#This Row],[CAT]]="",0,1)</f>
        <v>1</v>
      </c>
      <c r="W1798" s="20">
        <v>46198</v>
      </c>
      <c r="X1798" s="21" t="str">
        <f>UPPER(IF(AUDITORIA[[#This Row],[DATA VERIFICAÇÃO]]="","",TEXT(AUDITORIA[[#This Row],[DATA VERIFICAÇÃO]],"mmm")))</f>
        <v>JUN</v>
      </c>
      <c r="Y1798" t="s">
        <v>598</v>
      </c>
      <c r="Z1798" t="s">
        <v>894</v>
      </c>
      <c r="AA1798" t="s">
        <v>895</v>
      </c>
    </row>
    <row r="1799" spans="1:27" ht="14.4" hidden="1" customHeight="1" x14ac:dyDescent="0.3">
      <c r="A1799" s="4" t="s">
        <v>279</v>
      </c>
      <c r="B1799" s="4" t="s">
        <v>17</v>
      </c>
      <c r="C1799" s="16" t="s">
        <v>18</v>
      </c>
      <c r="D1799" s="4">
        <v>11</v>
      </c>
      <c r="E1799" s="4" t="s">
        <v>745</v>
      </c>
      <c r="F1799" t="s">
        <v>499</v>
      </c>
      <c r="G1799" t="s">
        <v>106</v>
      </c>
      <c r="J1799" s="4" t="s">
        <v>19</v>
      </c>
      <c r="K1799" s="4" t="s">
        <v>21</v>
      </c>
      <c r="L1799" s="4" t="s">
        <v>742</v>
      </c>
      <c r="M1799" s="17">
        <v>24</v>
      </c>
      <c r="N1799" s="17">
        <v>1030</v>
      </c>
      <c r="O1799" s="18" t="s">
        <v>19</v>
      </c>
      <c r="P1799" s="18">
        <v>1030</v>
      </c>
      <c r="Q1799" s="18">
        <v>24</v>
      </c>
      <c r="R1799" s="18" t="s">
        <v>778</v>
      </c>
      <c r="S1799" s="18" t="s">
        <v>881</v>
      </c>
      <c r="T1799" s="18" t="s">
        <v>780</v>
      </c>
      <c r="U17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799" s="19">
        <f>IF(AUDITORIA[[#This Row],[CAT]]="",0,1)</f>
        <v>1</v>
      </c>
      <c r="W1799" s="20">
        <v>46198</v>
      </c>
      <c r="X1799" s="21" t="str">
        <f>UPPER(IF(AUDITORIA[[#This Row],[DATA VERIFICAÇÃO]]="","",TEXT(AUDITORIA[[#This Row],[DATA VERIFICAÇÃO]],"mmm")))</f>
        <v>JUN</v>
      </c>
      <c r="Y1799" t="s">
        <v>598</v>
      </c>
      <c r="Z1799" t="s">
        <v>894</v>
      </c>
      <c r="AA1799" t="s">
        <v>895</v>
      </c>
    </row>
    <row r="1800" spans="1:27" ht="14.4" hidden="1" customHeight="1" x14ac:dyDescent="0.3">
      <c r="A1800" s="4" t="s">
        <v>279</v>
      </c>
      <c r="B1800" s="4" t="s">
        <v>17</v>
      </c>
      <c r="C1800" s="16" t="s">
        <v>18</v>
      </c>
      <c r="D1800" s="4">
        <v>11</v>
      </c>
      <c r="E1800" s="4" t="s">
        <v>745</v>
      </c>
      <c r="F1800" t="s">
        <v>500</v>
      </c>
      <c r="G1800" t="s">
        <v>106</v>
      </c>
      <c r="J1800" s="4" t="s">
        <v>19</v>
      </c>
      <c r="K1800" s="4" t="s">
        <v>20</v>
      </c>
      <c r="L1800" s="4" t="s">
        <v>742</v>
      </c>
      <c r="M1800" s="17">
        <v>30</v>
      </c>
      <c r="N1800" s="17">
        <v>830</v>
      </c>
      <c r="O1800" s="18" t="s">
        <v>19</v>
      </c>
      <c r="P1800" s="18">
        <v>830</v>
      </c>
      <c r="Q1800" s="18">
        <v>30</v>
      </c>
      <c r="R1800" s="18" t="s">
        <v>778</v>
      </c>
      <c r="S1800" s="18" t="s">
        <v>892</v>
      </c>
      <c r="T1800" s="18" t="s">
        <v>840</v>
      </c>
      <c r="U18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00" s="19">
        <f>IF(AUDITORIA[[#This Row],[CAT]]="",0,1)</f>
        <v>1</v>
      </c>
      <c r="W1800" s="20">
        <v>46198</v>
      </c>
      <c r="X1800" s="21" t="str">
        <f>UPPER(IF(AUDITORIA[[#This Row],[DATA VERIFICAÇÃO]]="","",TEXT(AUDITORIA[[#This Row],[DATA VERIFICAÇÃO]],"mmm")))</f>
        <v>JUN</v>
      </c>
      <c r="Y1800" t="s">
        <v>598</v>
      </c>
      <c r="Z1800" t="s">
        <v>894</v>
      </c>
      <c r="AA1800" t="s">
        <v>895</v>
      </c>
    </row>
    <row r="1801" spans="1:27" ht="14.4" hidden="1" customHeight="1" x14ac:dyDescent="0.3">
      <c r="A1801" s="4" t="s">
        <v>279</v>
      </c>
      <c r="B1801" s="4" t="s">
        <v>17</v>
      </c>
      <c r="C1801" s="16" t="s">
        <v>18</v>
      </c>
      <c r="D1801" s="4">
        <v>11</v>
      </c>
      <c r="E1801" s="4" t="s">
        <v>745</v>
      </c>
      <c r="F1801" t="s">
        <v>501</v>
      </c>
      <c r="G1801" t="s">
        <v>281</v>
      </c>
      <c r="J1801" s="4" t="s">
        <v>31</v>
      </c>
      <c r="K1801" s="4" t="s">
        <v>21</v>
      </c>
      <c r="L1801" s="4" t="s">
        <v>742</v>
      </c>
      <c r="M1801" s="17">
        <v>24</v>
      </c>
      <c r="N1801" s="17">
        <v>1039</v>
      </c>
      <c r="O1801" s="18" t="s">
        <v>31</v>
      </c>
      <c r="P1801" s="18">
        <v>1039</v>
      </c>
      <c r="Q1801" s="18">
        <v>24</v>
      </c>
      <c r="R1801" s="18" t="s">
        <v>814</v>
      </c>
      <c r="S1801" s="18" t="s">
        <v>857</v>
      </c>
      <c r="T1801" s="18" t="s">
        <v>780</v>
      </c>
      <c r="U18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01" s="19">
        <f>IF(AUDITORIA[[#This Row],[CAT]]="",0,1)</f>
        <v>1</v>
      </c>
      <c r="W1801" s="20">
        <v>46198</v>
      </c>
      <c r="X1801" s="21" t="str">
        <f>UPPER(IF(AUDITORIA[[#This Row],[DATA VERIFICAÇÃO]]="","",TEXT(AUDITORIA[[#This Row],[DATA VERIFICAÇÃO]],"mmm")))</f>
        <v>JUN</v>
      </c>
      <c r="Y1801" t="s">
        <v>598</v>
      </c>
      <c r="Z1801" t="s">
        <v>894</v>
      </c>
      <c r="AA1801" t="s">
        <v>895</v>
      </c>
    </row>
    <row r="1802" spans="1:27" ht="14.4" hidden="1" customHeight="1" x14ac:dyDescent="0.3">
      <c r="A1802" s="4" t="s">
        <v>279</v>
      </c>
      <c r="B1802" s="4" t="s">
        <v>17</v>
      </c>
      <c r="C1802" s="16" t="s">
        <v>18</v>
      </c>
      <c r="D1802" s="4">
        <v>11</v>
      </c>
      <c r="E1802" s="4" t="s">
        <v>745</v>
      </c>
      <c r="F1802" t="s">
        <v>502</v>
      </c>
      <c r="G1802" t="s">
        <v>106</v>
      </c>
      <c r="J1802" s="4" t="s">
        <v>19</v>
      </c>
      <c r="K1802" s="4" t="s">
        <v>20</v>
      </c>
      <c r="L1802" s="4" t="s">
        <v>742</v>
      </c>
      <c r="M1802" s="17">
        <v>30</v>
      </c>
      <c r="N1802" s="17">
        <v>830</v>
      </c>
      <c r="O1802" s="18" t="s">
        <v>19</v>
      </c>
      <c r="P1802" s="18">
        <v>830</v>
      </c>
      <c r="Q1802" s="18">
        <v>30</v>
      </c>
      <c r="R1802" s="18" t="s">
        <v>778</v>
      </c>
      <c r="S1802" s="18" t="s">
        <v>892</v>
      </c>
      <c r="T1802" s="18" t="s">
        <v>843</v>
      </c>
      <c r="U18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02" s="19">
        <f>IF(AUDITORIA[[#This Row],[CAT]]="",0,1)</f>
        <v>1</v>
      </c>
      <c r="W1802" s="20">
        <v>46198</v>
      </c>
      <c r="X1802" s="21" t="str">
        <f>UPPER(IF(AUDITORIA[[#This Row],[DATA VERIFICAÇÃO]]="","",TEXT(AUDITORIA[[#This Row],[DATA VERIFICAÇÃO]],"mmm")))</f>
        <v>JUN</v>
      </c>
      <c r="Y1802" t="s">
        <v>598</v>
      </c>
      <c r="Z1802" t="s">
        <v>894</v>
      </c>
      <c r="AA1802" t="s">
        <v>895</v>
      </c>
    </row>
    <row r="1803" spans="1:27" ht="14.4" hidden="1" customHeight="1" x14ac:dyDescent="0.3">
      <c r="A1803" s="4" t="s">
        <v>279</v>
      </c>
      <c r="B1803" s="4" t="s">
        <v>17</v>
      </c>
      <c r="C1803" s="16" t="s">
        <v>18</v>
      </c>
      <c r="D1803" s="4">
        <v>11</v>
      </c>
      <c r="E1803" s="4" t="s">
        <v>745</v>
      </c>
      <c r="F1803" t="s">
        <v>280</v>
      </c>
      <c r="G1803" t="s">
        <v>281</v>
      </c>
      <c r="J1803" s="4" t="s">
        <v>31</v>
      </c>
      <c r="K1803" s="4" t="s">
        <v>20</v>
      </c>
      <c r="L1803" s="4" t="s">
        <v>742</v>
      </c>
      <c r="M1803" s="17">
        <v>30</v>
      </c>
      <c r="N1803" s="17">
        <v>846</v>
      </c>
      <c r="O1803" s="18" t="s">
        <v>31</v>
      </c>
      <c r="P1803" s="18">
        <v>846</v>
      </c>
      <c r="Q1803" s="18">
        <v>30</v>
      </c>
      <c r="R1803" s="18" t="s">
        <v>814</v>
      </c>
      <c r="S1803" s="18" t="s">
        <v>856</v>
      </c>
      <c r="T1803" s="18" t="s">
        <v>780</v>
      </c>
      <c r="U18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03" s="19">
        <f>IF(AUDITORIA[[#This Row],[CAT]]="",0,1)</f>
        <v>1</v>
      </c>
      <c r="W1803" s="20">
        <v>46198</v>
      </c>
      <c r="X1803" s="21" t="str">
        <f>UPPER(IF(AUDITORIA[[#This Row],[DATA VERIFICAÇÃO]]="","",TEXT(AUDITORIA[[#This Row],[DATA VERIFICAÇÃO]],"mmm")))</f>
        <v>JUN</v>
      </c>
      <c r="Y1803" t="s">
        <v>598</v>
      </c>
      <c r="Z1803" t="s">
        <v>894</v>
      </c>
      <c r="AA1803" t="s">
        <v>895</v>
      </c>
    </row>
    <row r="1804" spans="1:27" ht="14.4" hidden="1" customHeight="1" x14ac:dyDescent="0.3">
      <c r="A1804" s="4" t="s">
        <v>279</v>
      </c>
      <c r="B1804" s="4" t="s">
        <v>17</v>
      </c>
      <c r="C1804" s="16" t="s">
        <v>18</v>
      </c>
      <c r="D1804" s="4">
        <v>11</v>
      </c>
      <c r="E1804" s="4" t="s">
        <v>745</v>
      </c>
      <c r="F1804" t="s">
        <v>285</v>
      </c>
      <c r="G1804" t="s">
        <v>106</v>
      </c>
      <c r="J1804" s="4" t="s">
        <v>19</v>
      </c>
      <c r="K1804" s="4" t="s">
        <v>20</v>
      </c>
      <c r="L1804" s="4" t="s">
        <v>742</v>
      </c>
      <c r="M1804" s="17">
        <v>30</v>
      </c>
      <c r="N1804" s="17">
        <v>862</v>
      </c>
      <c r="O1804" s="18" t="s">
        <v>19</v>
      </c>
      <c r="P1804" s="18">
        <v>862</v>
      </c>
      <c r="Q1804" s="18">
        <v>30</v>
      </c>
      <c r="R1804" s="18" t="s">
        <v>778</v>
      </c>
      <c r="S1804" s="18" t="s">
        <v>880</v>
      </c>
      <c r="T1804" s="18" t="s">
        <v>780</v>
      </c>
      <c r="U18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04" s="19">
        <f>IF(AUDITORIA[[#This Row],[CAT]]="",0,1)</f>
        <v>1</v>
      </c>
      <c r="W1804" s="20">
        <v>46198</v>
      </c>
      <c r="X1804" s="21" t="str">
        <f>UPPER(IF(AUDITORIA[[#This Row],[DATA VERIFICAÇÃO]]="","",TEXT(AUDITORIA[[#This Row],[DATA VERIFICAÇÃO]],"mmm")))</f>
        <v>JUN</v>
      </c>
      <c r="Y1804" t="s">
        <v>598</v>
      </c>
      <c r="Z1804" t="s">
        <v>894</v>
      </c>
      <c r="AA1804" t="s">
        <v>895</v>
      </c>
    </row>
    <row r="1805" spans="1:27" ht="14.4" customHeight="1" x14ac:dyDescent="0.3">
      <c r="A1805" s="4" t="s">
        <v>279</v>
      </c>
      <c r="B1805" s="4" t="s">
        <v>17</v>
      </c>
      <c r="C1805" s="16" t="s">
        <v>18</v>
      </c>
      <c r="D1805" s="4">
        <v>11</v>
      </c>
      <c r="E1805" s="4" t="s">
        <v>745</v>
      </c>
      <c r="F1805" t="s">
        <v>503</v>
      </c>
      <c r="G1805" t="s">
        <v>106</v>
      </c>
      <c r="J1805" s="4" t="s">
        <v>19</v>
      </c>
      <c r="K1805" s="4" t="s">
        <v>20</v>
      </c>
      <c r="L1805" s="4" t="s">
        <v>742</v>
      </c>
      <c r="M1805" s="17">
        <v>30</v>
      </c>
      <c r="N1805" s="17">
        <v>851</v>
      </c>
      <c r="O1805" s="18" t="s">
        <v>19</v>
      </c>
      <c r="P1805" s="18">
        <v>851</v>
      </c>
      <c r="Q1805" s="18">
        <v>30</v>
      </c>
      <c r="R1805" s="18" t="s">
        <v>778</v>
      </c>
      <c r="S1805" s="18" t="s">
        <v>892</v>
      </c>
      <c r="T1805" s="18" t="s">
        <v>781</v>
      </c>
      <c r="U18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05" s="19">
        <f>IF(AUDITORIA[[#This Row],[CAT]]="",0,1)</f>
        <v>1</v>
      </c>
      <c r="W1805" s="20">
        <v>46198</v>
      </c>
      <c r="X1805" s="21" t="str">
        <f>UPPER(IF(AUDITORIA[[#This Row],[DATA VERIFICAÇÃO]]="","",TEXT(AUDITORIA[[#This Row],[DATA VERIFICAÇÃO]],"mmm")))</f>
        <v>JUN</v>
      </c>
      <c r="Y1805" t="s">
        <v>598</v>
      </c>
      <c r="Z1805" t="s">
        <v>894</v>
      </c>
      <c r="AA1805" t="s">
        <v>895</v>
      </c>
    </row>
    <row r="1806" spans="1:27" ht="14.4" hidden="1" customHeight="1" x14ac:dyDescent="0.3">
      <c r="A1806" s="4" t="s">
        <v>279</v>
      </c>
      <c r="B1806" s="4" t="s">
        <v>17</v>
      </c>
      <c r="C1806" s="16" t="s">
        <v>18</v>
      </c>
      <c r="D1806" s="4">
        <v>11</v>
      </c>
      <c r="E1806" s="4" t="s">
        <v>745</v>
      </c>
      <c r="F1806" t="s">
        <v>504</v>
      </c>
      <c r="G1806" t="s">
        <v>281</v>
      </c>
      <c r="J1806" s="4" t="s">
        <v>31</v>
      </c>
      <c r="K1806" s="4" t="s">
        <v>20</v>
      </c>
      <c r="L1806" s="4" t="s">
        <v>742</v>
      </c>
      <c r="M1806" s="17">
        <v>30</v>
      </c>
      <c r="N1806" s="17">
        <v>855</v>
      </c>
      <c r="O1806" s="18" t="s">
        <v>31</v>
      </c>
      <c r="P1806" s="18">
        <v>855</v>
      </c>
      <c r="Q1806" s="18">
        <v>30</v>
      </c>
      <c r="R1806" s="18" t="s">
        <v>814</v>
      </c>
      <c r="S1806" s="18" t="s">
        <v>856</v>
      </c>
      <c r="T1806" s="18" t="s">
        <v>782</v>
      </c>
      <c r="U18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06" s="19">
        <f>IF(AUDITORIA[[#This Row],[CAT]]="",0,1)</f>
        <v>1</v>
      </c>
      <c r="W1806" s="20">
        <v>46198</v>
      </c>
      <c r="X1806" s="21" t="str">
        <f>UPPER(IF(AUDITORIA[[#This Row],[DATA VERIFICAÇÃO]]="","",TEXT(AUDITORIA[[#This Row],[DATA VERIFICAÇÃO]],"mmm")))</f>
        <v>JUN</v>
      </c>
      <c r="Y1806" t="s">
        <v>598</v>
      </c>
      <c r="Z1806" t="s">
        <v>894</v>
      </c>
      <c r="AA1806" t="s">
        <v>895</v>
      </c>
    </row>
    <row r="1807" spans="1:27" ht="14.4" hidden="1" customHeight="1" x14ac:dyDescent="0.3">
      <c r="A1807" s="4" t="s">
        <v>279</v>
      </c>
      <c r="B1807" s="4" t="s">
        <v>17</v>
      </c>
      <c r="C1807" s="16" t="s">
        <v>18</v>
      </c>
      <c r="D1807" s="4">
        <v>11</v>
      </c>
      <c r="E1807" s="4" t="s">
        <v>745</v>
      </c>
      <c r="F1807" t="s">
        <v>505</v>
      </c>
      <c r="G1807" t="s">
        <v>106</v>
      </c>
      <c r="J1807" s="4" t="s">
        <v>19</v>
      </c>
      <c r="K1807" s="4" t="s">
        <v>21</v>
      </c>
      <c r="L1807" s="4" t="s">
        <v>742</v>
      </c>
      <c r="M1807" s="17">
        <v>24</v>
      </c>
      <c r="N1807" s="17">
        <v>1012</v>
      </c>
      <c r="O1807" s="18" t="s">
        <v>19</v>
      </c>
      <c r="P1807" s="18">
        <v>1012</v>
      </c>
      <c r="Q1807" s="18">
        <v>24</v>
      </c>
      <c r="R1807" s="18" t="s">
        <v>778</v>
      </c>
      <c r="S1807" s="18" t="s">
        <v>818</v>
      </c>
      <c r="T1807" s="18" t="s">
        <v>781</v>
      </c>
      <c r="U18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07" s="19">
        <f>IF(AUDITORIA[[#This Row],[CAT]]="",0,1)</f>
        <v>1</v>
      </c>
      <c r="W1807" s="20">
        <v>46198</v>
      </c>
      <c r="X1807" s="21" t="str">
        <f>UPPER(IF(AUDITORIA[[#This Row],[DATA VERIFICAÇÃO]]="","",TEXT(AUDITORIA[[#This Row],[DATA VERIFICAÇÃO]],"mmm")))</f>
        <v>JUN</v>
      </c>
      <c r="Y1807" t="s">
        <v>598</v>
      </c>
      <c r="Z1807" t="s">
        <v>894</v>
      </c>
      <c r="AA1807" t="s">
        <v>895</v>
      </c>
    </row>
    <row r="1808" spans="1:27" ht="14.4" customHeight="1" x14ac:dyDescent="0.3">
      <c r="A1808" s="4" t="s">
        <v>279</v>
      </c>
      <c r="B1808" s="4" t="s">
        <v>17</v>
      </c>
      <c r="C1808" s="16" t="s">
        <v>18</v>
      </c>
      <c r="D1808" s="4">
        <v>11</v>
      </c>
      <c r="E1808" s="4" t="s">
        <v>745</v>
      </c>
      <c r="F1808" t="s">
        <v>506</v>
      </c>
      <c r="G1808" t="s">
        <v>106</v>
      </c>
      <c r="J1808" s="4" t="s">
        <v>19</v>
      </c>
      <c r="K1808" s="4" t="s">
        <v>20</v>
      </c>
      <c r="L1808" s="4" t="s">
        <v>742</v>
      </c>
      <c r="M1808" s="17">
        <v>30</v>
      </c>
      <c r="N1808" s="17">
        <v>845</v>
      </c>
      <c r="O1808" s="18" t="s">
        <v>19</v>
      </c>
      <c r="P1808" s="18">
        <v>845</v>
      </c>
      <c r="Q1808" s="18">
        <v>30</v>
      </c>
      <c r="R1808" s="18" t="s">
        <v>778</v>
      </c>
      <c r="S1808" s="18" t="s">
        <v>892</v>
      </c>
      <c r="T1808" s="18" t="s">
        <v>782</v>
      </c>
      <c r="U18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08" s="19">
        <f>IF(AUDITORIA[[#This Row],[CAT]]="",0,1)</f>
        <v>1</v>
      </c>
      <c r="W1808" s="20">
        <v>46198</v>
      </c>
      <c r="X1808" s="21" t="str">
        <f>UPPER(IF(AUDITORIA[[#This Row],[DATA VERIFICAÇÃO]]="","",TEXT(AUDITORIA[[#This Row],[DATA VERIFICAÇÃO]],"mmm")))</f>
        <v>JUN</v>
      </c>
      <c r="Y1808" t="s">
        <v>598</v>
      </c>
      <c r="Z1808" t="s">
        <v>894</v>
      </c>
      <c r="AA1808" t="s">
        <v>895</v>
      </c>
    </row>
    <row r="1809" spans="1:27" ht="14.4" hidden="1" customHeight="1" x14ac:dyDescent="0.3">
      <c r="A1809" s="4" t="s">
        <v>279</v>
      </c>
      <c r="B1809" s="4" t="s">
        <v>17</v>
      </c>
      <c r="C1809" s="16" t="s">
        <v>18</v>
      </c>
      <c r="D1809" s="4">
        <v>11</v>
      </c>
      <c r="E1809" s="4" t="s">
        <v>745</v>
      </c>
      <c r="F1809" t="s">
        <v>507</v>
      </c>
      <c r="G1809" t="s">
        <v>106</v>
      </c>
      <c r="J1809" s="4" t="s">
        <v>19</v>
      </c>
      <c r="K1809" s="4" t="s">
        <v>20</v>
      </c>
      <c r="L1809" s="4" t="s">
        <v>742</v>
      </c>
      <c r="M1809" s="17">
        <v>30</v>
      </c>
      <c r="N1809" s="17">
        <v>839</v>
      </c>
      <c r="O1809" s="18" t="s">
        <v>19</v>
      </c>
      <c r="P1809" s="18">
        <v>839</v>
      </c>
      <c r="Q1809" s="18">
        <v>30</v>
      </c>
      <c r="R1809" s="18" t="s">
        <v>778</v>
      </c>
      <c r="S1809" s="18" t="s">
        <v>892</v>
      </c>
      <c r="T1809" s="18" t="s">
        <v>794</v>
      </c>
      <c r="U18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09" s="19">
        <f>IF(AUDITORIA[[#This Row],[CAT]]="",0,1)</f>
        <v>1</v>
      </c>
      <c r="W1809" s="20">
        <v>46198</v>
      </c>
      <c r="X1809" s="21" t="str">
        <f>UPPER(IF(AUDITORIA[[#This Row],[DATA VERIFICAÇÃO]]="","",TEXT(AUDITORIA[[#This Row],[DATA VERIFICAÇÃO]],"mmm")))</f>
        <v>JUN</v>
      </c>
      <c r="Y1809" t="s">
        <v>598</v>
      </c>
      <c r="Z1809" t="s">
        <v>894</v>
      </c>
      <c r="AA1809" t="s">
        <v>895</v>
      </c>
    </row>
    <row r="1810" spans="1:27" ht="14.4" hidden="1" customHeight="1" x14ac:dyDescent="0.3">
      <c r="A1810" s="4" t="s">
        <v>279</v>
      </c>
      <c r="B1810" s="4" t="s">
        <v>17</v>
      </c>
      <c r="C1810" s="16" t="s">
        <v>18</v>
      </c>
      <c r="D1810" s="4">
        <v>11</v>
      </c>
      <c r="E1810" s="4" t="s">
        <v>745</v>
      </c>
      <c r="F1810" t="s">
        <v>508</v>
      </c>
      <c r="G1810" t="s">
        <v>281</v>
      </c>
      <c r="J1810" s="4" t="s">
        <v>31</v>
      </c>
      <c r="K1810" s="4" t="s">
        <v>20</v>
      </c>
      <c r="L1810" s="4" t="s">
        <v>742</v>
      </c>
      <c r="M1810" s="17">
        <v>30</v>
      </c>
      <c r="N1810" s="17">
        <v>848</v>
      </c>
      <c r="O1810" s="18" t="s">
        <v>31</v>
      </c>
      <c r="P1810" s="18">
        <v>848</v>
      </c>
      <c r="Q1810" s="18">
        <v>30</v>
      </c>
      <c r="R1810" s="18" t="s">
        <v>814</v>
      </c>
      <c r="S1810" s="18" t="s">
        <v>856</v>
      </c>
      <c r="T1810" s="18" t="s">
        <v>781</v>
      </c>
      <c r="U18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10" s="19">
        <f>IF(AUDITORIA[[#This Row],[CAT]]="",0,1)</f>
        <v>1</v>
      </c>
      <c r="W1810" s="20">
        <v>46198</v>
      </c>
      <c r="X1810" s="21" t="str">
        <f>UPPER(IF(AUDITORIA[[#This Row],[DATA VERIFICAÇÃO]]="","",TEXT(AUDITORIA[[#This Row],[DATA VERIFICAÇÃO]],"mmm")))</f>
        <v>JUN</v>
      </c>
      <c r="Y1810" t="s">
        <v>598</v>
      </c>
      <c r="Z1810" t="s">
        <v>894</v>
      </c>
      <c r="AA1810" t="s">
        <v>895</v>
      </c>
    </row>
    <row r="1811" spans="1:27" ht="14.4" hidden="1" customHeight="1" x14ac:dyDescent="0.3">
      <c r="A1811" s="4" t="s">
        <v>279</v>
      </c>
      <c r="B1811" s="4" t="s">
        <v>17</v>
      </c>
      <c r="C1811" s="16" t="s">
        <v>18</v>
      </c>
      <c r="D1811" s="4">
        <v>11</v>
      </c>
      <c r="E1811" s="4" t="s">
        <v>745</v>
      </c>
      <c r="F1811" t="s">
        <v>509</v>
      </c>
      <c r="G1811" t="s">
        <v>106</v>
      </c>
      <c r="J1811" s="4" t="s">
        <v>19</v>
      </c>
      <c r="K1811" s="4" t="s">
        <v>21</v>
      </c>
      <c r="L1811" s="4" t="s">
        <v>742</v>
      </c>
      <c r="M1811" s="17">
        <v>15</v>
      </c>
      <c r="N1811" s="17">
        <v>1033</v>
      </c>
      <c r="O1811" s="18" t="s">
        <v>19</v>
      </c>
      <c r="P1811" s="18">
        <v>1033</v>
      </c>
      <c r="Q1811" s="18">
        <v>15</v>
      </c>
      <c r="R1811" s="18" t="s">
        <v>778</v>
      </c>
      <c r="S1811" s="18" t="s">
        <v>818</v>
      </c>
      <c r="T1811" s="18" t="s">
        <v>782</v>
      </c>
      <c r="U18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11" s="19">
        <f>IF(AUDITORIA[[#This Row],[CAT]]="",0,1)</f>
        <v>1</v>
      </c>
      <c r="W1811" s="20">
        <v>46198</v>
      </c>
      <c r="X1811" s="21" t="str">
        <f>UPPER(IF(AUDITORIA[[#This Row],[DATA VERIFICAÇÃO]]="","",TEXT(AUDITORIA[[#This Row],[DATA VERIFICAÇÃO]],"mmm")))</f>
        <v>JUN</v>
      </c>
      <c r="Y1811" t="s">
        <v>598</v>
      </c>
      <c r="Z1811" t="s">
        <v>894</v>
      </c>
      <c r="AA1811" t="s">
        <v>895</v>
      </c>
    </row>
    <row r="1812" spans="1:27" ht="14.4" hidden="1" customHeight="1" x14ac:dyDescent="0.3">
      <c r="A1812" s="4" t="s">
        <v>279</v>
      </c>
      <c r="B1812" s="4" t="s">
        <v>17</v>
      </c>
      <c r="C1812" s="16" t="s">
        <v>18</v>
      </c>
      <c r="D1812" s="4">
        <v>11</v>
      </c>
      <c r="E1812" s="4" t="s">
        <v>745</v>
      </c>
      <c r="F1812" t="s">
        <v>510</v>
      </c>
      <c r="G1812" t="s">
        <v>281</v>
      </c>
      <c r="J1812" s="4" t="s">
        <v>31</v>
      </c>
      <c r="K1812" s="4" t="s">
        <v>20</v>
      </c>
      <c r="L1812" s="4" t="s">
        <v>742</v>
      </c>
      <c r="M1812" s="17">
        <v>30</v>
      </c>
      <c r="N1812" s="17">
        <v>846</v>
      </c>
      <c r="O1812" s="18" t="s">
        <v>31</v>
      </c>
      <c r="P1812" s="18">
        <v>846</v>
      </c>
      <c r="Q1812" s="18">
        <v>30</v>
      </c>
      <c r="R1812" s="18" t="s">
        <v>814</v>
      </c>
      <c r="S1812" s="18" t="s">
        <v>856</v>
      </c>
      <c r="T1812" s="18" t="s">
        <v>794</v>
      </c>
      <c r="U18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12" s="19">
        <f>IF(AUDITORIA[[#This Row],[CAT]]="",0,1)</f>
        <v>1</v>
      </c>
      <c r="W1812" s="20">
        <v>46198</v>
      </c>
      <c r="X1812" s="21" t="str">
        <f>UPPER(IF(AUDITORIA[[#This Row],[DATA VERIFICAÇÃO]]="","",TEXT(AUDITORIA[[#This Row],[DATA VERIFICAÇÃO]],"mmm")))</f>
        <v>JUN</v>
      </c>
      <c r="Y1812" t="s">
        <v>598</v>
      </c>
      <c r="Z1812" t="s">
        <v>894</v>
      </c>
      <c r="AA1812" t="s">
        <v>895</v>
      </c>
    </row>
    <row r="1813" spans="1:27" ht="14.4" hidden="1" customHeight="1" x14ac:dyDescent="0.3">
      <c r="A1813" s="4" t="s">
        <v>279</v>
      </c>
      <c r="B1813" s="4" t="s">
        <v>17</v>
      </c>
      <c r="C1813" s="16" t="s">
        <v>18</v>
      </c>
      <c r="D1813" s="4">
        <v>11</v>
      </c>
      <c r="E1813" s="4" t="s">
        <v>745</v>
      </c>
      <c r="F1813" t="s">
        <v>511</v>
      </c>
      <c r="G1813" t="s">
        <v>106</v>
      </c>
      <c r="J1813" s="4" t="s">
        <v>19</v>
      </c>
      <c r="K1813" s="4" t="s">
        <v>21</v>
      </c>
      <c r="L1813" s="4" t="s">
        <v>742</v>
      </c>
      <c r="M1813" s="17">
        <v>24</v>
      </c>
      <c r="N1813" s="17">
        <v>1023</v>
      </c>
      <c r="O1813" s="18" t="s">
        <v>19</v>
      </c>
      <c r="P1813" s="18">
        <v>1023</v>
      </c>
      <c r="Q1813" s="18">
        <v>24</v>
      </c>
      <c r="R1813" s="18" t="s">
        <v>778</v>
      </c>
      <c r="S1813" s="18" t="s">
        <v>818</v>
      </c>
      <c r="T1813" s="18" t="s">
        <v>780</v>
      </c>
      <c r="U18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13" s="19">
        <f>IF(AUDITORIA[[#This Row],[CAT]]="",0,1)</f>
        <v>1</v>
      </c>
      <c r="W1813" s="20">
        <v>46198</v>
      </c>
      <c r="X1813" s="21" t="str">
        <f>UPPER(IF(AUDITORIA[[#This Row],[DATA VERIFICAÇÃO]]="","",TEXT(AUDITORIA[[#This Row],[DATA VERIFICAÇÃO]],"mmm")))</f>
        <v>JUN</v>
      </c>
      <c r="Y1813" t="s">
        <v>598</v>
      </c>
      <c r="Z1813" t="s">
        <v>894</v>
      </c>
      <c r="AA1813" t="s">
        <v>895</v>
      </c>
    </row>
    <row r="1814" spans="1:27" ht="14.4" customHeight="1" x14ac:dyDescent="0.3">
      <c r="A1814" s="4" t="s">
        <v>279</v>
      </c>
      <c r="B1814" s="4" t="s">
        <v>17</v>
      </c>
      <c r="C1814" s="16" t="s">
        <v>18</v>
      </c>
      <c r="D1814" s="4">
        <v>11</v>
      </c>
      <c r="E1814" s="4" t="s">
        <v>745</v>
      </c>
      <c r="F1814" t="s">
        <v>512</v>
      </c>
      <c r="G1814" t="s">
        <v>106</v>
      </c>
      <c r="J1814" s="4" t="s">
        <v>19</v>
      </c>
      <c r="K1814" s="4" t="s">
        <v>20</v>
      </c>
      <c r="L1814" s="4" t="s">
        <v>742</v>
      </c>
      <c r="M1814" s="17">
        <v>30</v>
      </c>
      <c r="N1814" s="17">
        <v>857</v>
      </c>
      <c r="O1814" s="18" t="s">
        <v>19</v>
      </c>
      <c r="P1814" s="18">
        <v>857</v>
      </c>
      <c r="Q1814" s="18">
        <v>30</v>
      </c>
      <c r="R1814" s="18" t="s">
        <v>778</v>
      </c>
      <c r="S1814" s="18" t="s">
        <v>892</v>
      </c>
      <c r="T1814" s="18" t="s">
        <v>780</v>
      </c>
      <c r="U18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14" s="19">
        <f>IF(AUDITORIA[[#This Row],[CAT]]="",0,1)</f>
        <v>1</v>
      </c>
      <c r="W1814" s="20">
        <v>46198</v>
      </c>
      <c r="X1814" s="21" t="str">
        <f>UPPER(IF(AUDITORIA[[#This Row],[DATA VERIFICAÇÃO]]="","",TEXT(AUDITORIA[[#This Row],[DATA VERIFICAÇÃO]],"mmm")))</f>
        <v>JUN</v>
      </c>
      <c r="Y1814" t="s">
        <v>598</v>
      </c>
      <c r="Z1814" t="s">
        <v>894</v>
      </c>
      <c r="AA1814" t="s">
        <v>895</v>
      </c>
    </row>
    <row r="1815" spans="1:27" ht="14.4" hidden="1" customHeight="1" x14ac:dyDescent="0.3">
      <c r="A1815" s="4" t="s">
        <v>279</v>
      </c>
      <c r="B1815" s="4" t="s">
        <v>17</v>
      </c>
      <c r="C1815" s="16" t="s">
        <v>18</v>
      </c>
      <c r="D1815" s="4">
        <v>11</v>
      </c>
      <c r="E1815" s="4" t="s">
        <v>745</v>
      </c>
      <c r="F1815" t="s">
        <v>513</v>
      </c>
      <c r="G1815" t="s">
        <v>514</v>
      </c>
      <c r="J1815" s="4" t="s">
        <v>31</v>
      </c>
      <c r="K1815" s="4" t="s">
        <v>21</v>
      </c>
      <c r="L1815" s="4" t="s">
        <v>742</v>
      </c>
      <c r="M1815" s="17">
        <v>30</v>
      </c>
      <c r="N1815" s="17">
        <v>809</v>
      </c>
      <c r="O1815" s="18" t="s">
        <v>31</v>
      </c>
      <c r="P1815" s="18">
        <v>809</v>
      </c>
      <c r="Q1815" s="18">
        <v>30</v>
      </c>
      <c r="R1815" s="18" t="s">
        <v>814</v>
      </c>
      <c r="S1815" s="18" t="s">
        <v>859</v>
      </c>
      <c r="T1815" s="18" t="s">
        <v>780</v>
      </c>
      <c r="U18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15" s="19">
        <f>IF(AUDITORIA[[#This Row],[CAT]]="",0,1)</f>
        <v>1</v>
      </c>
      <c r="W1815" s="20">
        <v>46198</v>
      </c>
      <c r="X1815" s="21" t="str">
        <f>UPPER(IF(AUDITORIA[[#This Row],[DATA VERIFICAÇÃO]]="","",TEXT(AUDITORIA[[#This Row],[DATA VERIFICAÇÃO]],"mmm")))</f>
        <v>JUN</v>
      </c>
      <c r="Y1815" t="s">
        <v>598</v>
      </c>
      <c r="Z1815" t="s">
        <v>894</v>
      </c>
      <c r="AA1815" t="s">
        <v>895</v>
      </c>
    </row>
    <row r="1816" spans="1:27" ht="14.4" hidden="1" customHeight="1" x14ac:dyDescent="0.3">
      <c r="A1816" s="4" t="s">
        <v>279</v>
      </c>
      <c r="B1816" s="4" t="s">
        <v>17</v>
      </c>
      <c r="C1816" s="16" t="s">
        <v>18</v>
      </c>
      <c r="D1816" s="4">
        <v>11</v>
      </c>
      <c r="E1816" s="4" t="s">
        <v>745</v>
      </c>
      <c r="F1816" t="s">
        <v>517</v>
      </c>
      <c r="G1816" t="s">
        <v>281</v>
      </c>
      <c r="J1816" s="4" t="s">
        <v>31</v>
      </c>
      <c r="K1816" s="4" t="s">
        <v>21</v>
      </c>
      <c r="L1816" s="4" t="s">
        <v>742</v>
      </c>
      <c r="M1816" s="17">
        <v>24</v>
      </c>
      <c r="N1816" s="17">
        <v>1032</v>
      </c>
      <c r="O1816" s="18" t="s">
        <v>31</v>
      </c>
      <c r="P1816" s="18">
        <v>1032</v>
      </c>
      <c r="Q1816" s="18">
        <v>24</v>
      </c>
      <c r="R1816" s="18" t="s">
        <v>814</v>
      </c>
      <c r="S1816" s="18" t="s">
        <v>857</v>
      </c>
      <c r="T1816" s="18" t="s">
        <v>782</v>
      </c>
      <c r="U18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16" s="19">
        <f>IF(AUDITORIA[[#This Row],[CAT]]="",0,1)</f>
        <v>1</v>
      </c>
      <c r="W1816" s="20">
        <v>46198</v>
      </c>
      <c r="X1816" s="21" t="str">
        <f>UPPER(IF(AUDITORIA[[#This Row],[DATA VERIFICAÇÃO]]="","",TEXT(AUDITORIA[[#This Row],[DATA VERIFICAÇÃO]],"mmm")))</f>
        <v>JUN</v>
      </c>
      <c r="Y1816" t="s">
        <v>598</v>
      </c>
      <c r="Z1816" t="s">
        <v>894</v>
      </c>
      <c r="AA1816" t="s">
        <v>895</v>
      </c>
    </row>
    <row r="1817" spans="1:27" ht="14.4" hidden="1" customHeight="1" x14ac:dyDescent="0.3">
      <c r="A1817" s="4" t="s">
        <v>279</v>
      </c>
      <c r="B1817" s="4" t="s">
        <v>17</v>
      </c>
      <c r="C1817" s="16" t="s">
        <v>18</v>
      </c>
      <c r="D1817" s="4">
        <v>11</v>
      </c>
      <c r="E1817" s="4" t="s">
        <v>745</v>
      </c>
      <c r="F1817" t="s">
        <v>518</v>
      </c>
      <c r="G1817" t="s">
        <v>106</v>
      </c>
      <c r="J1817" s="4" t="s">
        <v>19</v>
      </c>
      <c r="K1817" s="4" t="s">
        <v>20</v>
      </c>
      <c r="L1817" s="4" t="s">
        <v>742</v>
      </c>
      <c r="M1817" s="17">
        <v>29</v>
      </c>
      <c r="N1817" s="17">
        <v>864</v>
      </c>
      <c r="O1817" s="18" t="s">
        <v>19</v>
      </c>
      <c r="P1817" s="18">
        <v>864</v>
      </c>
      <c r="Q1817" s="18">
        <v>29</v>
      </c>
      <c r="R1817" s="18" t="s">
        <v>778</v>
      </c>
      <c r="S1817" s="18" t="s">
        <v>818</v>
      </c>
      <c r="T1817" s="18" t="s">
        <v>794</v>
      </c>
      <c r="U18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17" s="19">
        <f>IF(AUDITORIA[[#This Row],[CAT]]="",0,1)</f>
        <v>1</v>
      </c>
      <c r="W1817" s="20">
        <v>46198</v>
      </c>
      <c r="X1817" s="21" t="str">
        <f>UPPER(IF(AUDITORIA[[#This Row],[DATA VERIFICAÇÃO]]="","",TEXT(AUDITORIA[[#This Row],[DATA VERIFICAÇÃO]],"mmm")))</f>
        <v>JUN</v>
      </c>
      <c r="Y1817" t="s">
        <v>598</v>
      </c>
      <c r="Z1817" t="s">
        <v>894</v>
      </c>
      <c r="AA1817" t="s">
        <v>895</v>
      </c>
    </row>
    <row r="1818" spans="1:27" ht="14.4" hidden="1" customHeight="1" x14ac:dyDescent="0.3">
      <c r="A1818" s="4" t="s">
        <v>279</v>
      </c>
      <c r="B1818" s="4" t="s">
        <v>17</v>
      </c>
      <c r="C1818" s="16" t="s">
        <v>18</v>
      </c>
      <c r="D1818" s="4">
        <v>11</v>
      </c>
      <c r="E1818" s="4" t="s">
        <v>745</v>
      </c>
      <c r="F1818" t="s">
        <v>519</v>
      </c>
      <c r="G1818" t="s">
        <v>281</v>
      </c>
      <c r="J1818" s="4" t="s">
        <v>31</v>
      </c>
      <c r="K1818" s="4" t="s">
        <v>21</v>
      </c>
      <c r="L1818" s="4" t="s">
        <v>742</v>
      </c>
      <c r="M1818" s="17">
        <v>17</v>
      </c>
      <c r="N1818" s="17">
        <v>1029</v>
      </c>
      <c r="O1818" s="18" t="s">
        <v>31</v>
      </c>
      <c r="P1818" s="18">
        <v>1029</v>
      </c>
      <c r="Q1818" s="18">
        <v>17</v>
      </c>
      <c r="R1818" s="18" t="s">
        <v>814</v>
      </c>
      <c r="S1818" s="18" t="s">
        <v>857</v>
      </c>
      <c r="T1818" s="18" t="s">
        <v>794</v>
      </c>
      <c r="U18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18" s="19">
        <f>IF(AUDITORIA[[#This Row],[CAT]]="",0,1)</f>
        <v>1</v>
      </c>
      <c r="W1818" s="20">
        <v>46198</v>
      </c>
      <c r="X1818" s="21" t="str">
        <f>UPPER(IF(AUDITORIA[[#This Row],[DATA VERIFICAÇÃO]]="","",TEXT(AUDITORIA[[#This Row],[DATA VERIFICAÇÃO]],"mmm")))</f>
        <v>JUN</v>
      </c>
      <c r="Y1818" t="s">
        <v>598</v>
      </c>
      <c r="Z1818" t="s">
        <v>894</v>
      </c>
      <c r="AA1818" t="s">
        <v>895</v>
      </c>
    </row>
    <row r="1819" spans="1:27" ht="14.4" hidden="1" customHeight="1" x14ac:dyDescent="0.3">
      <c r="A1819" s="4" t="s">
        <v>279</v>
      </c>
      <c r="B1819" s="4" t="s">
        <v>17</v>
      </c>
      <c r="C1819" s="16" t="s">
        <v>18</v>
      </c>
      <c r="D1819" s="4">
        <v>11</v>
      </c>
      <c r="E1819" s="4" t="s">
        <v>745</v>
      </c>
      <c r="F1819" t="s">
        <v>520</v>
      </c>
      <c r="G1819" t="s">
        <v>514</v>
      </c>
      <c r="J1819" s="4" t="s">
        <v>31</v>
      </c>
      <c r="K1819" s="4" t="s">
        <v>20</v>
      </c>
      <c r="L1819" s="4" t="s">
        <v>742</v>
      </c>
      <c r="M1819" s="17">
        <v>30</v>
      </c>
      <c r="N1819" s="17">
        <v>656</v>
      </c>
      <c r="O1819" s="18" t="s">
        <v>31</v>
      </c>
      <c r="P1819" s="18">
        <v>656</v>
      </c>
      <c r="Q1819" s="18">
        <v>30</v>
      </c>
      <c r="R1819" s="18" t="s">
        <v>814</v>
      </c>
      <c r="S1819" s="18" t="s">
        <v>858</v>
      </c>
      <c r="T1819" s="18" t="s">
        <v>781</v>
      </c>
      <c r="U18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19" s="19">
        <f>IF(AUDITORIA[[#This Row],[CAT]]="",0,1)</f>
        <v>1</v>
      </c>
      <c r="W1819" s="20">
        <v>46198</v>
      </c>
      <c r="X1819" s="21" t="str">
        <f>UPPER(IF(AUDITORIA[[#This Row],[DATA VERIFICAÇÃO]]="","",TEXT(AUDITORIA[[#This Row],[DATA VERIFICAÇÃO]],"mmm")))</f>
        <v>JUN</v>
      </c>
      <c r="Y1819" t="s">
        <v>598</v>
      </c>
      <c r="Z1819" t="s">
        <v>894</v>
      </c>
      <c r="AA1819" t="s">
        <v>895</v>
      </c>
    </row>
    <row r="1820" spans="1:27" ht="14.4" hidden="1" customHeight="1" x14ac:dyDescent="0.3">
      <c r="A1820" s="4" t="s">
        <v>279</v>
      </c>
      <c r="B1820" s="4" t="s">
        <v>17</v>
      </c>
      <c r="C1820" s="16" t="s">
        <v>18</v>
      </c>
      <c r="D1820" s="4">
        <v>11</v>
      </c>
      <c r="E1820" s="4" t="s">
        <v>745</v>
      </c>
      <c r="F1820" t="s">
        <v>521</v>
      </c>
      <c r="G1820" t="s">
        <v>281</v>
      </c>
      <c r="J1820" s="4" t="s">
        <v>31</v>
      </c>
      <c r="K1820" s="4" t="s">
        <v>20</v>
      </c>
      <c r="L1820" s="4" t="s">
        <v>742</v>
      </c>
      <c r="M1820" s="17">
        <v>2</v>
      </c>
      <c r="N1820" s="17">
        <v>851</v>
      </c>
      <c r="O1820" s="18" t="s">
        <v>31</v>
      </c>
      <c r="P1820" s="18">
        <v>851</v>
      </c>
      <c r="Q1820" s="18">
        <v>2</v>
      </c>
      <c r="R1820" s="18" t="s">
        <v>814</v>
      </c>
      <c r="S1820" s="18" t="s">
        <v>857</v>
      </c>
      <c r="T1820" s="18" t="s">
        <v>840</v>
      </c>
      <c r="U18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20" s="19">
        <f>IF(AUDITORIA[[#This Row],[CAT]]="",0,1)</f>
        <v>1</v>
      </c>
      <c r="W1820" s="20">
        <v>46198</v>
      </c>
      <c r="X1820" s="21" t="str">
        <f>UPPER(IF(AUDITORIA[[#This Row],[DATA VERIFICAÇÃO]]="","",TEXT(AUDITORIA[[#This Row],[DATA VERIFICAÇÃO]],"mmm")))</f>
        <v>JUN</v>
      </c>
      <c r="Y1820" t="s">
        <v>598</v>
      </c>
      <c r="Z1820" t="s">
        <v>894</v>
      </c>
      <c r="AA1820" t="s">
        <v>895</v>
      </c>
    </row>
    <row r="1821" spans="1:27" ht="14.4" hidden="1" customHeight="1" x14ac:dyDescent="0.3">
      <c r="A1821" s="4" t="s">
        <v>279</v>
      </c>
      <c r="B1821" s="4" t="s">
        <v>17</v>
      </c>
      <c r="C1821" s="16" t="s">
        <v>18</v>
      </c>
      <c r="D1821" s="4">
        <v>11</v>
      </c>
      <c r="E1821" s="4" t="s">
        <v>745</v>
      </c>
      <c r="F1821" t="s">
        <v>522</v>
      </c>
      <c r="G1821" t="s">
        <v>514</v>
      </c>
      <c r="J1821" s="4" t="s">
        <v>31</v>
      </c>
      <c r="K1821" s="4" t="s">
        <v>20</v>
      </c>
      <c r="L1821" s="4" t="s">
        <v>742</v>
      </c>
      <c r="M1821" s="17">
        <v>30</v>
      </c>
      <c r="N1821" s="17">
        <v>652</v>
      </c>
      <c r="O1821" s="18" t="s">
        <v>31</v>
      </c>
      <c r="P1821" s="18">
        <v>652</v>
      </c>
      <c r="Q1821" s="18">
        <v>30</v>
      </c>
      <c r="R1821" s="18" t="s">
        <v>814</v>
      </c>
      <c r="S1821" s="18" t="s">
        <v>858</v>
      </c>
      <c r="T1821" s="18" t="s">
        <v>780</v>
      </c>
      <c r="U18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21" s="19">
        <f>IF(AUDITORIA[[#This Row],[CAT]]="",0,1)</f>
        <v>1</v>
      </c>
      <c r="W1821" s="20">
        <v>46198</v>
      </c>
      <c r="X1821" s="21" t="str">
        <f>UPPER(IF(AUDITORIA[[#This Row],[DATA VERIFICAÇÃO]]="","",TEXT(AUDITORIA[[#This Row],[DATA VERIFICAÇÃO]],"mmm")))</f>
        <v>JUN</v>
      </c>
      <c r="Y1821" t="s">
        <v>598</v>
      </c>
      <c r="Z1821" t="s">
        <v>894</v>
      </c>
      <c r="AA1821" t="s">
        <v>895</v>
      </c>
    </row>
    <row r="1822" spans="1:27" ht="14.4" hidden="1" customHeight="1" x14ac:dyDescent="0.3">
      <c r="A1822" s="4" t="s">
        <v>279</v>
      </c>
      <c r="B1822" s="4" t="s">
        <v>17</v>
      </c>
      <c r="C1822" s="16" t="s">
        <v>18</v>
      </c>
      <c r="D1822" s="4">
        <v>11</v>
      </c>
      <c r="E1822" s="4" t="s">
        <v>745</v>
      </c>
      <c r="F1822" t="s">
        <v>523</v>
      </c>
      <c r="G1822" t="s">
        <v>281</v>
      </c>
      <c r="J1822" s="4" t="s">
        <v>31</v>
      </c>
      <c r="K1822" s="4" t="s">
        <v>20</v>
      </c>
      <c r="L1822" s="4" t="s">
        <v>742</v>
      </c>
      <c r="M1822" s="17">
        <v>30</v>
      </c>
      <c r="N1822" s="17">
        <v>850</v>
      </c>
      <c r="O1822" s="18" t="s">
        <v>31</v>
      </c>
      <c r="P1822" s="18">
        <v>850</v>
      </c>
      <c r="Q1822" s="18">
        <v>30</v>
      </c>
      <c r="R1822" s="18" t="s">
        <v>814</v>
      </c>
      <c r="S1822" s="18" t="s">
        <v>856</v>
      </c>
      <c r="T1822" s="18" t="s">
        <v>840</v>
      </c>
      <c r="U18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22" s="19">
        <f>IF(AUDITORIA[[#This Row],[CAT]]="",0,1)</f>
        <v>1</v>
      </c>
      <c r="W1822" s="20">
        <v>46198</v>
      </c>
      <c r="X1822" s="21" t="str">
        <f>UPPER(IF(AUDITORIA[[#This Row],[DATA VERIFICAÇÃO]]="","",TEXT(AUDITORIA[[#This Row],[DATA VERIFICAÇÃO]],"mmm")))</f>
        <v>JUN</v>
      </c>
      <c r="Y1822" t="s">
        <v>598</v>
      </c>
      <c r="Z1822" t="s">
        <v>894</v>
      </c>
      <c r="AA1822" t="s">
        <v>895</v>
      </c>
    </row>
    <row r="1823" spans="1:27" ht="14.4" hidden="1" customHeight="1" x14ac:dyDescent="0.3">
      <c r="A1823" s="4" t="s">
        <v>279</v>
      </c>
      <c r="B1823" s="4" t="s">
        <v>17</v>
      </c>
      <c r="C1823" s="16" t="s">
        <v>18</v>
      </c>
      <c r="D1823" s="4">
        <v>11</v>
      </c>
      <c r="E1823" s="4" t="s">
        <v>745</v>
      </c>
      <c r="F1823" t="s">
        <v>524</v>
      </c>
      <c r="G1823" t="s">
        <v>85</v>
      </c>
      <c r="J1823" s="4" t="s">
        <v>88</v>
      </c>
      <c r="K1823" s="4" t="s">
        <v>20</v>
      </c>
      <c r="L1823" s="4" t="s">
        <v>742</v>
      </c>
      <c r="M1823" s="17">
        <v>30</v>
      </c>
      <c r="N1823" s="17">
        <v>771</v>
      </c>
      <c r="O1823" s="18" t="s">
        <v>88</v>
      </c>
      <c r="P1823" s="18">
        <v>771</v>
      </c>
      <c r="Q1823" s="18">
        <v>30</v>
      </c>
      <c r="R1823" s="18" t="s">
        <v>814</v>
      </c>
      <c r="S1823" s="18" t="s">
        <v>864</v>
      </c>
      <c r="T1823" s="18" t="s">
        <v>780</v>
      </c>
      <c r="U18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23" s="19">
        <f>IF(AUDITORIA[[#This Row],[CAT]]="",0,1)</f>
        <v>1</v>
      </c>
      <c r="W1823" s="20">
        <v>46198</v>
      </c>
      <c r="X1823" s="21" t="str">
        <f>UPPER(IF(AUDITORIA[[#This Row],[DATA VERIFICAÇÃO]]="","",TEXT(AUDITORIA[[#This Row],[DATA VERIFICAÇÃO]],"mmm")))</f>
        <v>JUN</v>
      </c>
      <c r="Y1823" t="s">
        <v>598</v>
      </c>
      <c r="Z1823" t="s">
        <v>894</v>
      </c>
      <c r="AA1823" t="s">
        <v>895</v>
      </c>
    </row>
    <row r="1824" spans="1:27" ht="14.4" hidden="1" customHeight="1" x14ac:dyDescent="0.3">
      <c r="A1824" s="4" t="s">
        <v>279</v>
      </c>
      <c r="B1824" s="4" t="s">
        <v>17</v>
      </c>
      <c r="C1824" s="16" t="s">
        <v>18</v>
      </c>
      <c r="D1824" s="4">
        <v>11</v>
      </c>
      <c r="E1824" s="4" t="s">
        <v>745</v>
      </c>
      <c r="F1824" t="s">
        <v>525</v>
      </c>
      <c r="G1824" t="s">
        <v>514</v>
      </c>
      <c r="J1824" s="4" t="s">
        <v>31</v>
      </c>
      <c r="K1824" s="4" t="s">
        <v>21</v>
      </c>
      <c r="L1824" s="4" t="s">
        <v>742</v>
      </c>
      <c r="M1824" s="17">
        <v>30</v>
      </c>
      <c r="N1824" s="17">
        <v>826</v>
      </c>
      <c r="O1824" s="18" t="s">
        <v>31</v>
      </c>
      <c r="P1824" s="18">
        <v>826</v>
      </c>
      <c r="Q1824" s="18">
        <v>30</v>
      </c>
      <c r="R1824" s="18" t="s">
        <v>814</v>
      </c>
      <c r="S1824" s="18" t="s">
        <v>859</v>
      </c>
      <c r="T1824" s="18" t="s">
        <v>782</v>
      </c>
      <c r="U18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24" s="19">
        <f>IF(AUDITORIA[[#This Row],[CAT]]="",0,1)</f>
        <v>1</v>
      </c>
      <c r="W1824" s="20">
        <v>46198</v>
      </c>
      <c r="X1824" s="21" t="str">
        <f>UPPER(IF(AUDITORIA[[#This Row],[DATA VERIFICAÇÃO]]="","",TEXT(AUDITORIA[[#This Row],[DATA VERIFICAÇÃO]],"mmm")))</f>
        <v>JUN</v>
      </c>
      <c r="Y1824" t="s">
        <v>598</v>
      </c>
      <c r="Z1824" t="s">
        <v>894</v>
      </c>
      <c r="AA1824" t="s">
        <v>895</v>
      </c>
    </row>
    <row r="1825" spans="1:27" ht="14.4" hidden="1" customHeight="1" x14ac:dyDescent="0.3">
      <c r="A1825" s="4" t="s">
        <v>279</v>
      </c>
      <c r="B1825" s="4" t="s">
        <v>17</v>
      </c>
      <c r="C1825" s="16" t="s">
        <v>18</v>
      </c>
      <c r="D1825" s="4">
        <v>11</v>
      </c>
      <c r="E1825" s="4" t="s">
        <v>745</v>
      </c>
      <c r="F1825" t="s">
        <v>526</v>
      </c>
      <c r="G1825" t="s">
        <v>514</v>
      </c>
      <c r="J1825" s="4" t="s">
        <v>31</v>
      </c>
      <c r="K1825" s="4" t="s">
        <v>20</v>
      </c>
      <c r="L1825" s="4" t="s">
        <v>742</v>
      </c>
      <c r="M1825" s="17">
        <v>30</v>
      </c>
      <c r="N1825" s="17">
        <v>658</v>
      </c>
      <c r="O1825" s="18" t="s">
        <v>31</v>
      </c>
      <c r="P1825" s="18">
        <v>658</v>
      </c>
      <c r="Q1825" s="18">
        <v>30</v>
      </c>
      <c r="R1825" s="18" t="s">
        <v>814</v>
      </c>
      <c r="S1825" s="18" t="s">
        <v>858</v>
      </c>
      <c r="T1825" s="18" t="s">
        <v>794</v>
      </c>
      <c r="U18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25" s="19">
        <f>IF(AUDITORIA[[#This Row],[CAT]]="",0,1)</f>
        <v>1</v>
      </c>
      <c r="W1825" s="20">
        <v>46198</v>
      </c>
      <c r="X1825" s="21" t="str">
        <f>UPPER(IF(AUDITORIA[[#This Row],[DATA VERIFICAÇÃO]]="","",TEXT(AUDITORIA[[#This Row],[DATA VERIFICAÇÃO]],"mmm")))</f>
        <v>JUN</v>
      </c>
      <c r="Y1825" t="s">
        <v>598</v>
      </c>
      <c r="Z1825" t="s">
        <v>894</v>
      </c>
      <c r="AA1825" t="s">
        <v>895</v>
      </c>
    </row>
    <row r="1826" spans="1:27" ht="14.4" hidden="1" customHeight="1" x14ac:dyDescent="0.3">
      <c r="A1826" s="4" t="s">
        <v>279</v>
      </c>
      <c r="B1826" s="4" t="s">
        <v>17</v>
      </c>
      <c r="C1826" s="16" t="s">
        <v>18</v>
      </c>
      <c r="D1826" s="4">
        <v>11</v>
      </c>
      <c r="E1826" s="4" t="s">
        <v>745</v>
      </c>
      <c r="F1826" t="s">
        <v>527</v>
      </c>
      <c r="G1826" t="s">
        <v>514</v>
      </c>
      <c r="J1826" s="4" t="s">
        <v>31</v>
      </c>
      <c r="K1826" s="4" t="s">
        <v>20</v>
      </c>
      <c r="L1826" s="4" t="s">
        <v>742</v>
      </c>
      <c r="M1826" s="17">
        <v>30</v>
      </c>
      <c r="N1826" s="17">
        <v>656</v>
      </c>
      <c r="O1826" s="18" t="s">
        <v>31</v>
      </c>
      <c r="P1826" s="18">
        <v>656</v>
      </c>
      <c r="Q1826" s="18">
        <v>30</v>
      </c>
      <c r="R1826" s="18" t="s">
        <v>814</v>
      </c>
      <c r="S1826" s="18" t="s">
        <v>858</v>
      </c>
      <c r="T1826" s="18" t="s">
        <v>782</v>
      </c>
      <c r="U18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26" s="19">
        <f>IF(AUDITORIA[[#This Row],[CAT]]="",0,1)</f>
        <v>1</v>
      </c>
      <c r="W1826" s="20">
        <v>46198</v>
      </c>
      <c r="X1826" s="21" t="str">
        <f>UPPER(IF(AUDITORIA[[#This Row],[DATA VERIFICAÇÃO]]="","",TEXT(AUDITORIA[[#This Row],[DATA VERIFICAÇÃO]],"mmm")))</f>
        <v>JUN</v>
      </c>
      <c r="Y1826" t="s">
        <v>598</v>
      </c>
      <c r="Z1826" t="s">
        <v>894</v>
      </c>
      <c r="AA1826" t="s">
        <v>895</v>
      </c>
    </row>
    <row r="1827" spans="1:27" ht="14.4" hidden="1" customHeight="1" x14ac:dyDescent="0.3">
      <c r="A1827" s="4" t="s">
        <v>279</v>
      </c>
      <c r="B1827" s="4" t="s">
        <v>17</v>
      </c>
      <c r="C1827" s="16" t="s">
        <v>18</v>
      </c>
      <c r="D1827" s="4">
        <v>11</v>
      </c>
      <c r="E1827" s="4" t="s">
        <v>745</v>
      </c>
      <c r="F1827" t="s">
        <v>528</v>
      </c>
      <c r="G1827" t="s">
        <v>514</v>
      </c>
      <c r="J1827" s="4" t="s">
        <v>31</v>
      </c>
      <c r="K1827" s="4" t="s">
        <v>21</v>
      </c>
      <c r="L1827" s="4" t="s">
        <v>742</v>
      </c>
      <c r="M1827" s="17">
        <v>30</v>
      </c>
      <c r="N1827" s="17">
        <v>801</v>
      </c>
      <c r="O1827" s="18" t="s">
        <v>31</v>
      </c>
      <c r="P1827" s="18">
        <v>801</v>
      </c>
      <c r="Q1827" s="18">
        <v>30</v>
      </c>
      <c r="R1827" s="18" t="s">
        <v>814</v>
      </c>
      <c r="S1827" s="18" t="s">
        <v>859</v>
      </c>
      <c r="T1827" s="18" t="s">
        <v>781</v>
      </c>
      <c r="U18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27" s="19">
        <f>IF(AUDITORIA[[#This Row],[CAT]]="",0,1)</f>
        <v>1</v>
      </c>
      <c r="W1827" s="20">
        <v>46198</v>
      </c>
      <c r="X1827" s="21" t="str">
        <f>UPPER(IF(AUDITORIA[[#This Row],[DATA VERIFICAÇÃO]]="","",TEXT(AUDITORIA[[#This Row],[DATA VERIFICAÇÃO]],"mmm")))</f>
        <v>JUN</v>
      </c>
      <c r="Y1827" t="s">
        <v>598</v>
      </c>
      <c r="Z1827" t="s">
        <v>894</v>
      </c>
      <c r="AA1827" t="s">
        <v>895</v>
      </c>
    </row>
    <row r="1828" spans="1:27" ht="14.4" hidden="1" customHeight="1" x14ac:dyDescent="0.3">
      <c r="A1828" s="4" t="s">
        <v>279</v>
      </c>
      <c r="B1828" s="4" t="s">
        <v>17</v>
      </c>
      <c r="C1828" s="16" t="s">
        <v>18</v>
      </c>
      <c r="D1828" s="4">
        <v>11</v>
      </c>
      <c r="E1828" s="4" t="s">
        <v>745</v>
      </c>
      <c r="F1828" t="s">
        <v>529</v>
      </c>
      <c r="G1828" t="s">
        <v>85</v>
      </c>
      <c r="J1828" s="4" t="s">
        <v>88</v>
      </c>
      <c r="K1828" s="4" t="s">
        <v>21</v>
      </c>
      <c r="L1828" s="4" t="s">
        <v>742</v>
      </c>
      <c r="M1828" s="17">
        <v>30</v>
      </c>
      <c r="N1828" s="17">
        <v>870</v>
      </c>
      <c r="O1828" s="18" t="s">
        <v>88</v>
      </c>
      <c r="P1828" s="18">
        <v>870</v>
      </c>
      <c r="Q1828" s="18">
        <v>30</v>
      </c>
      <c r="R1828" s="18" t="s">
        <v>814</v>
      </c>
      <c r="S1828" s="18" t="s">
        <v>865</v>
      </c>
      <c r="T1828" s="18" t="s">
        <v>781</v>
      </c>
      <c r="U18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28" s="19">
        <f>IF(AUDITORIA[[#This Row],[CAT]]="",0,1)</f>
        <v>1</v>
      </c>
      <c r="W1828" s="20">
        <v>46198</v>
      </c>
      <c r="X1828" s="21" t="str">
        <f>UPPER(IF(AUDITORIA[[#This Row],[DATA VERIFICAÇÃO]]="","",TEXT(AUDITORIA[[#This Row],[DATA VERIFICAÇÃO]],"mmm")))</f>
        <v>JUN</v>
      </c>
      <c r="Y1828" t="s">
        <v>598</v>
      </c>
      <c r="Z1828" t="s">
        <v>894</v>
      </c>
      <c r="AA1828" t="s">
        <v>895</v>
      </c>
    </row>
    <row r="1829" spans="1:27" ht="14.4" hidden="1" customHeight="1" x14ac:dyDescent="0.3">
      <c r="A1829" s="4" t="s">
        <v>279</v>
      </c>
      <c r="B1829" s="4" t="s">
        <v>17</v>
      </c>
      <c r="C1829" s="16" t="s">
        <v>18</v>
      </c>
      <c r="D1829" s="4">
        <v>11</v>
      </c>
      <c r="E1829" s="4" t="s">
        <v>745</v>
      </c>
      <c r="F1829" t="s">
        <v>530</v>
      </c>
      <c r="G1829" t="s">
        <v>85</v>
      </c>
      <c r="J1829" s="4" t="s">
        <v>88</v>
      </c>
      <c r="K1829" s="4" t="s">
        <v>20</v>
      </c>
      <c r="L1829" s="4" t="s">
        <v>742</v>
      </c>
      <c r="M1829" s="17">
        <v>30</v>
      </c>
      <c r="N1829" s="17">
        <v>683</v>
      </c>
      <c r="O1829" s="18" t="s">
        <v>88</v>
      </c>
      <c r="P1829" s="18">
        <v>683</v>
      </c>
      <c r="Q1829" s="18">
        <v>30</v>
      </c>
      <c r="R1829" s="18" t="s">
        <v>814</v>
      </c>
      <c r="S1829" s="18" t="s">
        <v>864</v>
      </c>
      <c r="T1829" s="18" t="s">
        <v>781</v>
      </c>
      <c r="U18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29" s="19">
        <f>IF(AUDITORIA[[#This Row],[CAT]]="",0,1)</f>
        <v>1</v>
      </c>
      <c r="W1829" s="20">
        <v>46198</v>
      </c>
      <c r="X1829" s="21" t="str">
        <f>UPPER(IF(AUDITORIA[[#This Row],[DATA VERIFICAÇÃO]]="","",TEXT(AUDITORIA[[#This Row],[DATA VERIFICAÇÃO]],"mmm")))</f>
        <v>JUN</v>
      </c>
      <c r="Y1829" t="s">
        <v>598</v>
      </c>
      <c r="Z1829" t="s">
        <v>894</v>
      </c>
      <c r="AA1829" t="s">
        <v>895</v>
      </c>
    </row>
    <row r="1830" spans="1:27" ht="14.4" hidden="1" customHeight="1" x14ac:dyDescent="0.3">
      <c r="A1830" s="4" t="s">
        <v>279</v>
      </c>
      <c r="B1830" s="4" t="s">
        <v>17</v>
      </c>
      <c r="C1830" s="16" t="s">
        <v>18</v>
      </c>
      <c r="D1830" s="4">
        <v>11</v>
      </c>
      <c r="E1830" s="4" t="s">
        <v>745</v>
      </c>
      <c r="F1830" t="s">
        <v>531</v>
      </c>
      <c r="G1830" t="s">
        <v>514</v>
      </c>
      <c r="J1830" s="4" t="s">
        <v>31</v>
      </c>
      <c r="K1830" s="4" t="s">
        <v>21</v>
      </c>
      <c r="L1830" s="4" t="s">
        <v>742</v>
      </c>
      <c r="M1830" s="17">
        <v>1</v>
      </c>
      <c r="N1830" s="17">
        <v>794</v>
      </c>
      <c r="O1830" s="18" t="s">
        <v>31</v>
      </c>
      <c r="P1830" s="18">
        <v>794</v>
      </c>
      <c r="Q1830" s="18">
        <v>1</v>
      </c>
      <c r="R1830" s="18" t="s">
        <v>814</v>
      </c>
      <c r="S1830" s="18" t="s">
        <v>859</v>
      </c>
      <c r="T1830" s="18" t="s">
        <v>840</v>
      </c>
      <c r="U18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30" s="19">
        <f>IF(AUDITORIA[[#This Row],[CAT]]="",0,1)</f>
        <v>1</v>
      </c>
      <c r="W1830" s="20">
        <v>46198</v>
      </c>
      <c r="X1830" s="21" t="str">
        <f>UPPER(IF(AUDITORIA[[#This Row],[DATA VERIFICAÇÃO]]="","",TEXT(AUDITORIA[[#This Row],[DATA VERIFICAÇÃO]],"mmm")))</f>
        <v>JUN</v>
      </c>
      <c r="Y1830" t="s">
        <v>598</v>
      </c>
      <c r="Z1830" t="s">
        <v>894</v>
      </c>
      <c r="AA1830" t="s">
        <v>895</v>
      </c>
    </row>
    <row r="1831" spans="1:27" ht="14.4" hidden="1" customHeight="1" x14ac:dyDescent="0.3">
      <c r="A1831" s="4" t="s">
        <v>279</v>
      </c>
      <c r="B1831" s="4" t="s">
        <v>17</v>
      </c>
      <c r="C1831" s="16" t="s">
        <v>18</v>
      </c>
      <c r="D1831" s="4">
        <v>11</v>
      </c>
      <c r="E1831" s="4" t="s">
        <v>745</v>
      </c>
      <c r="F1831" t="s">
        <v>532</v>
      </c>
      <c r="G1831" t="s">
        <v>514</v>
      </c>
      <c r="J1831" s="4" t="s">
        <v>31</v>
      </c>
      <c r="K1831" s="4" t="s">
        <v>20</v>
      </c>
      <c r="L1831" s="4" t="s">
        <v>742</v>
      </c>
      <c r="M1831" s="17">
        <v>18</v>
      </c>
      <c r="N1831" s="17">
        <v>640</v>
      </c>
      <c r="O1831" s="18" t="s">
        <v>31</v>
      </c>
      <c r="P1831" s="18">
        <v>640</v>
      </c>
      <c r="Q1831" s="18">
        <v>18</v>
      </c>
      <c r="R1831" s="18" t="s">
        <v>814</v>
      </c>
      <c r="S1831" s="18" t="s">
        <v>859</v>
      </c>
      <c r="T1831" s="18" t="s">
        <v>794</v>
      </c>
      <c r="U18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31" s="19">
        <f>IF(AUDITORIA[[#This Row],[CAT]]="",0,1)</f>
        <v>1</v>
      </c>
      <c r="W1831" s="20">
        <v>46198</v>
      </c>
      <c r="X1831" s="21" t="str">
        <f>UPPER(IF(AUDITORIA[[#This Row],[DATA VERIFICAÇÃO]]="","",TEXT(AUDITORIA[[#This Row],[DATA VERIFICAÇÃO]],"mmm")))</f>
        <v>JUN</v>
      </c>
      <c r="Y1831" t="s">
        <v>598</v>
      </c>
      <c r="Z1831" t="s">
        <v>894</v>
      </c>
      <c r="AA1831" t="s">
        <v>895</v>
      </c>
    </row>
    <row r="1832" spans="1:27" ht="14.4" hidden="1" customHeight="1" x14ac:dyDescent="0.3">
      <c r="A1832" s="4" t="s">
        <v>279</v>
      </c>
      <c r="B1832" s="4" t="s">
        <v>17</v>
      </c>
      <c r="C1832" s="16" t="s">
        <v>18</v>
      </c>
      <c r="D1832" s="4">
        <v>11</v>
      </c>
      <c r="E1832" s="4" t="s">
        <v>745</v>
      </c>
      <c r="F1832" t="s">
        <v>533</v>
      </c>
      <c r="G1832" t="s">
        <v>85</v>
      </c>
      <c r="J1832" s="4" t="s">
        <v>88</v>
      </c>
      <c r="K1832" s="4" t="s">
        <v>21</v>
      </c>
      <c r="L1832" s="4" t="s">
        <v>742</v>
      </c>
      <c r="M1832" s="17">
        <v>27</v>
      </c>
      <c r="N1832" s="17">
        <v>941</v>
      </c>
      <c r="O1832" s="18" t="s">
        <v>88</v>
      </c>
      <c r="P1832" s="18">
        <v>941</v>
      </c>
      <c r="Q1832" s="18">
        <v>27</v>
      </c>
      <c r="R1832" s="18" t="s">
        <v>814</v>
      </c>
      <c r="S1832" s="18" t="s">
        <v>865</v>
      </c>
      <c r="T1832" s="18" t="s">
        <v>780</v>
      </c>
      <c r="U18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32" s="19">
        <f>IF(AUDITORIA[[#This Row],[CAT]]="",0,1)</f>
        <v>1</v>
      </c>
      <c r="W1832" s="20">
        <v>46198</v>
      </c>
      <c r="X1832" s="21" t="str">
        <f>UPPER(IF(AUDITORIA[[#This Row],[DATA VERIFICAÇÃO]]="","",TEXT(AUDITORIA[[#This Row],[DATA VERIFICAÇÃO]],"mmm")))</f>
        <v>JUN</v>
      </c>
      <c r="Y1832" t="s">
        <v>598</v>
      </c>
      <c r="Z1832" t="s">
        <v>894</v>
      </c>
      <c r="AA1832" t="s">
        <v>895</v>
      </c>
    </row>
    <row r="1833" spans="1:27" ht="14.4" hidden="1" customHeight="1" x14ac:dyDescent="0.3">
      <c r="A1833" s="4" t="s">
        <v>279</v>
      </c>
      <c r="B1833" s="4" t="s">
        <v>17</v>
      </c>
      <c r="C1833" s="16" t="s">
        <v>18</v>
      </c>
      <c r="D1833" s="4">
        <v>11</v>
      </c>
      <c r="E1833" s="4" t="s">
        <v>745</v>
      </c>
      <c r="F1833" t="s">
        <v>534</v>
      </c>
      <c r="G1833" t="s">
        <v>535</v>
      </c>
      <c r="J1833" s="4" t="s">
        <v>88</v>
      </c>
      <c r="K1833" s="4" t="s">
        <v>21</v>
      </c>
      <c r="L1833" s="4" t="s">
        <v>742</v>
      </c>
      <c r="M1833" s="17">
        <v>27</v>
      </c>
      <c r="N1833" s="17">
        <v>929</v>
      </c>
      <c r="O1833" s="18" t="s">
        <v>88</v>
      </c>
      <c r="P1833" s="18">
        <v>929</v>
      </c>
      <c r="Q1833" s="18">
        <v>27</v>
      </c>
      <c r="R1833" s="18" t="s">
        <v>814</v>
      </c>
      <c r="S1833" s="18" t="s">
        <v>861</v>
      </c>
      <c r="T1833" s="18" t="s">
        <v>794</v>
      </c>
      <c r="U18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33" s="19">
        <f>IF(AUDITORIA[[#This Row],[CAT]]="",0,1)</f>
        <v>1</v>
      </c>
      <c r="W1833" s="20">
        <v>46198</v>
      </c>
      <c r="X1833" s="21" t="str">
        <f>UPPER(IF(AUDITORIA[[#This Row],[DATA VERIFICAÇÃO]]="","",TEXT(AUDITORIA[[#This Row],[DATA VERIFICAÇÃO]],"mmm")))</f>
        <v>JUN</v>
      </c>
      <c r="Y1833" t="s">
        <v>598</v>
      </c>
      <c r="Z1833" t="s">
        <v>894</v>
      </c>
      <c r="AA1833" t="s">
        <v>895</v>
      </c>
    </row>
    <row r="1834" spans="1:27" ht="14.4" hidden="1" customHeight="1" x14ac:dyDescent="0.3">
      <c r="A1834" s="4" t="s">
        <v>279</v>
      </c>
      <c r="B1834" s="4" t="s">
        <v>17</v>
      </c>
      <c r="C1834" s="16" t="s">
        <v>18</v>
      </c>
      <c r="D1834" s="4">
        <v>11</v>
      </c>
      <c r="E1834" s="4" t="s">
        <v>745</v>
      </c>
      <c r="F1834" t="s">
        <v>538</v>
      </c>
      <c r="G1834" t="s">
        <v>85</v>
      </c>
      <c r="J1834" s="4" t="s">
        <v>88</v>
      </c>
      <c r="K1834" s="4" t="s">
        <v>21</v>
      </c>
      <c r="L1834" s="4" t="s">
        <v>742</v>
      </c>
      <c r="M1834" s="17">
        <v>30</v>
      </c>
      <c r="N1834" s="17">
        <v>874</v>
      </c>
      <c r="O1834" s="18" t="s">
        <v>88</v>
      </c>
      <c r="P1834" s="18">
        <v>874</v>
      </c>
      <c r="Q1834" s="18">
        <v>30</v>
      </c>
      <c r="R1834" s="18" t="s">
        <v>814</v>
      </c>
      <c r="S1834" s="18" t="s">
        <v>865</v>
      </c>
      <c r="T1834" s="18" t="s">
        <v>782</v>
      </c>
      <c r="U18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34" s="19">
        <f>IF(AUDITORIA[[#This Row],[CAT]]="",0,1)</f>
        <v>1</v>
      </c>
      <c r="W1834" s="20">
        <v>46198</v>
      </c>
      <c r="X1834" s="21" t="str">
        <f>UPPER(IF(AUDITORIA[[#This Row],[DATA VERIFICAÇÃO]]="","",TEXT(AUDITORIA[[#This Row],[DATA VERIFICAÇÃO]],"mmm")))</f>
        <v>JUN</v>
      </c>
      <c r="Y1834" t="s">
        <v>598</v>
      </c>
      <c r="Z1834" t="s">
        <v>894</v>
      </c>
      <c r="AA1834" t="s">
        <v>895</v>
      </c>
    </row>
    <row r="1835" spans="1:27" ht="14.4" hidden="1" customHeight="1" x14ac:dyDescent="0.3">
      <c r="A1835" s="4" t="s">
        <v>279</v>
      </c>
      <c r="B1835" s="4" t="s">
        <v>17</v>
      </c>
      <c r="C1835" s="16" t="s">
        <v>18</v>
      </c>
      <c r="D1835" s="4">
        <v>11</v>
      </c>
      <c r="E1835" s="4" t="s">
        <v>745</v>
      </c>
      <c r="F1835" t="s">
        <v>539</v>
      </c>
      <c r="G1835" t="s">
        <v>535</v>
      </c>
      <c r="J1835" s="4" t="s">
        <v>88</v>
      </c>
      <c r="K1835" s="4" t="s">
        <v>20</v>
      </c>
      <c r="L1835" s="4" t="s">
        <v>742</v>
      </c>
      <c r="M1835" s="17">
        <v>30</v>
      </c>
      <c r="N1835" s="17">
        <v>733</v>
      </c>
      <c r="O1835" s="18" t="s">
        <v>88</v>
      </c>
      <c r="P1835" s="18">
        <v>733</v>
      </c>
      <c r="Q1835" s="18">
        <v>30</v>
      </c>
      <c r="R1835" s="18" t="s">
        <v>814</v>
      </c>
      <c r="S1835" s="18" t="s">
        <v>860</v>
      </c>
      <c r="T1835" s="18" t="s">
        <v>781</v>
      </c>
      <c r="U18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35" s="19">
        <f>IF(AUDITORIA[[#This Row],[CAT]]="",0,1)</f>
        <v>1</v>
      </c>
      <c r="W1835" s="20">
        <v>46198</v>
      </c>
      <c r="X1835" s="21" t="str">
        <f>UPPER(IF(AUDITORIA[[#This Row],[DATA VERIFICAÇÃO]]="","",TEXT(AUDITORIA[[#This Row],[DATA VERIFICAÇÃO]],"mmm")))</f>
        <v>JUN</v>
      </c>
      <c r="Y1835" t="s">
        <v>598</v>
      </c>
      <c r="Z1835" t="s">
        <v>894</v>
      </c>
      <c r="AA1835" t="s">
        <v>895</v>
      </c>
    </row>
    <row r="1836" spans="1:27" ht="14.4" hidden="1" customHeight="1" x14ac:dyDescent="0.3">
      <c r="A1836" s="4" t="s">
        <v>279</v>
      </c>
      <c r="B1836" s="4" t="s">
        <v>17</v>
      </c>
      <c r="C1836" s="16" t="s">
        <v>18</v>
      </c>
      <c r="D1836" s="4">
        <v>11</v>
      </c>
      <c r="E1836" s="4" t="s">
        <v>745</v>
      </c>
      <c r="F1836" t="s">
        <v>540</v>
      </c>
      <c r="G1836" t="s">
        <v>535</v>
      </c>
      <c r="J1836" s="4" t="s">
        <v>88</v>
      </c>
      <c r="K1836" s="4" t="s">
        <v>21</v>
      </c>
      <c r="L1836" s="4" t="s">
        <v>742</v>
      </c>
      <c r="M1836" s="17">
        <v>27</v>
      </c>
      <c r="N1836" s="17">
        <v>936</v>
      </c>
      <c r="O1836" s="18" t="s">
        <v>88</v>
      </c>
      <c r="P1836" s="18">
        <v>936</v>
      </c>
      <c r="Q1836" s="18">
        <v>27</v>
      </c>
      <c r="R1836" s="18" t="s">
        <v>814</v>
      </c>
      <c r="S1836" s="18" t="s">
        <v>861</v>
      </c>
      <c r="T1836" s="18" t="s">
        <v>781</v>
      </c>
      <c r="U18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36" s="19">
        <f>IF(AUDITORIA[[#This Row],[CAT]]="",0,1)</f>
        <v>1</v>
      </c>
      <c r="W1836" s="20">
        <v>46198</v>
      </c>
      <c r="X1836" s="21" t="str">
        <f>UPPER(IF(AUDITORIA[[#This Row],[DATA VERIFICAÇÃO]]="","",TEXT(AUDITORIA[[#This Row],[DATA VERIFICAÇÃO]],"mmm")))</f>
        <v>JUN</v>
      </c>
      <c r="Y1836" t="s">
        <v>598</v>
      </c>
      <c r="Z1836" t="s">
        <v>894</v>
      </c>
      <c r="AA1836" t="s">
        <v>895</v>
      </c>
    </row>
    <row r="1837" spans="1:27" ht="14.4" hidden="1" customHeight="1" x14ac:dyDescent="0.3">
      <c r="A1837" s="4" t="s">
        <v>279</v>
      </c>
      <c r="B1837" s="4" t="s">
        <v>17</v>
      </c>
      <c r="C1837" s="16" t="s">
        <v>18</v>
      </c>
      <c r="D1837" s="4">
        <v>11</v>
      </c>
      <c r="E1837" s="4" t="s">
        <v>745</v>
      </c>
      <c r="F1837" t="s">
        <v>541</v>
      </c>
      <c r="G1837" t="s">
        <v>535</v>
      </c>
      <c r="J1837" s="4" t="s">
        <v>88</v>
      </c>
      <c r="K1837" s="4" t="s">
        <v>20</v>
      </c>
      <c r="L1837" s="4" t="s">
        <v>742</v>
      </c>
      <c r="M1837" s="17">
        <v>30</v>
      </c>
      <c r="N1837" s="17">
        <v>761</v>
      </c>
      <c r="O1837" s="18" t="s">
        <v>88</v>
      </c>
      <c r="P1837" s="18">
        <v>761</v>
      </c>
      <c r="Q1837" s="18">
        <v>30</v>
      </c>
      <c r="R1837" s="18" t="s">
        <v>814</v>
      </c>
      <c r="S1837" s="18" t="s">
        <v>860</v>
      </c>
      <c r="T1837" s="18" t="s">
        <v>780</v>
      </c>
      <c r="U18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37" s="19">
        <f>IF(AUDITORIA[[#This Row],[CAT]]="",0,1)</f>
        <v>1</v>
      </c>
      <c r="W1837" s="20">
        <v>46198</v>
      </c>
      <c r="X1837" s="21" t="str">
        <f>UPPER(IF(AUDITORIA[[#This Row],[DATA VERIFICAÇÃO]]="","",TEXT(AUDITORIA[[#This Row],[DATA VERIFICAÇÃO]],"mmm")))</f>
        <v>JUN</v>
      </c>
      <c r="Y1837" t="s">
        <v>598</v>
      </c>
      <c r="Z1837" t="s">
        <v>894</v>
      </c>
      <c r="AA1837" t="s">
        <v>895</v>
      </c>
    </row>
    <row r="1838" spans="1:27" ht="14.4" hidden="1" customHeight="1" x14ac:dyDescent="0.3">
      <c r="A1838" s="4" t="s">
        <v>279</v>
      </c>
      <c r="B1838" s="4" t="s">
        <v>17</v>
      </c>
      <c r="C1838" s="16" t="s">
        <v>18</v>
      </c>
      <c r="D1838" s="4">
        <v>11</v>
      </c>
      <c r="E1838" s="4" t="s">
        <v>745</v>
      </c>
      <c r="F1838" t="s">
        <v>542</v>
      </c>
      <c r="G1838" t="s">
        <v>85</v>
      </c>
      <c r="J1838" s="4" t="s">
        <v>88</v>
      </c>
      <c r="K1838" s="4" t="s">
        <v>20</v>
      </c>
      <c r="L1838" s="4" t="s">
        <v>742</v>
      </c>
      <c r="M1838" s="17">
        <v>30</v>
      </c>
      <c r="N1838" s="17">
        <v>688</v>
      </c>
      <c r="O1838" s="18" t="s">
        <v>88</v>
      </c>
      <c r="P1838" s="18">
        <v>688</v>
      </c>
      <c r="Q1838" s="18">
        <v>30</v>
      </c>
      <c r="R1838" s="18" t="s">
        <v>814</v>
      </c>
      <c r="S1838" s="18" t="s">
        <v>864</v>
      </c>
      <c r="T1838" s="18" t="s">
        <v>782</v>
      </c>
      <c r="U18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38" s="19">
        <f>IF(AUDITORIA[[#This Row],[CAT]]="",0,1)</f>
        <v>1</v>
      </c>
      <c r="W1838" s="20">
        <v>46198</v>
      </c>
      <c r="X1838" s="21" t="str">
        <f>UPPER(IF(AUDITORIA[[#This Row],[DATA VERIFICAÇÃO]]="","",TEXT(AUDITORIA[[#This Row],[DATA VERIFICAÇÃO]],"mmm")))</f>
        <v>JUN</v>
      </c>
      <c r="Y1838" t="s">
        <v>598</v>
      </c>
      <c r="Z1838" t="s">
        <v>894</v>
      </c>
      <c r="AA1838" t="s">
        <v>895</v>
      </c>
    </row>
    <row r="1839" spans="1:27" ht="14.4" hidden="1" customHeight="1" x14ac:dyDescent="0.3">
      <c r="A1839" s="4" t="s">
        <v>279</v>
      </c>
      <c r="B1839" s="4" t="s">
        <v>17</v>
      </c>
      <c r="C1839" s="16" t="s">
        <v>18</v>
      </c>
      <c r="D1839" s="4">
        <v>11</v>
      </c>
      <c r="E1839" s="4" t="s">
        <v>745</v>
      </c>
      <c r="F1839" t="s">
        <v>543</v>
      </c>
      <c r="G1839" t="s">
        <v>535</v>
      </c>
      <c r="J1839" s="4" t="s">
        <v>88</v>
      </c>
      <c r="K1839" s="4" t="s">
        <v>21</v>
      </c>
      <c r="L1839" s="4" t="s">
        <v>742</v>
      </c>
      <c r="M1839" s="17">
        <v>27</v>
      </c>
      <c r="N1839" s="17">
        <v>953</v>
      </c>
      <c r="O1839" s="18" t="s">
        <v>88</v>
      </c>
      <c r="P1839" s="18">
        <v>953</v>
      </c>
      <c r="Q1839" s="18">
        <v>27</v>
      </c>
      <c r="R1839" s="18" t="s">
        <v>814</v>
      </c>
      <c r="S1839" s="18" t="s">
        <v>861</v>
      </c>
      <c r="T1839" s="18" t="s">
        <v>780</v>
      </c>
      <c r="U18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39" s="19">
        <f>IF(AUDITORIA[[#This Row],[CAT]]="",0,1)</f>
        <v>1</v>
      </c>
      <c r="W1839" s="20">
        <v>46198</v>
      </c>
      <c r="X1839" s="21" t="str">
        <f>UPPER(IF(AUDITORIA[[#This Row],[DATA VERIFICAÇÃO]]="","",TEXT(AUDITORIA[[#This Row],[DATA VERIFICAÇÃO]],"mmm")))</f>
        <v>JUN</v>
      </c>
      <c r="Y1839" t="s">
        <v>598</v>
      </c>
      <c r="Z1839" t="s">
        <v>894</v>
      </c>
      <c r="AA1839" t="s">
        <v>895</v>
      </c>
    </row>
    <row r="1840" spans="1:27" ht="14.4" hidden="1" customHeight="1" x14ac:dyDescent="0.3">
      <c r="A1840" s="4" t="s">
        <v>279</v>
      </c>
      <c r="B1840" s="4" t="s">
        <v>17</v>
      </c>
      <c r="C1840" s="16" t="s">
        <v>18</v>
      </c>
      <c r="D1840" s="4">
        <v>11</v>
      </c>
      <c r="E1840" s="4" t="s">
        <v>745</v>
      </c>
      <c r="F1840" t="s">
        <v>544</v>
      </c>
      <c r="G1840" t="s">
        <v>85</v>
      </c>
      <c r="J1840" s="4" t="s">
        <v>88</v>
      </c>
      <c r="K1840" s="4" t="s">
        <v>20</v>
      </c>
      <c r="L1840" s="4" t="s">
        <v>742</v>
      </c>
      <c r="M1840" s="17">
        <v>30</v>
      </c>
      <c r="N1840" s="17">
        <v>685</v>
      </c>
      <c r="O1840" s="18" t="s">
        <v>88</v>
      </c>
      <c r="P1840" s="18">
        <v>685</v>
      </c>
      <c r="Q1840" s="18">
        <v>30</v>
      </c>
      <c r="R1840" s="18" t="s">
        <v>814</v>
      </c>
      <c r="S1840" s="18" t="s">
        <v>866</v>
      </c>
      <c r="T1840" s="18" t="s">
        <v>781</v>
      </c>
      <c r="U18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40" s="19">
        <f>IF(AUDITORIA[[#This Row],[CAT]]="",0,1)</f>
        <v>1</v>
      </c>
      <c r="W1840" s="20">
        <v>46198</v>
      </c>
      <c r="X1840" s="21" t="str">
        <f>UPPER(IF(AUDITORIA[[#This Row],[DATA VERIFICAÇÃO]]="","",TEXT(AUDITORIA[[#This Row],[DATA VERIFICAÇÃO]],"mmm")))</f>
        <v>JUN</v>
      </c>
      <c r="Y1840" t="s">
        <v>598</v>
      </c>
      <c r="Z1840" t="s">
        <v>894</v>
      </c>
      <c r="AA1840" t="s">
        <v>895</v>
      </c>
    </row>
    <row r="1841" spans="1:27" ht="14.4" hidden="1" customHeight="1" x14ac:dyDescent="0.3">
      <c r="A1841" s="4" t="s">
        <v>279</v>
      </c>
      <c r="B1841" s="4" t="s">
        <v>17</v>
      </c>
      <c r="C1841" s="16" t="s">
        <v>18</v>
      </c>
      <c r="D1841" s="4">
        <v>11</v>
      </c>
      <c r="E1841" s="4" t="s">
        <v>745</v>
      </c>
      <c r="F1841" t="s">
        <v>545</v>
      </c>
      <c r="G1841" t="s">
        <v>85</v>
      </c>
      <c r="J1841" s="4" t="s">
        <v>88</v>
      </c>
      <c r="K1841" s="4" t="s">
        <v>20</v>
      </c>
      <c r="L1841" s="4" t="s">
        <v>742</v>
      </c>
      <c r="M1841" s="17">
        <v>30</v>
      </c>
      <c r="N1841" s="17">
        <v>680</v>
      </c>
      <c r="O1841" s="18" t="s">
        <v>88</v>
      </c>
      <c r="P1841" s="18">
        <v>680</v>
      </c>
      <c r="Q1841" s="18">
        <v>30</v>
      </c>
      <c r="R1841" s="18" t="s">
        <v>814</v>
      </c>
      <c r="S1841" s="18" t="s">
        <v>866</v>
      </c>
      <c r="T1841" s="18" t="s">
        <v>782</v>
      </c>
      <c r="U18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41" s="19">
        <f>IF(AUDITORIA[[#This Row],[CAT]]="",0,1)</f>
        <v>1</v>
      </c>
      <c r="W1841" s="20">
        <v>46198</v>
      </c>
      <c r="X1841" s="21" t="str">
        <f>UPPER(IF(AUDITORIA[[#This Row],[DATA VERIFICAÇÃO]]="","",TEXT(AUDITORIA[[#This Row],[DATA VERIFICAÇÃO]],"mmm")))</f>
        <v>JUN</v>
      </c>
      <c r="Y1841" t="s">
        <v>598</v>
      </c>
      <c r="Z1841" t="s">
        <v>894</v>
      </c>
      <c r="AA1841" t="s">
        <v>895</v>
      </c>
    </row>
    <row r="1842" spans="1:27" ht="14.4" hidden="1" customHeight="1" x14ac:dyDescent="0.3">
      <c r="A1842" s="4" t="s">
        <v>279</v>
      </c>
      <c r="B1842" s="4" t="s">
        <v>17</v>
      </c>
      <c r="C1842" s="16" t="s">
        <v>18</v>
      </c>
      <c r="D1842" s="4">
        <v>11</v>
      </c>
      <c r="E1842" s="4" t="s">
        <v>745</v>
      </c>
      <c r="F1842" t="s">
        <v>546</v>
      </c>
      <c r="G1842" t="s">
        <v>85</v>
      </c>
      <c r="J1842" s="4" t="s">
        <v>88</v>
      </c>
      <c r="K1842" s="4" t="s">
        <v>21</v>
      </c>
      <c r="L1842" s="4" t="s">
        <v>742</v>
      </c>
      <c r="M1842" s="17">
        <v>30</v>
      </c>
      <c r="N1842" s="17">
        <v>865</v>
      </c>
      <c r="O1842" s="18" t="s">
        <v>88</v>
      </c>
      <c r="P1842" s="18">
        <v>865</v>
      </c>
      <c r="Q1842" s="18">
        <v>30</v>
      </c>
      <c r="R1842" s="18" t="s">
        <v>814</v>
      </c>
      <c r="S1842" s="18" t="s">
        <v>867</v>
      </c>
      <c r="T1842" s="18" t="s">
        <v>781</v>
      </c>
      <c r="U18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42" s="19">
        <f>IF(AUDITORIA[[#This Row],[CAT]]="",0,1)</f>
        <v>1</v>
      </c>
      <c r="W1842" s="20">
        <v>46198</v>
      </c>
      <c r="X1842" s="21" t="str">
        <f>UPPER(IF(AUDITORIA[[#This Row],[DATA VERIFICAÇÃO]]="","",TEXT(AUDITORIA[[#This Row],[DATA VERIFICAÇÃO]],"mmm")))</f>
        <v>JUN</v>
      </c>
      <c r="Y1842" t="s">
        <v>598</v>
      </c>
      <c r="Z1842" t="s">
        <v>894</v>
      </c>
      <c r="AA1842" t="s">
        <v>895</v>
      </c>
    </row>
    <row r="1843" spans="1:27" ht="14.4" hidden="1" customHeight="1" x14ac:dyDescent="0.3">
      <c r="A1843" s="4" t="s">
        <v>279</v>
      </c>
      <c r="B1843" s="4" t="s">
        <v>17</v>
      </c>
      <c r="C1843" s="16" t="s">
        <v>18</v>
      </c>
      <c r="D1843" s="4">
        <v>11</v>
      </c>
      <c r="E1843" s="4" t="s">
        <v>745</v>
      </c>
      <c r="F1843" t="s">
        <v>547</v>
      </c>
      <c r="G1843" t="s">
        <v>535</v>
      </c>
      <c r="J1843" s="4" t="s">
        <v>88</v>
      </c>
      <c r="K1843" s="4" t="s">
        <v>20</v>
      </c>
      <c r="L1843" s="4" t="s">
        <v>742</v>
      </c>
      <c r="M1843" s="17">
        <v>23</v>
      </c>
      <c r="N1843" s="17">
        <v>731</v>
      </c>
      <c r="O1843" s="18" t="s">
        <v>88</v>
      </c>
      <c r="P1843" s="18">
        <v>731</v>
      </c>
      <c r="Q1843" s="18">
        <v>23</v>
      </c>
      <c r="R1843" s="18" t="s">
        <v>814</v>
      </c>
      <c r="S1843" s="18" t="s">
        <v>860</v>
      </c>
      <c r="T1843" s="18" t="s">
        <v>794</v>
      </c>
      <c r="U18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43" s="19">
        <f>IF(AUDITORIA[[#This Row],[CAT]]="",0,1)</f>
        <v>1</v>
      </c>
      <c r="W1843" s="20">
        <v>46198</v>
      </c>
      <c r="X1843" s="21" t="str">
        <f>UPPER(IF(AUDITORIA[[#This Row],[DATA VERIFICAÇÃO]]="","",TEXT(AUDITORIA[[#This Row],[DATA VERIFICAÇÃO]],"mmm")))</f>
        <v>JUN</v>
      </c>
      <c r="Y1843" t="s">
        <v>598</v>
      </c>
      <c r="Z1843" t="s">
        <v>894</v>
      </c>
      <c r="AA1843" t="s">
        <v>895</v>
      </c>
    </row>
    <row r="1844" spans="1:27" ht="14.4" hidden="1" customHeight="1" x14ac:dyDescent="0.3">
      <c r="A1844" s="4" t="s">
        <v>279</v>
      </c>
      <c r="B1844" s="4" t="s">
        <v>17</v>
      </c>
      <c r="C1844" s="16" t="s">
        <v>18</v>
      </c>
      <c r="D1844" s="4">
        <v>11</v>
      </c>
      <c r="E1844" s="4" t="s">
        <v>745</v>
      </c>
      <c r="F1844" t="s">
        <v>548</v>
      </c>
      <c r="G1844" t="s">
        <v>85</v>
      </c>
      <c r="J1844" s="4" t="s">
        <v>88</v>
      </c>
      <c r="K1844" s="4" t="s">
        <v>21</v>
      </c>
      <c r="L1844" s="4" t="s">
        <v>742</v>
      </c>
      <c r="M1844" s="17">
        <v>30</v>
      </c>
      <c r="N1844" s="17">
        <v>874</v>
      </c>
      <c r="O1844" s="18" t="s">
        <v>88</v>
      </c>
      <c r="P1844" s="18">
        <v>874</v>
      </c>
      <c r="Q1844" s="18">
        <v>30</v>
      </c>
      <c r="R1844" s="18" t="s">
        <v>814</v>
      </c>
      <c r="S1844" s="18" t="s">
        <v>867</v>
      </c>
      <c r="T1844" s="18" t="s">
        <v>780</v>
      </c>
      <c r="U18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44" s="19">
        <f>IF(AUDITORIA[[#This Row],[CAT]]="",0,1)</f>
        <v>1</v>
      </c>
      <c r="W1844" s="20">
        <v>46198</v>
      </c>
      <c r="X1844" s="21" t="str">
        <f>UPPER(IF(AUDITORIA[[#This Row],[DATA VERIFICAÇÃO]]="","",TEXT(AUDITORIA[[#This Row],[DATA VERIFICAÇÃO]],"mmm")))</f>
        <v>JUN</v>
      </c>
      <c r="Y1844" t="s">
        <v>598</v>
      </c>
      <c r="Z1844" t="s">
        <v>894</v>
      </c>
      <c r="AA1844" t="s">
        <v>895</v>
      </c>
    </row>
    <row r="1845" spans="1:27" ht="14.4" hidden="1" customHeight="1" x14ac:dyDescent="0.3">
      <c r="A1845" s="4" t="s">
        <v>279</v>
      </c>
      <c r="B1845" s="4" t="s">
        <v>17</v>
      </c>
      <c r="C1845" s="16" t="s">
        <v>18</v>
      </c>
      <c r="D1845" s="4">
        <v>11</v>
      </c>
      <c r="E1845" s="4" t="s">
        <v>745</v>
      </c>
      <c r="F1845" t="s">
        <v>549</v>
      </c>
      <c r="G1845" t="s">
        <v>85</v>
      </c>
      <c r="J1845" s="4" t="s">
        <v>88</v>
      </c>
      <c r="K1845" s="4" t="s">
        <v>20</v>
      </c>
      <c r="L1845" s="4" t="s">
        <v>742</v>
      </c>
      <c r="M1845" s="17">
        <v>30</v>
      </c>
      <c r="N1845" s="17">
        <v>689</v>
      </c>
      <c r="O1845" s="18" t="s">
        <v>88</v>
      </c>
      <c r="P1845" s="18">
        <v>689</v>
      </c>
      <c r="Q1845" s="18">
        <v>30</v>
      </c>
      <c r="R1845" s="18" t="s">
        <v>814</v>
      </c>
      <c r="S1845" s="18" t="s">
        <v>866</v>
      </c>
      <c r="T1845" s="18" t="s">
        <v>780</v>
      </c>
      <c r="U18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45" s="19">
        <f>IF(AUDITORIA[[#This Row],[CAT]]="",0,1)</f>
        <v>1</v>
      </c>
      <c r="W1845" s="20">
        <v>46198</v>
      </c>
      <c r="X1845" s="21" t="str">
        <f>UPPER(IF(AUDITORIA[[#This Row],[DATA VERIFICAÇÃO]]="","",TEXT(AUDITORIA[[#This Row],[DATA VERIFICAÇÃO]],"mmm")))</f>
        <v>JUN</v>
      </c>
      <c r="Y1845" t="s">
        <v>598</v>
      </c>
      <c r="Z1845" t="s">
        <v>894</v>
      </c>
      <c r="AA1845" t="s">
        <v>895</v>
      </c>
    </row>
    <row r="1846" spans="1:27" ht="14.4" hidden="1" customHeight="1" x14ac:dyDescent="0.3">
      <c r="A1846" s="4" t="s">
        <v>279</v>
      </c>
      <c r="B1846" s="4" t="s">
        <v>17</v>
      </c>
      <c r="C1846" s="16" t="s">
        <v>18</v>
      </c>
      <c r="D1846" s="4">
        <v>11</v>
      </c>
      <c r="E1846" s="4" t="s">
        <v>745</v>
      </c>
      <c r="F1846" t="s">
        <v>550</v>
      </c>
      <c r="G1846" t="s">
        <v>535</v>
      </c>
      <c r="J1846" s="4" t="s">
        <v>88</v>
      </c>
      <c r="K1846" s="4" t="s">
        <v>21</v>
      </c>
      <c r="L1846" s="4" t="s">
        <v>742</v>
      </c>
      <c r="M1846" s="17">
        <v>27</v>
      </c>
      <c r="N1846" s="17">
        <v>948</v>
      </c>
      <c r="O1846" s="18" t="s">
        <v>88</v>
      </c>
      <c r="P1846" s="18">
        <v>948</v>
      </c>
      <c r="Q1846" s="18">
        <v>27</v>
      </c>
      <c r="R1846" s="18" t="s">
        <v>814</v>
      </c>
      <c r="S1846" s="18" t="s">
        <v>861</v>
      </c>
      <c r="T1846" s="18" t="s">
        <v>782</v>
      </c>
      <c r="U18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46" s="19">
        <f>IF(AUDITORIA[[#This Row],[CAT]]="",0,1)</f>
        <v>1</v>
      </c>
      <c r="W1846" s="20">
        <v>46198</v>
      </c>
      <c r="X1846" s="21" t="str">
        <f>UPPER(IF(AUDITORIA[[#This Row],[DATA VERIFICAÇÃO]]="","",TEXT(AUDITORIA[[#This Row],[DATA VERIFICAÇÃO]],"mmm")))</f>
        <v>JUN</v>
      </c>
      <c r="Y1846" t="s">
        <v>598</v>
      </c>
      <c r="Z1846" t="s">
        <v>894</v>
      </c>
      <c r="AA1846" t="s">
        <v>895</v>
      </c>
    </row>
    <row r="1847" spans="1:27" ht="14.4" hidden="1" customHeight="1" x14ac:dyDescent="0.3">
      <c r="A1847" s="4" t="s">
        <v>279</v>
      </c>
      <c r="B1847" s="4" t="s">
        <v>17</v>
      </c>
      <c r="C1847" s="16" t="s">
        <v>18</v>
      </c>
      <c r="D1847" s="4">
        <v>11</v>
      </c>
      <c r="E1847" s="4" t="s">
        <v>745</v>
      </c>
      <c r="F1847" t="s">
        <v>551</v>
      </c>
      <c r="G1847" t="s">
        <v>535</v>
      </c>
      <c r="J1847" s="4" t="s">
        <v>88</v>
      </c>
      <c r="K1847" s="4" t="s">
        <v>20</v>
      </c>
      <c r="L1847" s="4" t="s">
        <v>742</v>
      </c>
      <c r="M1847" s="17">
        <v>30</v>
      </c>
      <c r="N1847" s="17">
        <v>748</v>
      </c>
      <c r="O1847" s="18" t="s">
        <v>88</v>
      </c>
      <c r="P1847" s="18">
        <v>748</v>
      </c>
      <c r="Q1847" s="18">
        <v>30</v>
      </c>
      <c r="R1847" s="18" t="s">
        <v>814</v>
      </c>
      <c r="S1847" s="18" t="s">
        <v>860</v>
      </c>
      <c r="T1847" s="18" t="s">
        <v>782</v>
      </c>
      <c r="U18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47" s="19">
        <f>IF(AUDITORIA[[#This Row],[CAT]]="",0,1)</f>
        <v>1</v>
      </c>
      <c r="W1847" s="20">
        <v>46198</v>
      </c>
      <c r="X1847" s="21" t="str">
        <f>UPPER(IF(AUDITORIA[[#This Row],[DATA VERIFICAÇÃO]]="","",TEXT(AUDITORIA[[#This Row],[DATA VERIFICAÇÃO]],"mmm")))</f>
        <v>JUN</v>
      </c>
      <c r="Y1847" t="s">
        <v>598</v>
      </c>
      <c r="Z1847" t="s">
        <v>894</v>
      </c>
      <c r="AA1847" t="s">
        <v>895</v>
      </c>
    </row>
    <row r="1848" spans="1:27" ht="14.4" hidden="1" customHeight="1" x14ac:dyDescent="0.3">
      <c r="A1848" s="4" t="s">
        <v>279</v>
      </c>
      <c r="B1848" s="4" t="s">
        <v>17</v>
      </c>
      <c r="C1848" s="16" t="s">
        <v>18</v>
      </c>
      <c r="D1848" s="4">
        <v>11</v>
      </c>
      <c r="E1848" s="4" t="s">
        <v>745</v>
      </c>
      <c r="F1848" t="s">
        <v>552</v>
      </c>
      <c r="G1848" t="s">
        <v>535</v>
      </c>
      <c r="J1848" s="4" t="s">
        <v>88</v>
      </c>
      <c r="K1848" s="4" t="s">
        <v>21</v>
      </c>
      <c r="L1848" s="4" t="s">
        <v>742</v>
      </c>
      <c r="M1848" s="17">
        <v>14</v>
      </c>
      <c r="N1848" s="17">
        <v>949</v>
      </c>
      <c r="O1848" s="18" t="s">
        <v>88</v>
      </c>
      <c r="P1848" s="18">
        <v>949</v>
      </c>
      <c r="Q1848" s="18">
        <v>14</v>
      </c>
      <c r="R1848" s="18" t="s">
        <v>814</v>
      </c>
      <c r="S1848" s="18" t="s">
        <v>861</v>
      </c>
      <c r="T1848" s="18" t="s">
        <v>840</v>
      </c>
      <c r="U18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48" s="19">
        <f>IF(AUDITORIA[[#This Row],[CAT]]="",0,1)</f>
        <v>1</v>
      </c>
      <c r="W1848" s="20">
        <v>46198</v>
      </c>
      <c r="X1848" s="21" t="str">
        <f>UPPER(IF(AUDITORIA[[#This Row],[DATA VERIFICAÇÃO]]="","",TEXT(AUDITORIA[[#This Row],[DATA VERIFICAÇÃO]],"mmm")))</f>
        <v>JUN</v>
      </c>
      <c r="Y1848" t="s">
        <v>598</v>
      </c>
      <c r="Z1848" t="s">
        <v>894</v>
      </c>
      <c r="AA1848" t="s">
        <v>895</v>
      </c>
    </row>
    <row r="1849" spans="1:27" ht="14.4" hidden="1" customHeight="1" x14ac:dyDescent="0.3">
      <c r="A1849" s="4" t="s">
        <v>279</v>
      </c>
      <c r="B1849" s="4" t="s">
        <v>17</v>
      </c>
      <c r="C1849" s="16" t="s">
        <v>18</v>
      </c>
      <c r="D1849" s="4">
        <v>11</v>
      </c>
      <c r="E1849" s="4" t="s">
        <v>745</v>
      </c>
      <c r="F1849" t="s">
        <v>553</v>
      </c>
      <c r="G1849" t="s">
        <v>85</v>
      </c>
      <c r="J1849" s="4" t="s">
        <v>88</v>
      </c>
      <c r="K1849" s="4" t="s">
        <v>21</v>
      </c>
      <c r="L1849" s="4" t="s">
        <v>742</v>
      </c>
      <c r="M1849" s="17">
        <v>30</v>
      </c>
      <c r="N1849" s="17">
        <v>872</v>
      </c>
      <c r="O1849" s="18" t="s">
        <v>88</v>
      </c>
      <c r="P1849" s="18">
        <v>872</v>
      </c>
      <c r="Q1849" s="18">
        <v>30</v>
      </c>
      <c r="R1849" s="18" t="s">
        <v>814</v>
      </c>
      <c r="S1849" s="18" t="s">
        <v>867</v>
      </c>
      <c r="T1849" s="18" t="s">
        <v>782</v>
      </c>
      <c r="U18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49" s="19">
        <f>IF(AUDITORIA[[#This Row],[CAT]]="",0,1)</f>
        <v>1</v>
      </c>
      <c r="W1849" s="20">
        <v>46198</v>
      </c>
      <c r="X1849" s="21" t="str">
        <f>UPPER(IF(AUDITORIA[[#This Row],[DATA VERIFICAÇÃO]]="","",TEXT(AUDITORIA[[#This Row],[DATA VERIFICAÇÃO]],"mmm")))</f>
        <v>JUN</v>
      </c>
      <c r="Y1849" t="s">
        <v>598</v>
      </c>
      <c r="Z1849" t="s">
        <v>894</v>
      </c>
      <c r="AA1849" t="s">
        <v>895</v>
      </c>
    </row>
    <row r="1850" spans="1:27" ht="14.4" hidden="1" customHeight="1" x14ac:dyDescent="0.3">
      <c r="A1850" s="4" t="s">
        <v>279</v>
      </c>
      <c r="B1850" s="4" t="s">
        <v>17</v>
      </c>
      <c r="C1850" s="16" t="s">
        <v>18</v>
      </c>
      <c r="D1850" s="4">
        <v>11</v>
      </c>
      <c r="E1850" s="4" t="s">
        <v>745</v>
      </c>
      <c r="F1850" t="s">
        <v>554</v>
      </c>
      <c r="G1850" t="s">
        <v>555</v>
      </c>
      <c r="J1850" s="4" t="s">
        <v>55</v>
      </c>
      <c r="K1850" s="4" t="s">
        <v>20</v>
      </c>
      <c r="L1850" s="4" t="s">
        <v>742</v>
      </c>
      <c r="M1850" s="17">
        <v>27</v>
      </c>
      <c r="N1850" s="17">
        <v>967</v>
      </c>
      <c r="O1850" s="18" t="s">
        <v>55</v>
      </c>
      <c r="P1850" s="18">
        <v>967</v>
      </c>
      <c r="Q1850" s="18">
        <v>27</v>
      </c>
      <c r="R1850" s="18" t="s">
        <v>814</v>
      </c>
      <c r="S1850" s="18" t="s">
        <v>871</v>
      </c>
      <c r="T1850" s="18" t="s">
        <v>782</v>
      </c>
      <c r="U18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50" s="19">
        <f>IF(AUDITORIA[[#This Row],[CAT]]="",0,1)</f>
        <v>1</v>
      </c>
      <c r="W1850" s="20">
        <v>46198</v>
      </c>
      <c r="X1850" s="21" t="str">
        <f>UPPER(IF(AUDITORIA[[#This Row],[DATA VERIFICAÇÃO]]="","",TEXT(AUDITORIA[[#This Row],[DATA VERIFICAÇÃO]],"mmm")))</f>
        <v>JUN</v>
      </c>
      <c r="Y1850" t="s">
        <v>598</v>
      </c>
      <c r="Z1850" t="s">
        <v>894</v>
      </c>
      <c r="AA1850" t="s">
        <v>895</v>
      </c>
    </row>
    <row r="1851" spans="1:27" ht="14.4" hidden="1" customHeight="1" x14ac:dyDescent="0.3">
      <c r="A1851" s="4" t="s">
        <v>279</v>
      </c>
      <c r="B1851" s="4" t="s">
        <v>17</v>
      </c>
      <c r="C1851" s="16" t="s">
        <v>18</v>
      </c>
      <c r="D1851" s="4">
        <v>11</v>
      </c>
      <c r="E1851" s="4" t="s">
        <v>745</v>
      </c>
      <c r="F1851" t="s">
        <v>558</v>
      </c>
      <c r="G1851" t="s">
        <v>85</v>
      </c>
      <c r="J1851" s="4" t="s">
        <v>88</v>
      </c>
      <c r="K1851" s="4" t="s">
        <v>21</v>
      </c>
      <c r="L1851" s="4" t="s">
        <v>742</v>
      </c>
      <c r="M1851" s="17">
        <v>30</v>
      </c>
      <c r="N1851" s="17">
        <v>885</v>
      </c>
      <c r="O1851" s="18" t="s">
        <v>88</v>
      </c>
      <c r="P1851" s="18">
        <v>885</v>
      </c>
      <c r="Q1851" s="18">
        <v>30</v>
      </c>
      <c r="R1851" s="18" t="s">
        <v>814</v>
      </c>
      <c r="S1851" s="18" t="s">
        <v>868</v>
      </c>
      <c r="T1851" s="18" t="s">
        <v>781</v>
      </c>
      <c r="U18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51" s="19">
        <f>IF(AUDITORIA[[#This Row],[CAT]]="",0,1)</f>
        <v>1</v>
      </c>
      <c r="W1851" s="20">
        <v>46198</v>
      </c>
      <c r="X1851" s="21" t="str">
        <f>UPPER(IF(AUDITORIA[[#This Row],[DATA VERIFICAÇÃO]]="","",TEXT(AUDITORIA[[#This Row],[DATA VERIFICAÇÃO]],"mmm")))</f>
        <v>JUN</v>
      </c>
      <c r="Y1851" t="s">
        <v>598</v>
      </c>
      <c r="Z1851" t="s">
        <v>894</v>
      </c>
      <c r="AA1851" t="s">
        <v>895</v>
      </c>
    </row>
    <row r="1852" spans="1:27" ht="14.4" hidden="1" customHeight="1" x14ac:dyDescent="0.3">
      <c r="A1852" s="4" t="s">
        <v>279</v>
      </c>
      <c r="B1852" s="4" t="s">
        <v>17</v>
      </c>
      <c r="C1852" s="16" t="s">
        <v>18</v>
      </c>
      <c r="D1852" s="4">
        <v>11</v>
      </c>
      <c r="E1852" s="4" t="s">
        <v>745</v>
      </c>
      <c r="F1852" t="s">
        <v>559</v>
      </c>
      <c r="G1852" t="s">
        <v>85</v>
      </c>
      <c r="J1852" s="4" t="s">
        <v>88</v>
      </c>
      <c r="K1852" s="4" t="s">
        <v>21</v>
      </c>
      <c r="L1852" s="4" t="s">
        <v>742</v>
      </c>
      <c r="M1852" s="17">
        <v>30</v>
      </c>
      <c r="N1852" s="17">
        <v>878</v>
      </c>
      <c r="O1852" s="18" t="s">
        <v>88</v>
      </c>
      <c r="P1852" s="18">
        <v>878</v>
      </c>
      <c r="Q1852" s="18">
        <v>30</v>
      </c>
      <c r="R1852" s="18" t="s">
        <v>814</v>
      </c>
      <c r="S1852" s="18" t="s">
        <v>868</v>
      </c>
      <c r="T1852" s="18" t="s">
        <v>780</v>
      </c>
      <c r="U18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52" s="19">
        <f>IF(AUDITORIA[[#This Row],[CAT]]="",0,1)</f>
        <v>1</v>
      </c>
      <c r="W1852" s="20">
        <v>46198</v>
      </c>
      <c r="X1852" s="21" t="str">
        <f>UPPER(IF(AUDITORIA[[#This Row],[DATA VERIFICAÇÃO]]="","",TEXT(AUDITORIA[[#This Row],[DATA VERIFICAÇÃO]],"mmm")))</f>
        <v>JUN</v>
      </c>
      <c r="Y1852" t="s">
        <v>598</v>
      </c>
      <c r="Z1852" t="s">
        <v>894</v>
      </c>
      <c r="AA1852" t="s">
        <v>895</v>
      </c>
    </row>
    <row r="1853" spans="1:27" ht="14.4" hidden="1" customHeight="1" x14ac:dyDescent="0.3">
      <c r="A1853" s="4" t="s">
        <v>279</v>
      </c>
      <c r="B1853" s="4" t="s">
        <v>17</v>
      </c>
      <c r="C1853" s="16" t="s">
        <v>18</v>
      </c>
      <c r="D1853" s="4">
        <v>11</v>
      </c>
      <c r="E1853" s="4" t="s">
        <v>745</v>
      </c>
      <c r="F1853" t="s">
        <v>560</v>
      </c>
      <c r="G1853" t="s">
        <v>85</v>
      </c>
      <c r="J1853" s="4" t="s">
        <v>88</v>
      </c>
      <c r="K1853" s="4" t="s">
        <v>20</v>
      </c>
      <c r="L1853" s="4" t="s">
        <v>742</v>
      </c>
      <c r="M1853" s="17">
        <v>30</v>
      </c>
      <c r="N1853" s="17">
        <v>688</v>
      </c>
      <c r="O1853" s="18" t="s">
        <v>88</v>
      </c>
      <c r="P1853" s="18">
        <v>688</v>
      </c>
      <c r="Q1853" s="18">
        <v>30</v>
      </c>
      <c r="R1853" s="18" t="s">
        <v>778</v>
      </c>
      <c r="S1853" s="18" t="s">
        <v>893</v>
      </c>
      <c r="T1853" s="18" t="s">
        <v>782</v>
      </c>
      <c r="U18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53" s="19">
        <f>IF(AUDITORIA[[#This Row],[CAT]]="",0,1)</f>
        <v>1</v>
      </c>
      <c r="W1853" s="20">
        <v>46198</v>
      </c>
      <c r="X1853" s="21" t="str">
        <f>UPPER(IF(AUDITORIA[[#This Row],[DATA VERIFICAÇÃO]]="","",TEXT(AUDITORIA[[#This Row],[DATA VERIFICAÇÃO]],"mmm")))</f>
        <v>JUN</v>
      </c>
      <c r="Y1853" t="s">
        <v>598</v>
      </c>
      <c r="Z1853" t="s">
        <v>894</v>
      </c>
      <c r="AA1853" t="s">
        <v>895</v>
      </c>
    </row>
    <row r="1854" spans="1:27" ht="14.4" hidden="1" customHeight="1" x14ac:dyDescent="0.3">
      <c r="A1854" s="4" t="s">
        <v>279</v>
      </c>
      <c r="B1854" s="4" t="s">
        <v>17</v>
      </c>
      <c r="C1854" s="16" t="s">
        <v>18</v>
      </c>
      <c r="D1854" s="4">
        <v>11</v>
      </c>
      <c r="E1854" s="4" t="s">
        <v>745</v>
      </c>
      <c r="F1854" t="s">
        <v>561</v>
      </c>
      <c r="G1854" t="s">
        <v>555</v>
      </c>
      <c r="J1854" s="4" t="s">
        <v>55</v>
      </c>
      <c r="K1854" s="4" t="s">
        <v>20</v>
      </c>
      <c r="L1854" s="4" t="s">
        <v>742</v>
      </c>
      <c r="M1854" s="17">
        <v>27</v>
      </c>
      <c r="N1854" s="17">
        <v>981</v>
      </c>
      <c r="O1854" s="18" t="s">
        <v>55</v>
      </c>
      <c r="P1854" s="18">
        <v>981</v>
      </c>
      <c r="Q1854" s="18">
        <v>27</v>
      </c>
      <c r="R1854" s="18" t="s">
        <v>814</v>
      </c>
      <c r="S1854" s="18" t="s">
        <v>871</v>
      </c>
      <c r="T1854" s="18" t="s">
        <v>781</v>
      </c>
      <c r="U18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54" s="19">
        <f>IF(AUDITORIA[[#This Row],[CAT]]="",0,1)</f>
        <v>1</v>
      </c>
      <c r="W1854" s="20">
        <v>46198</v>
      </c>
      <c r="X1854" s="21" t="str">
        <f>UPPER(IF(AUDITORIA[[#This Row],[DATA VERIFICAÇÃO]]="","",TEXT(AUDITORIA[[#This Row],[DATA VERIFICAÇÃO]],"mmm")))</f>
        <v>JUN</v>
      </c>
      <c r="Y1854" t="s">
        <v>598</v>
      </c>
      <c r="Z1854" t="s">
        <v>894</v>
      </c>
      <c r="AA1854" t="s">
        <v>895</v>
      </c>
    </row>
    <row r="1855" spans="1:27" ht="14.4" hidden="1" customHeight="1" x14ac:dyDescent="0.3">
      <c r="A1855" s="4" t="s">
        <v>279</v>
      </c>
      <c r="B1855" s="4" t="s">
        <v>17</v>
      </c>
      <c r="C1855" s="16" t="s">
        <v>18</v>
      </c>
      <c r="D1855" s="4">
        <v>11</v>
      </c>
      <c r="E1855" s="4" t="s">
        <v>745</v>
      </c>
      <c r="F1855" t="s">
        <v>562</v>
      </c>
      <c r="G1855" t="s">
        <v>85</v>
      </c>
      <c r="J1855" s="4" t="s">
        <v>88</v>
      </c>
      <c r="K1855" s="4" t="s">
        <v>21</v>
      </c>
      <c r="L1855" s="4" t="s">
        <v>742</v>
      </c>
      <c r="M1855" s="17">
        <v>30</v>
      </c>
      <c r="N1855" s="17">
        <v>871</v>
      </c>
      <c r="O1855" s="18" t="s">
        <v>88</v>
      </c>
      <c r="P1855" s="18">
        <v>871</v>
      </c>
      <c r="Q1855" s="18">
        <v>30</v>
      </c>
      <c r="R1855" s="18" t="s">
        <v>814</v>
      </c>
      <c r="S1855" s="18" t="s">
        <v>868</v>
      </c>
      <c r="T1855" s="18" t="s">
        <v>782</v>
      </c>
      <c r="U18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55" s="19">
        <f>IF(AUDITORIA[[#This Row],[CAT]]="",0,1)</f>
        <v>1</v>
      </c>
      <c r="W1855" s="20">
        <v>46198</v>
      </c>
      <c r="X1855" s="21" t="str">
        <f>UPPER(IF(AUDITORIA[[#This Row],[DATA VERIFICAÇÃO]]="","",TEXT(AUDITORIA[[#This Row],[DATA VERIFICAÇÃO]],"mmm")))</f>
        <v>JUN</v>
      </c>
      <c r="Y1855" t="s">
        <v>598</v>
      </c>
      <c r="Z1855" t="s">
        <v>894</v>
      </c>
      <c r="AA1855" t="s">
        <v>895</v>
      </c>
    </row>
    <row r="1856" spans="1:27" ht="14.4" hidden="1" customHeight="1" x14ac:dyDescent="0.3">
      <c r="A1856" s="4" t="s">
        <v>279</v>
      </c>
      <c r="B1856" s="4" t="s">
        <v>17</v>
      </c>
      <c r="C1856" s="16" t="s">
        <v>18</v>
      </c>
      <c r="D1856" s="4">
        <v>11</v>
      </c>
      <c r="E1856" s="4" t="s">
        <v>745</v>
      </c>
      <c r="F1856" t="s">
        <v>563</v>
      </c>
      <c r="G1856" t="s">
        <v>555</v>
      </c>
      <c r="J1856" s="4" t="s">
        <v>55</v>
      </c>
      <c r="K1856" s="4" t="s">
        <v>21</v>
      </c>
      <c r="L1856" s="4" t="s">
        <v>742</v>
      </c>
      <c r="M1856" s="17">
        <v>18</v>
      </c>
      <c r="N1856" s="17">
        <v>1177</v>
      </c>
      <c r="O1856" s="18" t="s">
        <v>55</v>
      </c>
      <c r="P1856" s="18">
        <v>1177</v>
      </c>
      <c r="Q1856" s="18">
        <v>18</v>
      </c>
      <c r="R1856" s="18" t="s">
        <v>814</v>
      </c>
      <c r="S1856" s="18" t="s">
        <v>870</v>
      </c>
      <c r="T1856" s="18" t="s">
        <v>782</v>
      </c>
      <c r="U18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56" s="19">
        <f>IF(AUDITORIA[[#This Row],[CAT]]="",0,1)</f>
        <v>1</v>
      </c>
      <c r="W1856" s="20">
        <v>46198</v>
      </c>
      <c r="X1856" s="21" t="str">
        <f>UPPER(IF(AUDITORIA[[#This Row],[DATA VERIFICAÇÃO]]="","",TEXT(AUDITORIA[[#This Row],[DATA VERIFICAÇÃO]],"mmm")))</f>
        <v>JUN</v>
      </c>
      <c r="Y1856" t="s">
        <v>598</v>
      </c>
      <c r="Z1856" t="s">
        <v>894</v>
      </c>
      <c r="AA1856" t="s">
        <v>895</v>
      </c>
    </row>
    <row r="1857" spans="1:27" ht="14.4" hidden="1" customHeight="1" x14ac:dyDescent="0.3">
      <c r="A1857" s="4" t="s">
        <v>279</v>
      </c>
      <c r="B1857" s="4" t="s">
        <v>17</v>
      </c>
      <c r="C1857" s="16" t="s">
        <v>18</v>
      </c>
      <c r="D1857" s="4">
        <v>11</v>
      </c>
      <c r="E1857" s="4" t="s">
        <v>745</v>
      </c>
      <c r="F1857" t="s">
        <v>564</v>
      </c>
      <c r="G1857" t="s">
        <v>85</v>
      </c>
      <c r="J1857" s="4" t="s">
        <v>88</v>
      </c>
      <c r="K1857" s="4" t="s">
        <v>20</v>
      </c>
      <c r="L1857" s="4" t="s">
        <v>742</v>
      </c>
      <c r="M1857" s="17">
        <v>30</v>
      </c>
      <c r="N1857" s="17">
        <v>688</v>
      </c>
      <c r="O1857" s="18" t="s">
        <v>88</v>
      </c>
      <c r="P1857" s="18">
        <v>688</v>
      </c>
      <c r="Q1857" s="18">
        <v>30</v>
      </c>
      <c r="R1857" s="18" t="s">
        <v>778</v>
      </c>
      <c r="S1857" s="18" t="s">
        <v>893</v>
      </c>
      <c r="T1857" s="18" t="s">
        <v>781</v>
      </c>
      <c r="U18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57" s="19">
        <f>IF(AUDITORIA[[#This Row],[CAT]]="",0,1)</f>
        <v>1</v>
      </c>
      <c r="W1857" s="20">
        <v>46198</v>
      </c>
      <c r="X1857" s="21" t="str">
        <f>UPPER(IF(AUDITORIA[[#This Row],[DATA VERIFICAÇÃO]]="","",TEXT(AUDITORIA[[#This Row],[DATA VERIFICAÇÃO]],"mmm")))</f>
        <v>JUN</v>
      </c>
      <c r="Y1857" t="s">
        <v>598</v>
      </c>
      <c r="Z1857" t="s">
        <v>894</v>
      </c>
      <c r="AA1857" t="s">
        <v>895</v>
      </c>
    </row>
    <row r="1858" spans="1:27" ht="14.4" hidden="1" customHeight="1" x14ac:dyDescent="0.3">
      <c r="A1858" s="4" t="s">
        <v>279</v>
      </c>
      <c r="B1858" s="4" t="s">
        <v>17</v>
      </c>
      <c r="C1858" s="16" t="s">
        <v>18</v>
      </c>
      <c r="D1858" s="4">
        <v>11</v>
      </c>
      <c r="E1858" s="4" t="s">
        <v>745</v>
      </c>
      <c r="F1858" t="s">
        <v>565</v>
      </c>
      <c r="G1858" t="s">
        <v>555</v>
      </c>
      <c r="J1858" s="4" t="s">
        <v>55</v>
      </c>
      <c r="K1858" s="4" t="s">
        <v>21</v>
      </c>
      <c r="L1858" s="4" t="s">
        <v>742</v>
      </c>
      <c r="M1858" s="17">
        <v>18</v>
      </c>
      <c r="N1858" s="17">
        <v>1182</v>
      </c>
      <c r="O1858" s="18" t="s">
        <v>55</v>
      </c>
      <c r="P1858" s="18">
        <v>1182</v>
      </c>
      <c r="Q1858" s="18">
        <v>18</v>
      </c>
      <c r="R1858" s="18" t="s">
        <v>814</v>
      </c>
      <c r="S1858" s="18" t="s">
        <v>870</v>
      </c>
      <c r="T1858" s="18" t="s">
        <v>780</v>
      </c>
      <c r="U18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58" s="19">
        <f>IF(AUDITORIA[[#This Row],[CAT]]="",0,1)</f>
        <v>1</v>
      </c>
      <c r="W1858" s="20">
        <v>46198</v>
      </c>
      <c r="X1858" s="21" t="str">
        <f>UPPER(IF(AUDITORIA[[#This Row],[DATA VERIFICAÇÃO]]="","",TEXT(AUDITORIA[[#This Row],[DATA VERIFICAÇÃO]],"mmm")))</f>
        <v>JUN</v>
      </c>
      <c r="Y1858" t="s">
        <v>598</v>
      </c>
      <c r="Z1858" t="s">
        <v>894</v>
      </c>
      <c r="AA1858" t="s">
        <v>895</v>
      </c>
    </row>
    <row r="1859" spans="1:27" ht="14.4" hidden="1" customHeight="1" x14ac:dyDescent="0.3">
      <c r="A1859" s="4" t="s">
        <v>279</v>
      </c>
      <c r="B1859" s="4" t="s">
        <v>17</v>
      </c>
      <c r="C1859" s="16" t="s">
        <v>18</v>
      </c>
      <c r="D1859" s="4">
        <v>11</v>
      </c>
      <c r="E1859" s="4" t="s">
        <v>745</v>
      </c>
      <c r="F1859" t="s">
        <v>566</v>
      </c>
      <c r="G1859" t="s">
        <v>555</v>
      </c>
      <c r="J1859" s="4" t="s">
        <v>55</v>
      </c>
      <c r="K1859" s="4" t="s">
        <v>20</v>
      </c>
      <c r="L1859" s="4" t="s">
        <v>742</v>
      </c>
      <c r="M1859" s="17">
        <v>27</v>
      </c>
      <c r="N1859" s="17">
        <v>984</v>
      </c>
      <c r="O1859" s="18" t="s">
        <v>55</v>
      </c>
      <c r="P1859" s="18">
        <v>984</v>
      </c>
      <c r="Q1859" s="18">
        <v>27</v>
      </c>
      <c r="R1859" s="18" t="s">
        <v>814</v>
      </c>
      <c r="S1859" s="18" t="s">
        <v>869</v>
      </c>
      <c r="T1859" s="18" t="s">
        <v>781</v>
      </c>
      <c r="U18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59" s="19">
        <f>IF(AUDITORIA[[#This Row],[CAT]]="",0,1)</f>
        <v>1</v>
      </c>
      <c r="W1859" s="20">
        <v>46198</v>
      </c>
      <c r="X1859" s="21" t="str">
        <f>UPPER(IF(AUDITORIA[[#This Row],[DATA VERIFICAÇÃO]]="","",TEXT(AUDITORIA[[#This Row],[DATA VERIFICAÇÃO]],"mmm")))</f>
        <v>JUN</v>
      </c>
      <c r="Y1859" t="s">
        <v>598</v>
      </c>
      <c r="Z1859" t="s">
        <v>894</v>
      </c>
      <c r="AA1859" t="s">
        <v>895</v>
      </c>
    </row>
    <row r="1860" spans="1:27" ht="14.4" hidden="1" customHeight="1" x14ac:dyDescent="0.3">
      <c r="A1860" s="4" t="s">
        <v>279</v>
      </c>
      <c r="B1860" s="4" t="s">
        <v>17</v>
      </c>
      <c r="C1860" s="16" t="s">
        <v>18</v>
      </c>
      <c r="D1860" s="4">
        <v>11</v>
      </c>
      <c r="E1860" s="4" t="s">
        <v>745</v>
      </c>
      <c r="F1860" t="s">
        <v>567</v>
      </c>
      <c r="G1860" t="s">
        <v>85</v>
      </c>
      <c r="J1860" s="4" t="s">
        <v>88</v>
      </c>
      <c r="K1860" s="4" t="s">
        <v>20</v>
      </c>
      <c r="L1860" s="4" t="s">
        <v>742</v>
      </c>
      <c r="M1860" s="17">
        <v>30</v>
      </c>
      <c r="N1860" s="17">
        <v>678</v>
      </c>
      <c r="O1860" s="18" t="s">
        <v>88</v>
      </c>
      <c r="P1860" s="18">
        <v>678</v>
      </c>
      <c r="Q1860" s="18">
        <v>30</v>
      </c>
      <c r="R1860" s="18" t="s">
        <v>814</v>
      </c>
      <c r="S1860" s="18" t="s">
        <v>873</v>
      </c>
      <c r="T1860" s="18" t="s">
        <v>781</v>
      </c>
      <c r="U18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60" s="19">
        <f>IF(AUDITORIA[[#This Row],[CAT]]="",0,1)</f>
        <v>1</v>
      </c>
      <c r="W1860" s="20">
        <v>46198</v>
      </c>
      <c r="X1860" s="21" t="str">
        <f>UPPER(IF(AUDITORIA[[#This Row],[DATA VERIFICAÇÃO]]="","",TEXT(AUDITORIA[[#This Row],[DATA VERIFICAÇÃO]],"mmm")))</f>
        <v>JUN</v>
      </c>
      <c r="Y1860" t="s">
        <v>598</v>
      </c>
      <c r="Z1860" t="s">
        <v>894</v>
      </c>
      <c r="AA1860" t="s">
        <v>895</v>
      </c>
    </row>
    <row r="1861" spans="1:27" ht="14.4" hidden="1" customHeight="1" x14ac:dyDescent="0.3">
      <c r="A1861" s="4" t="s">
        <v>279</v>
      </c>
      <c r="B1861" s="4" t="s">
        <v>17</v>
      </c>
      <c r="C1861" s="16" t="s">
        <v>18</v>
      </c>
      <c r="D1861" s="4">
        <v>11</v>
      </c>
      <c r="E1861" s="4" t="s">
        <v>745</v>
      </c>
      <c r="F1861" t="s">
        <v>568</v>
      </c>
      <c r="G1861" t="s">
        <v>85</v>
      </c>
      <c r="J1861" s="4" t="s">
        <v>88</v>
      </c>
      <c r="K1861" s="4" t="s">
        <v>21</v>
      </c>
      <c r="L1861" s="4" t="s">
        <v>742</v>
      </c>
      <c r="M1861" s="17">
        <v>30</v>
      </c>
      <c r="N1861" s="17">
        <v>878</v>
      </c>
      <c r="O1861" s="18" t="s">
        <v>88</v>
      </c>
      <c r="P1861" s="18">
        <v>878</v>
      </c>
      <c r="Q1861" s="18">
        <v>30</v>
      </c>
      <c r="R1861" s="18" t="s">
        <v>814</v>
      </c>
      <c r="S1861" s="18" t="s">
        <v>874</v>
      </c>
      <c r="T1861" s="18" t="s">
        <v>782</v>
      </c>
      <c r="U18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61" s="19">
        <f>IF(AUDITORIA[[#This Row],[CAT]]="",0,1)</f>
        <v>1</v>
      </c>
      <c r="W1861" s="20">
        <v>46198</v>
      </c>
      <c r="X1861" s="21" t="str">
        <f>UPPER(IF(AUDITORIA[[#This Row],[DATA VERIFICAÇÃO]]="","",TEXT(AUDITORIA[[#This Row],[DATA VERIFICAÇÃO]],"mmm")))</f>
        <v>JUN</v>
      </c>
      <c r="Y1861" t="s">
        <v>598</v>
      </c>
      <c r="Z1861" t="s">
        <v>894</v>
      </c>
      <c r="AA1861" t="s">
        <v>895</v>
      </c>
    </row>
    <row r="1862" spans="1:27" ht="14.4" hidden="1" customHeight="1" x14ac:dyDescent="0.3">
      <c r="A1862" s="4" t="s">
        <v>279</v>
      </c>
      <c r="B1862" s="4" t="s">
        <v>17</v>
      </c>
      <c r="C1862" s="16" t="s">
        <v>18</v>
      </c>
      <c r="D1862" s="4">
        <v>11</v>
      </c>
      <c r="E1862" s="4" t="s">
        <v>745</v>
      </c>
      <c r="F1862" t="s">
        <v>569</v>
      </c>
      <c r="G1862" t="s">
        <v>555</v>
      </c>
      <c r="J1862" s="4" t="s">
        <v>55</v>
      </c>
      <c r="K1862" s="4" t="s">
        <v>21</v>
      </c>
      <c r="L1862" s="4" t="s">
        <v>742</v>
      </c>
      <c r="M1862" s="17">
        <v>18</v>
      </c>
      <c r="N1862" s="17">
        <v>1178</v>
      </c>
      <c r="O1862" s="18" t="s">
        <v>55</v>
      </c>
      <c r="P1862" s="18">
        <v>1178</v>
      </c>
      <c r="Q1862" s="18">
        <v>18</v>
      </c>
      <c r="R1862" s="18" t="s">
        <v>814</v>
      </c>
      <c r="S1862" s="18" t="s">
        <v>870</v>
      </c>
      <c r="T1862" s="18" t="s">
        <v>781</v>
      </c>
      <c r="U18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62" s="19">
        <f>IF(AUDITORIA[[#This Row],[CAT]]="",0,1)</f>
        <v>1</v>
      </c>
      <c r="W1862" s="20">
        <v>46198</v>
      </c>
      <c r="X1862" s="21" t="str">
        <f>UPPER(IF(AUDITORIA[[#This Row],[DATA VERIFICAÇÃO]]="","",TEXT(AUDITORIA[[#This Row],[DATA VERIFICAÇÃO]],"mmm")))</f>
        <v>JUN</v>
      </c>
      <c r="Y1862" t="s">
        <v>598</v>
      </c>
      <c r="Z1862" t="s">
        <v>894</v>
      </c>
      <c r="AA1862" t="s">
        <v>895</v>
      </c>
    </row>
    <row r="1863" spans="1:27" ht="14.4" hidden="1" customHeight="1" x14ac:dyDescent="0.3">
      <c r="A1863" s="4" t="s">
        <v>279</v>
      </c>
      <c r="B1863" s="4" t="s">
        <v>17</v>
      </c>
      <c r="C1863" s="16" t="s">
        <v>18</v>
      </c>
      <c r="D1863" s="4">
        <v>11</v>
      </c>
      <c r="E1863" s="4" t="s">
        <v>745</v>
      </c>
      <c r="F1863" t="s">
        <v>570</v>
      </c>
      <c r="G1863" t="s">
        <v>555</v>
      </c>
      <c r="J1863" s="4" t="s">
        <v>55</v>
      </c>
      <c r="K1863" s="4" t="s">
        <v>20</v>
      </c>
      <c r="L1863" s="4" t="s">
        <v>742</v>
      </c>
      <c r="M1863" s="17">
        <v>27</v>
      </c>
      <c r="N1863" s="17">
        <v>995</v>
      </c>
      <c r="O1863" s="18" t="s">
        <v>55</v>
      </c>
      <c r="P1863" s="18">
        <v>995</v>
      </c>
      <c r="Q1863" s="18">
        <v>27</v>
      </c>
      <c r="R1863" s="18" t="s">
        <v>814</v>
      </c>
      <c r="S1863" s="18" t="s">
        <v>871</v>
      </c>
      <c r="T1863" s="18" t="s">
        <v>780</v>
      </c>
      <c r="U18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63" s="19">
        <f>IF(AUDITORIA[[#This Row],[CAT]]="",0,1)</f>
        <v>1</v>
      </c>
      <c r="W1863" s="20">
        <v>46198</v>
      </c>
      <c r="X1863" s="21" t="str">
        <f>UPPER(IF(AUDITORIA[[#This Row],[DATA VERIFICAÇÃO]]="","",TEXT(AUDITORIA[[#This Row],[DATA VERIFICAÇÃO]],"mmm")))</f>
        <v>JUN</v>
      </c>
      <c r="Y1863" t="s">
        <v>598</v>
      </c>
      <c r="Z1863" t="s">
        <v>894</v>
      </c>
      <c r="AA1863" t="s">
        <v>895</v>
      </c>
    </row>
    <row r="1864" spans="1:27" ht="14.4" hidden="1" customHeight="1" x14ac:dyDescent="0.3">
      <c r="A1864" s="4" t="s">
        <v>279</v>
      </c>
      <c r="B1864" s="4" t="s">
        <v>17</v>
      </c>
      <c r="C1864" s="16" t="s">
        <v>18</v>
      </c>
      <c r="D1864" s="4">
        <v>11</v>
      </c>
      <c r="E1864" s="4" t="s">
        <v>745</v>
      </c>
      <c r="F1864" t="s">
        <v>571</v>
      </c>
      <c r="G1864" t="s">
        <v>85</v>
      </c>
      <c r="J1864" s="4" t="s">
        <v>88</v>
      </c>
      <c r="K1864" s="4" t="s">
        <v>20</v>
      </c>
      <c r="L1864" s="4" t="s">
        <v>742</v>
      </c>
      <c r="M1864" s="17">
        <v>30</v>
      </c>
      <c r="N1864" s="17">
        <v>679</v>
      </c>
      <c r="O1864" s="18" t="s">
        <v>88</v>
      </c>
      <c r="P1864" s="18">
        <v>679</v>
      </c>
      <c r="Q1864" s="18">
        <v>30</v>
      </c>
      <c r="R1864" s="18" t="s">
        <v>778</v>
      </c>
      <c r="S1864" s="18" t="s">
        <v>893</v>
      </c>
      <c r="T1864" s="18" t="s">
        <v>780</v>
      </c>
      <c r="U18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64" s="19">
        <f>IF(AUDITORIA[[#This Row],[CAT]]="",0,1)</f>
        <v>1</v>
      </c>
      <c r="W1864" s="20">
        <v>46198</v>
      </c>
      <c r="X1864" s="21" t="str">
        <f>UPPER(IF(AUDITORIA[[#This Row],[DATA VERIFICAÇÃO]]="","",TEXT(AUDITORIA[[#This Row],[DATA VERIFICAÇÃO]],"mmm")))</f>
        <v>JUN</v>
      </c>
      <c r="Y1864" t="s">
        <v>598</v>
      </c>
      <c r="Z1864" t="s">
        <v>894</v>
      </c>
      <c r="AA1864" t="s">
        <v>895</v>
      </c>
    </row>
    <row r="1865" spans="1:27" ht="14.4" hidden="1" customHeight="1" x14ac:dyDescent="0.3">
      <c r="A1865" s="4" t="s">
        <v>279</v>
      </c>
      <c r="B1865" s="4" t="s">
        <v>17</v>
      </c>
      <c r="C1865" s="16" t="s">
        <v>18</v>
      </c>
      <c r="D1865" s="4">
        <v>11</v>
      </c>
      <c r="E1865" s="4" t="s">
        <v>745</v>
      </c>
      <c r="F1865" t="s">
        <v>572</v>
      </c>
      <c r="G1865" t="s">
        <v>85</v>
      </c>
      <c r="J1865" s="4" t="s">
        <v>88</v>
      </c>
      <c r="K1865" s="4" t="s">
        <v>21</v>
      </c>
      <c r="L1865" s="4" t="s">
        <v>742</v>
      </c>
      <c r="M1865" s="17">
        <v>30</v>
      </c>
      <c r="N1865" s="17">
        <v>879</v>
      </c>
      <c r="O1865" s="18" t="s">
        <v>88</v>
      </c>
      <c r="P1865" s="18">
        <v>879</v>
      </c>
      <c r="Q1865" s="18">
        <v>30</v>
      </c>
      <c r="R1865" s="18" t="s">
        <v>814</v>
      </c>
      <c r="S1865" s="18" t="s">
        <v>874</v>
      </c>
      <c r="T1865" s="18" t="s">
        <v>782</v>
      </c>
      <c r="U18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65" s="19">
        <f>IF(AUDITORIA[[#This Row],[CAT]]="",0,1)</f>
        <v>1</v>
      </c>
      <c r="W1865" s="20">
        <v>46198</v>
      </c>
      <c r="X1865" s="21" t="str">
        <f>UPPER(IF(AUDITORIA[[#This Row],[DATA VERIFICAÇÃO]]="","",TEXT(AUDITORIA[[#This Row],[DATA VERIFICAÇÃO]],"mmm")))</f>
        <v>JUN</v>
      </c>
      <c r="Y1865" t="s">
        <v>598</v>
      </c>
      <c r="Z1865" t="s">
        <v>894</v>
      </c>
      <c r="AA1865" t="s">
        <v>895</v>
      </c>
    </row>
    <row r="1866" spans="1:27" ht="14.4" hidden="1" customHeight="1" x14ac:dyDescent="0.3">
      <c r="A1866" s="4" t="s">
        <v>279</v>
      </c>
      <c r="B1866" s="4" t="s">
        <v>17</v>
      </c>
      <c r="C1866" s="16" t="s">
        <v>18</v>
      </c>
      <c r="D1866" s="4">
        <v>11</v>
      </c>
      <c r="E1866" s="4" t="s">
        <v>745</v>
      </c>
      <c r="F1866" t="s">
        <v>573</v>
      </c>
      <c r="G1866" t="s">
        <v>555</v>
      </c>
      <c r="J1866" s="4" t="s">
        <v>55</v>
      </c>
      <c r="K1866" s="4" t="s">
        <v>21</v>
      </c>
      <c r="L1866" s="4" t="s">
        <v>742</v>
      </c>
      <c r="M1866" s="17">
        <v>4</v>
      </c>
      <c r="N1866" s="17">
        <v>1193</v>
      </c>
      <c r="O1866" s="18" t="s">
        <v>55</v>
      </c>
      <c r="P1866" s="18">
        <v>1193</v>
      </c>
      <c r="Q1866" s="18">
        <v>4</v>
      </c>
      <c r="R1866" s="18" t="s">
        <v>814</v>
      </c>
      <c r="S1866" s="18" t="s">
        <v>870</v>
      </c>
      <c r="T1866" s="18"/>
      <c r="U18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66" s="19">
        <f>IF(AUDITORIA[[#This Row],[CAT]]="",0,1)</f>
        <v>1</v>
      </c>
      <c r="W1866" s="20">
        <v>46198</v>
      </c>
      <c r="X1866" s="21" t="str">
        <f>UPPER(IF(AUDITORIA[[#This Row],[DATA VERIFICAÇÃO]]="","",TEXT(AUDITORIA[[#This Row],[DATA VERIFICAÇÃO]],"mmm")))</f>
        <v>JUN</v>
      </c>
      <c r="Y1866" t="s">
        <v>598</v>
      </c>
      <c r="Z1866" t="s">
        <v>894</v>
      </c>
      <c r="AA1866" t="s">
        <v>895</v>
      </c>
    </row>
    <row r="1867" spans="1:27" ht="14.4" hidden="1" customHeight="1" x14ac:dyDescent="0.3">
      <c r="A1867" s="4" t="s">
        <v>279</v>
      </c>
      <c r="B1867" s="4" t="s">
        <v>17</v>
      </c>
      <c r="C1867" s="16" t="s">
        <v>18</v>
      </c>
      <c r="D1867" s="4">
        <v>11</v>
      </c>
      <c r="E1867" s="4" t="s">
        <v>745</v>
      </c>
      <c r="F1867" t="s">
        <v>574</v>
      </c>
      <c r="G1867" t="s">
        <v>555</v>
      </c>
      <c r="J1867" s="4" t="s">
        <v>55</v>
      </c>
      <c r="K1867" s="4" t="s">
        <v>20</v>
      </c>
      <c r="L1867" s="4" t="s">
        <v>742</v>
      </c>
      <c r="M1867" s="17">
        <v>11</v>
      </c>
      <c r="N1867" s="17">
        <v>1002</v>
      </c>
      <c r="O1867" s="18" t="s">
        <v>55</v>
      </c>
      <c r="P1867" s="18">
        <v>1002</v>
      </c>
      <c r="Q1867" s="18">
        <v>11</v>
      </c>
      <c r="R1867" s="18" t="s">
        <v>814</v>
      </c>
      <c r="S1867" s="18" t="s">
        <v>869</v>
      </c>
      <c r="T1867" s="18" t="s">
        <v>780</v>
      </c>
      <c r="U18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67" s="19">
        <f>IF(AUDITORIA[[#This Row],[CAT]]="",0,1)</f>
        <v>1</v>
      </c>
      <c r="W1867" s="20">
        <v>46198</v>
      </c>
      <c r="X1867" s="21" t="str">
        <f>UPPER(IF(AUDITORIA[[#This Row],[DATA VERIFICAÇÃO]]="","",TEXT(AUDITORIA[[#This Row],[DATA VERIFICAÇÃO]],"mmm")))</f>
        <v>JUN</v>
      </c>
      <c r="Y1867" t="s">
        <v>598</v>
      </c>
      <c r="Z1867" t="s">
        <v>894</v>
      </c>
      <c r="AA1867" t="s">
        <v>895</v>
      </c>
    </row>
    <row r="1868" spans="1:27" ht="14.4" hidden="1" customHeight="1" x14ac:dyDescent="0.3">
      <c r="A1868" s="4" t="s">
        <v>279</v>
      </c>
      <c r="B1868" s="4" t="s">
        <v>17</v>
      </c>
      <c r="C1868" s="16" t="s">
        <v>18</v>
      </c>
      <c r="D1868" s="4">
        <v>11</v>
      </c>
      <c r="E1868" s="4" t="s">
        <v>745</v>
      </c>
      <c r="F1868" t="s">
        <v>575</v>
      </c>
      <c r="G1868" t="s">
        <v>85</v>
      </c>
      <c r="J1868" s="4" t="s">
        <v>88</v>
      </c>
      <c r="K1868" s="4" t="s">
        <v>21</v>
      </c>
      <c r="L1868" s="4" t="s">
        <v>742</v>
      </c>
      <c r="M1868" s="17">
        <v>30</v>
      </c>
      <c r="N1868" s="17">
        <v>870</v>
      </c>
      <c r="O1868" s="18" t="s">
        <v>88</v>
      </c>
      <c r="P1868" s="18">
        <v>870</v>
      </c>
      <c r="Q1868" s="18">
        <v>30</v>
      </c>
      <c r="R1868" s="18" t="s">
        <v>814</v>
      </c>
      <c r="S1868" s="18" t="s">
        <v>874</v>
      </c>
      <c r="T1868" s="18" t="s">
        <v>780</v>
      </c>
      <c r="U18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68" s="19">
        <f>IF(AUDITORIA[[#This Row],[CAT]]="",0,1)</f>
        <v>1</v>
      </c>
      <c r="W1868" s="20">
        <v>46198</v>
      </c>
      <c r="X1868" s="21" t="str">
        <f>UPPER(IF(AUDITORIA[[#This Row],[DATA VERIFICAÇÃO]]="","",TEXT(AUDITORIA[[#This Row],[DATA VERIFICAÇÃO]],"mmm")))</f>
        <v>JUN</v>
      </c>
      <c r="Y1868" t="s">
        <v>598</v>
      </c>
      <c r="Z1868" t="s">
        <v>894</v>
      </c>
      <c r="AA1868" t="s">
        <v>895</v>
      </c>
    </row>
    <row r="1869" spans="1:27" ht="14.4" hidden="1" customHeight="1" x14ac:dyDescent="0.3">
      <c r="A1869" s="4" t="s">
        <v>279</v>
      </c>
      <c r="B1869" s="4" t="s">
        <v>17</v>
      </c>
      <c r="C1869" s="16" t="s">
        <v>18</v>
      </c>
      <c r="D1869" s="4">
        <v>11</v>
      </c>
      <c r="E1869" s="4" t="s">
        <v>745</v>
      </c>
      <c r="F1869" t="s">
        <v>576</v>
      </c>
      <c r="G1869" t="s">
        <v>85</v>
      </c>
      <c r="J1869" s="4" t="s">
        <v>88</v>
      </c>
      <c r="K1869" s="4" t="s">
        <v>20</v>
      </c>
      <c r="L1869" s="4" t="s">
        <v>742</v>
      </c>
      <c r="M1869" s="17">
        <v>30</v>
      </c>
      <c r="N1869" s="17">
        <v>673</v>
      </c>
      <c r="O1869" s="18" t="s">
        <v>88</v>
      </c>
      <c r="P1869" s="18">
        <v>673</v>
      </c>
      <c r="Q1869" s="18">
        <v>30</v>
      </c>
      <c r="R1869" s="18" t="s">
        <v>814</v>
      </c>
      <c r="S1869" s="18" t="s">
        <v>872</v>
      </c>
      <c r="T1869" s="18" t="s">
        <v>780</v>
      </c>
      <c r="U18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69" s="19">
        <f>IF(AUDITORIA[[#This Row],[CAT]]="",0,1)</f>
        <v>1</v>
      </c>
      <c r="W1869" s="20">
        <v>46198</v>
      </c>
      <c r="X1869" s="21" t="str">
        <f>UPPER(IF(AUDITORIA[[#This Row],[DATA VERIFICAÇÃO]]="","",TEXT(AUDITORIA[[#This Row],[DATA VERIFICAÇÃO]],"mmm")))</f>
        <v>JUN</v>
      </c>
      <c r="Y1869" t="s">
        <v>598</v>
      </c>
      <c r="Z1869" t="s">
        <v>894</v>
      </c>
      <c r="AA1869" t="s">
        <v>895</v>
      </c>
    </row>
    <row r="1870" spans="1:27" ht="14.4" hidden="1" customHeight="1" x14ac:dyDescent="0.3">
      <c r="A1870" s="4" t="s">
        <v>279</v>
      </c>
      <c r="B1870" s="4" t="s">
        <v>17</v>
      </c>
      <c r="C1870" s="16" t="s">
        <v>18</v>
      </c>
      <c r="D1870" s="4">
        <v>11</v>
      </c>
      <c r="E1870" s="4" t="s">
        <v>745</v>
      </c>
      <c r="F1870" t="s">
        <v>577</v>
      </c>
      <c r="G1870" t="s">
        <v>85</v>
      </c>
      <c r="J1870" s="4" t="s">
        <v>88</v>
      </c>
      <c r="K1870" s="4" t="s">
        <v>20</v>
      </c>
      <c r="L1870" s="4" t="s">
        <v>742</v>
      </c>
      <c r="M1870" s="17">
        <v>30</v>
      </c>
      <c r="N1870" s="17">
        <v>682</v>
      </c>
      <c r="O1870" s="18" t="s">
        <v>88</v>
      </c>
      <c r="P1870" s="18">
        <v>682</v>
      </c>
      <c r="Q1870" s="18">
        <v>30</v>
      </c>
      <c r="R1870" s="18" t="s">
        <v>814</v>
      </c>
      <c r="S1870" s="18" t="s">
        <v>783</v>
      </c>
      <c r="T1870" s="18" t="s">
        <v>782</v>
      </c>
      <c r="U18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70" s="19">
        <f>IF(AUDITORIA[[#This Row],[CAT]]="",0,1)</f>
        <v>1</v>
      </c>
      <c r="W1870" s="20">
        <v>46198</v>
      </c>
      <c r="X1870" s="21" t="str">
        <f>UPPER(IF(AUDITORIA[[#This Row],[DATA VERIFICAÇÃO]]="","",TEXT(AUDITORIA[[#This Row],[DATA VERIFICAÇÃO]],"mmm")))</f>
        <v>JUN</v>
      </c>
      <c r="Y1870" t="s">
        <v>598</v>
      </c>
      <c r="Z1870" t="s">
        <v>894</v>
      </c>
      <c r="AA1870" t="s">
        <v>895</v>
      </c>
    </row>
    <row r="1871" spans="1:27" ht="14.4" hidden="1" customHeight="1" x14ac:dyDescent="0.3">
      <c r="A1871" s="4" t="s">
        <v>279</v>
      </c>
      <c r="B1871" s="4" t="s">
        <v>17</v>
      </c>
      <c r="C1871" s="16" t="s">
        <v>18</v>
      </c>
      <c r="D1871" s="4">
        <v>11</v>
      </c>
      <c r="E1871" s="4" t="s">
        <v>745</v>
      </c>
      <c r="F1871" t="s">
        <v>578</v>
      </c>
      <c r="G1871" t="s">
        <v>85</v>
      </c>
      <c r="J1871" s="4" t="s">
        <v>88</v>
      </c>
      <c r="K1871" s="4" t="s">
        <v>21</v>
      </c>
      <c r="L1871" s="4" t="s">
        <v>742</v>
      </c>
      <c r="M1871" s="17">
        <v>30</v>
      </c>
      <c r="N1871" s="17">
        <v>874</v>
      </c>
      <c r="O1871" s="18" t="s">
        <v>88</v>
      </c>
      <c r="P1871" s="18">
        <v>874</v>
      </c>
      <c r="Q1871" s="18">
        <v>30</v>
      </c>
      <c r="R1871" s="18" t="s">
        <v>814</v>
      </c>
      <c r="S1871" s="18" t="s">
        <v>872</v>
      </c>
      <c r="T1871" s="18" t="s">
        <v>782</v>
      </c>
      <c r="U18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71" s="19">
        <f>IF(AUDITORIA[[#This Row],[CAT]]="",0,1)</f>
        <v>1</v>
      </c>
      <c r="W1871" s="20">
        <v>46198</v>
      </c>
      <c r="X1871" s="21" t="str">
        <f>UPPER(IF(AUDITORIA[[#This Row],[DATA VERIFICAÇÃO]]="","",TEXT(AUDITORIA[[#This Row],[DATA VERIFICAÇÃO]],"mmm")))</f>
        <v>JUN</v>
      </c>
      <c r="Y1871" t="s">
        <v>598</v>
      </c>
      <c r="Z1871" t="s">
        <v>894</v>
      </c>
      <c r="AA1871" t="s">
        <v>895</v>
      </c>
    </row>
    <row r="1872" spans="1:27" ht="14.4" hidden="1" customHeight="1" x14ac:dyDescent="0.3">
      <c r="A1872" s="4" t="s">
        <v>279</v>
      </c>
      <c r="B1872" s="4" t="s">
        <v>17</v>
      </c>
      <c r="C1872" s="16" t="s">
        <v>18</v>
      </c>
      <c r="D1872" s="4">
        <v>11</v>
      </c>
      <c r="E1872" s="4" t="s">
        <v>745</v>
      </c>
      <c r="F1872" t="s">
        <v>579</v>
      </c>
      <c r="G1872" t="s">
        <v>85</v>
      </c>
      <c r="J1872" s="4" t="s">
        <v>88</v>
      </c>
      <c r="K1872" s="4" t="s">
        <v>21</v>
      </c>
      <c r="L1872" s="4" t="s">
        <v>742</v>
      </c>
      <c r="M1872" s="17">
        <v>30</v>
      </c>
      <c r="N1872" s="17">
        <v>866</v>
      </c>
      <c r="O1872" s="18" t="s">
        <v>88</v>
      </c>
      <c r="P1872" s="18">
        <v>866</v>
      </c>
      <c r="Q1872" s="18">
        <v>30</v>
      </c>
      <c r="R1872" s="18" t="s">
        <v>778</v>
      </c>
      <c r="S1872" s="18" t="s">
        <v>872</v>
      </c>
      <c r="T1872" s="18" t="s">
        <v>781</v>
      </c>
      <c r="U18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72" s="19">
        <f>IF(AUDITORIA[[#This Row],[CAT]]="",0,1)</f>
        <v>1</v>
      </c>
      <c r="W1872" s="20">
        <v>46198</v>
      </c>
      <c r="X1872" s="21" t="str">
        <f>UPPER(IF(AUDITORIA[[#This Row],[DATA VERIFICAÇÃO]]="","",TEXT(AUDITORIA[[#This Row],[DATA VERIFICAÇÃO]],"mmm")))</f>
        <v>JUN</v>
      </c>
      <c r="Y1872" t="s">
        <v>598</v>
      </c>
      <c r="Z1872" t="s">
        <v>894</v>
      </c>
      <c r="AA1872" t="s">
        <v>895</v>
      </c>
    </row>
    <row r="1873" spans="1:27" ht="14.4" hidden="1" customHeight="1" x14ac:dyDescent="0.3">
      <c r="A1873" s="4" t="s">
        <v>279</v>
      </c>
      <c r="B1873" s="4" t="s">
        <v>17</v>
      </c>
      <c r="C1873" s="16" t="s">
        <v>18</v>
      </c>
      <c r="D1873" s="4">
        <v>11</v>
      </c>
      <c r="E1873" s="4" t="s">
        <v>745</v>
      </c>
      <c r="F1873" t="s">
        <v>580</v>
      </c>
      <c r="G1873" t="s">
        <v>85</v>
      </c>
      <c r="J1873" s="4" t="s">
        <v>88</v>
      </c>
      <c r="K1873" s="4" t="s">
        <v>21</v>
      </c>
      <c r="L1873" s="4" t="s">
        <v>742</v>
      </c>
      <c r="M1873" s="17">
        <v>27</v>
      </c>
      <c r="N1873" s="17">
        <v>881</v>
      </c>
      <c r="O1873" s="18" t="s">
        <v>88</v>
      </c>
      <c r="P1873" s="18">
        <v>881</v>
      </c>
      <c r="Q1873" s="18">
        <v>27</v>
      </c>
      <c r="R1873" s="18" t="s">
        <v>814</v>
      </c>
      <c r="S1873" s="18" t="s">
        <v>872</v>
      </c>
      <c r="T1873" s="18" t="s">
        <v>780</v>
      </c>
      <c r="U18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73" s="19">
        <f>IF(AUDITORIA[[#This Row],[CAT]]="",0,1)</f>
        <v>1</v>
      </c>
      <c r="W1873" s="20">
        <v>46198</v>
      </c>
      <c r="X1873" s="21" t="str">
        <f>UPPER(IF(AUDITORIA[[#This Row],[DATA VERIFICAÇÃO]]="","",TEXT(AUDITORIA[[#This Row],[DATA VERIFICAÇÃO]],"mmm")))</f>
        <v>JUN</v>
      </c>
      <c r="Y1873" t="s">
        <v>598</v>
      </c>
      <c r="Z1873" t="s">
        <v>894</v>
      </c>
      <c r="AA1873" t="s">
        <v>895</v>
      </c>
    </row>
    <row r="1874" spans="1:27" ht="14.4" hidden="1" customHeight="1" x14ac:dyDescent="0.3">
      <c r="A1874" s="4" t="s">
        <v>279</v>
      </c>
      <c r="B1874" s="4" t="s">
        <v>17</v>
      </c>
      <c r="C1874" s="16" t="s">
        <v>18</v>
      </c>
      <c r="D1874" s="4">
        <v>11</v>
      </c>
      <c r="E1874" s="4" t="s">
        <v>745</v>
      </c>
      <c r="F1874" t="s">
        <v>584</v>
      </c>
      <c r="G1874" t="s">
        <v>368</v>
      </c>
      <c r="J1874" s="4" t="s">
        <v>88</v>
      </c>
      <c r="K1874" s="4" t="s">
        <v>20</v>
      </c>
      <c r="L1874" s="4" t="s">
        <v>742</v>
      </c>
      <c r="M1874" s="17">
        <v>30</v>
      </c>
      <c r="N1874" s="17">
        <v>668</v>
      </c>
      <c r="O1874" s="18" t="s">
        <v>88</v>
      </c>
      <c r="P1874" s="18">
        <v>668</v>
      </c>
      <c r="Q1874" s="18">
        <v>30</v>
      </c>
      <c r="R1874" s="18" t="s">
        <v>778</v>
      </c>
      <c r="S1874" s="18" t="s">
        <v>842</v>
      </c>
      <c r="T1874" s="18" t="s">
        <v>840</v>
      </c>
      <c r="U18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74" s="19">
        <f>IF(AUDITORIA[[#This Row],[CAT]]="",0,1)</f>
        <v>1</v>
      </c>
      <c r="W1874" s="20">
        <v>46198</v>
      </c>
      <c r="X1874" s="21" t="str">
        <f>UPPER(IF(AUDITORIA[[#This Row],[DATA VERIFICAÇÃO]]="","",TEXT(AUDITORIA[[#This Row],[DATA VERIFICAÇÃO]],"mmm")))</f>
        <v>JUN</v>
      </c>
      <c r="Y1874" t="s">
        <v>598</v>
      </c>
      <c r="Z1874" t="s">
        <v>894</v>
      </c>
      <c r="AA1874" t="s">
        <v>895</v>
      </c>
    </row>
    <row r="1875" spans="1:27" ht="14.4" hidden="1" customHeight="1" x14ac:dyDescent="0.3">
      <c r="A1875" s="4" t="s">
        <v>279</v>
      </c>
      <c r="B1875" s="4" t="s">
        <v>17</v>
      </c>
      <c r="C1875" s="16" t="s">
        <v>18</v>
      </c>
      <c r="D1875" s="4">
        <v>11</v>
      </c>
      <c r="E1875" s="4" t="s">
        <v>745</v>
      </c>
      <c r="F1875" t="s">
        <v>589</v>
      </c>
      <c r="G1875" t="s">
        <v>368</v>
      </c>
      <c r="J1875" s="4" t="s">
        <v>88</v>
      </c>
      <c r="K1875" s="4" t="s">
        <v>20</v>
      </c>
      <c r="L1875" s="4" t="s">
        <v>742</v>
      </c>
      <c r="M1875" s="17">
        <v>30</v>
      </c>
      <c r="N1875" s="17">
        <v>673</v>
      </c>
      <c r="O1875" s="18" t="s">
        <v>88</v>
      </c>
      <c r="P1875" s="18">
        <v>673</v>
      </c>
      <c r="Q1875" s="18">
        <v>30</v>
      </c>
      <c r="R1875" s="18" t="s">
        <v>778</v>
      </c>
      <c r="S1875" s="18" t="s">
        <v>842</v>
      </c>
      <c r="T1875" s="18" t="s">
        <v>794</v>
      </c>
      <c r="U18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75" s="19">
        <f>IF(AUDITORIA[[#This Row],[CAT]]="",0,1)</f>
        <v>1</v>
      </c>
      <c r="W1875" s="20">
        <v>46198</v>
      </c>
      <c r="X1875" s="21" t="str">
        <f>UPPER(IF(AUDITORIA[[#This Row],[DATA VERIFICAÇÃO]]="","",TEXT(AUDITORIA[[#This Row],[DATA VERIFICAÇÃO]],"mmm")))</f>
        <v>JUN</v>
      </c>
      <c r="Y1875" t="s">
        <v>598</v>
      </c>
      <c r="Z1875" t="s">
        <v>894</v>
      </c>
      <c r="AA1875" t="s">
        <v>895</v>
      </c>
    </row>
    <row r="1876" spans="1:27" ht="14.4" hidden="1" customHeight="1" x14ac:dyDescent="0.3">
      <c r="A1876" s="4" t="s">
        <v>279</v>
      </c>
      <c r="B1876" s="4" t="s">
        <v>17</v>
      </c>
      <c r="C1876" s="16" t="s">
        <v>18</v>
      </c>
      <c r="D1876" s="4">
        <v>11</v>
      </c>
      <c r="E1876" s="4" t="s">
        <v>745</v>
      </c>
      <c r="F1876" t="s">
        <v>587</v>
      </c>
      <c r="G1876" t="s">
        <v>368</v>
      </c>
      <c r="J1876" s="4" t="s">
        <v>88</v>
      </c>
      <c r="K1876" s="4" t="s">
        <v>20</v>
      </c>
      <c r="L1876" s="4" t="s">
        <v>742</v>
      </c>
      <c r="M1876" s="17">
        <v>30</v>
      </c>
      <c r="N1876" s="17">
        <v>669</v>
      </c>
      <c r="O1876" s="18" t="s">
        <v>88</v>
      </c>
      <c r="P1876" s="18">
        <v>669</v>
      </c>
      <c r="Q1876" s="18">
        <v>30</v>
      </c>
      <c r="R1876" s="18" t="s">
        <v>778</v>
      </c>
      <c r="S1876" s="18" t="s">
        <v>842</v>
      </c>
      <c r="T1876" s="18" t="s">
        <v>782</v>
      </c>
      <c r="U18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76" s="19">
        <f>IF(AUDITORIA[[#This Row],[CAT]]="",0,1)</f>
        <v>1</v>
      </c>
      <c r="W1876" s="20">
        <v>46198</v>
      </c>
      <c r="X1876" s="21" t="str">
        <f>UPPER(IF(AUDITORIA[[#This Row],[DATA VERIFICAÇÃO]]="","",TEXT(AUDITORIA[[#This Row],[DATA VERIFICAÇÃO]],"mmm")))</f>
        <v>JUN</v>
      </c>
      <c r="Y1876" t="s">
        <v>598</v>
      </c>
      <c r="Z1876" t="s">
        <v>894</v>
      </c>
      <c r="AA1876" t="s">
        <v>895</v>
      </c>
    </row>
    <row r="1877" spans="1:27" ht="14.4" hidden="1" customHeight="1" x14ac:dyDescent="0.3">
      <c r="A1877" s="4" t="s">
        <v>279</v>
      </c>
      <c r="B1877" s="4" t="s">
        <v>17</v>
      </c>
      <c r="C1877" s="16" t="s">
        <v>18</v>
      </c>
      <c r="D1877" s="4">
        <v>11</v>
      </c>
      <c r="E1877" s="4" t="s">
        <v>745</v>
      </c>
      <c r="F1877" t="s">
        <v>591</v>
      </c>
      <c r="G1877" t="s">
        <v>368</v>
      </c>
      <c r="J1877" s="4" t="s">
        <v>88</v>
      </c>
      <c r="K1877" s="4" t="s">
        <v>20</v>
      </c>
      <c r="L1877" s="4" t="s">
        <v>742</v>
      </c>
      <c r="M1877" s="17">
        <v>30</v>
      </c>
      <c r="N1877" s="17">
        <v>676</v>
      </c>
      <c r="O1877" s="18" t="s">
        <v>88</v>
      </c>
      <c r="P1877" s="18">
        <v>676</v>
      </c>
      <c r="Q1877" s="18">
        <v>30</v>
      </c>
      <c r="R1877" s="18" t="s">
        <v>778</v>
      </c>
      <c r="S1877" s="18" t="s">
        <v>842</v>
      </c>
      <c r="T1877" s="18" t="s">
        <v>781</v>
      </c>
      <c r="U18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77" s="19">
        <f>IF(AUDITORIA[[#This Row],[CAT]]="",0,1)</f>
        <v>1</v>
      </c>
      <c r="W1877" s="20">
        <v>46198</v>
      </c>
      <c r="X1877" s="21" t="str">
        <f>UPPER(IF(AUDITORIA[[#This Row],[DATA VERIFICAÇÃO]]="","",TEXT(AUDITORIA[[#This Row],[DATA VERIFICAÇÃO]],"mmm")))</f>
        <v>JUN</v>
      </c>
      <c r="Y1877" t="s">
        <v>598</v>
      </c>
      <c r="Z1877" t="s">
        <v>894</v>
      </c>
      <c r="AA1877" t="s">
        <v>895</v>
      </c>
    </row>
    <row r="1878" spans="1:27" ht="14.4" hidden="1" customHeight="1" x14ac:dyDescent="0.3">
      <c r="A1878" s="4" t="s">
        <v>279</v>
      </c>
      <c r="B1878" s="4" t="s">
        <v>17</v>
      </c>
      <c r="C1878" s="16" t="s">
        <v>18</v>
      </c>
      <c r="D1878" s="4">
        <v>11</v>
      </c>
      <c r="E1878" s="4" t="s">
        <v>745</v>
      </c>
      <c r="F1878" t="s">
        <v>592</v>
      </c>
      <c r="G1878" t="s">
        <v>368</v>
      </c>
      <c r="J1878" s="4" t="s">
        <v>88</v>
      </c>
      <c r="K1878" s="4" t="s">
        <v>20</v>
      </c>
      <c r="L1878" s="4" t="s">
        <v>742</v>
      </c>
      <c r="M1878" s="17">
        <v>30</v>
      </c>
      <c r="N1878" s="17">
        <v>667</v>
      </c>
      <c r="O1878" s="18" t="s">
        <v>88</v>
      </c>
      <c r="P1878" s="18">
        <v>667</v>
      </c>
      <c r="Q1878" s="18">
        <v>30</v>
      </c>
      <c r="R1878" s="18" t="s">
        <v>778</v>
      </c>
      <c r="S1878" s="18" t="s">
        <v>842</v>
      </c>
      <c r="T1878" s="18" t="s">
        <v>780</v>
      </c>
      <c r="U18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78" s="19">
        <f>IF(AUDITORIA[[#This Row],[CAT]]="",0,1)</f>
        <v>1</v>
      </c>
      <c r="W1878" s="20">
        <v>46198</v>
      </c>
      <c r="X1878" s="21" t="str">
        <f>UPPER(IF(AUDITORIA[[#This Row],[DATA VERIFICAÇÃO]]="","",TEXT(AUDITORIA[[#This Row],[DATA VERIFICAÇÃO]],"mmm")))</f>
        <v>JUN</v>
      </c>
      <c r="Y1878" t="s">
        <v>598</v>
      </c>
      <c r="Z1878" t="s">
        <v>894</v>
      </c>
      <c r="AA1878" t="s">
        <v>895</v>
      </c>
    </row>
    <row r="1879" spans="1:27" ht="14.4" hidden="1" customHeight="1" x14ac:dyDescent="0.3">
      <c r="A1879" s="4" t="s">
        <v>279</v>
      </c>
      <c r="B1879" s="4" t="s">
        <v>17</v>
      </c>
      <c r="C1879" s="16" t="s">
        <v>18</v>
      </c>
      <c r="D1879" s="4">
        <v>11</v>
      </c>
      <c r="E1879" s="4" t="s">
        <v>745</v>
      </c>
      <c r="F1879" t="s">
        <v>497</v>
      </c>
      <c r="G1879" t="s">
        <v>368</v>
      </c>
      <c r="J1879" s="4" t="s">
        <v>88</v>
      </c>
      <c r="K1879" s="4" t="s">
        <v>20</v>
      </c>
      <c r="L1879" s="4" t="s">
        <v>742</v>
      </c>
      <c r="M1879" s="17">
        <v>30</v>
      </c>
      <c r="N1879" s="17">
        <v>680</v>
      </c>
      <c r="O1879" s="18" t="s">
        <v>88</v>
      </c>
      <c r="P1879" s="18">
        <v>680</v>
      </c>
      <c r="Q1879" s="18">
        <v>30</v>
      </c>
      <c r="R1879" s="18" t="s">
        <v>778</v>
      </c>
      <c r="S1879" s="18" t="s">
        <v>846</v>
      </c>
      <c r="T1879" s="18" t="s">
        <v>840</v>
      </c>
      <c r="U18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79" s="19">
        <f>IF(AUDITORIA[[#This Row],[CAT]]="",0,1)</f>
        <v>1</v>
      </c>
      <c r="W1879" s="20">
        <v>46198</v>
      </c>
      <c r="X1879" s="21" t="str">
        <f>UPPER(IF(AUDITORIA[[#This Row],[DATA VERIFICAÇÃO]]="","",TEXT(AUDITORIA[[#This Row],[DATA VERIFICAÇÃO]],"mmm")))</f>
        <v>JUN</v>
      </c>
      <c r="Y1879" t="s">
        <v>598</v>
      </c>
      <c r="Z1879" t="s">
        <v>894</v>
      </c>
      <c r="AA1879" t="s">
        <v>895</v>
      </c>
    </row>
    <row r="1880" spans="1:27" ht="14.4" hidden="1" customHeight="1" x14ac:dyDescent="0.3">
      <c r="A1880" s="4" t="s">
        <v>279</v>
      </c>
      <c r="B1880" s="4" t="s">
        <v>17</v>
      </c>
      <c r="C1880" s="16" t="s">
        <v>18</v>
      </c>
      <c r="D1880" s="4">
        <v>11</v>
      </c>
      <c r="E1880" s="4" t="s">
        <v>745</v>
      </c>
      <c r="F1880" t="s">
        <v>593</v>
      </c>
      <c r="G1880" t="s">
        <v>368</v>
      </c>
      <c r="J1880" s="4" t="s">
        <v>88</v>
      </c>
      <c r="K1880" s="4" t="s">
        <v>20</v>
      </c>
      <c r="L1880" s="4" t="s">
        <v>742</v>
      </c>
      <c r="M1880" s="17">
        <v>30</v>
      </c>
      <c r="N1880" s="17">
        <v>703</v>
      </c>
      <c r="O1880" s="18" t="s">
        <v>88</v>
      </c>
      <c r="P1880" s="18">
        <v>703</v>
      </c>
      <c r="Q1880" s="18">
        <v>30</v>
      </c>
      <c r="R1880" s="18" t="s">
        <v>778</v>
      </c>
      <c r="S1880" s="18" t="s">
        <v>846</v>
      </c>
      <c r="T1880" s="18" t="s">
        <v>794</v>
      </c>
      <c r="U18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80" s="19">
        <f>IF(AUDITORIA[[#This Row],[CAT]]="",0,1)</f>
        <v>1</v>
      </c>
      <c r="W1880" s="20">
        <v>46198</v>
      </c>
      <c r="X1880" s="21" t="str">
        <f>UPPER(IF(AUDITORIA[[#This Row],[DATA VERIFICAÇÃO]]="","",TEXT(AUDITORIA[[#This Row],[DATA VERIFICAÇÃO]],"mmm")))</f>
        <v>JUN</v>
      </c>
      <c r="Y1880" t="s">
        <v>598</v>
      </c>
      <c r="Z1880" t="s">
        <v>894</v>
      </c>
      <c r="AA1880" t="s">
        <v>895</v>
      </c>
    </row>
    <row r="1881" spans="1:27" ht="14.4" hidden="1" customHeight="1" x14ac:dyDescent="0.3">
      <c r="A1881" s="4" t="s">
        <v>279</v>
      </c>
      <c r="B1881" s="4" t="s">
        <v>17</v>
      </c>
      <c r="C1881" s="16" t="s">
        <v>18</v>
      </c>
      <c r="D1881" s="4">
        <v>11</v>
      </c>
      <c r="E1881" s="4" t="s">
        <v>745</v>
      </c>
      <c r="F1881" t="s">
        <v>594</v>
      </c>
      <c r="G1881" t="s">
        <v>368</v>
      </c>
      <c r="J1881" s="4" t="s">
        <v>88</v>
      </c>
      <c r="K1881" s="4" t="s">
        <v>20</v>
      </c>
      <c r="L1881" s="4" t="s">
        <v>742</v>
      </c>
      <c r="M1881" s="17">
        <v>11</v>
      </c>
      <c r="N1881" s="17">
        <v>702</v>
      </c>
      <c r="O1881" s="18" t="s">
        <v>88</v>
      </c>
      <c r="P1881" s="18">
        <v>702</v>
      </c>
      <c r="Q1881" s="18">
        <v>11</v>
      </c>
      <c r="R1881" s="18" t="s">
        <v>778</v>
      </c>
      <c r="S1881" s="18" t="s">
        <v>846</v>
      </c>
      <c r="T1881" s="18" t="s">
        <v>782</v>
      </c>
      <c r="U18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81" s="19">
        <f>IF(AUDITORIA[[#This Row],[CAT]]="",0,1)</f>
        <v>1</v>
      </c>
      <c r="W1881" s="20">
        <v>46198</v>
      </c>
      <c r="X1881" s="21" t="str">
        <f>UPPER(IF(AUDITORIA[[#This Row],[DATA VERIFICAÇÃO]]="","",TEXT(AUDITORIA[[#This Row],[DATA VERIFICAÇÃO]],"mmm")))</f>
        <v>JUN</v>
      </c>
      <c r="Y1881" t="s">
        <v>598</v>
      </c>
      <c r="Z1881" t="s">
        <v>894</v>
      </c>
      <c r="AA1881" t="s">
        <v>895</v>
      </c>
    </row>
    <row r="1882" spans="1:27" ht="14.4" hidden="1" customHeight="1" x14ac:dyDescent="0.3">
      <c r="A1882" s="4" t="s">
        <v>279</v>
      </c>
      <c r="B1882" s="4" t="s">
        <v>17</v>
      </c>
      <c r="C1882" s="16" t="s">
        <v>18</v>
      </c>
      <c r="D1882" s="4">
        <v>11</v>
      </c>
      <c r="E1882" s="4" t="s">
        <v>745</v>
      </c>
      <c r="F1882" t="s">
        <v>582</v>
      </c>
      <c r="G1882" t="s">
        <v>368</v>
      </c>
      <c r="J1882" s="4" t="s">
        <v>88</v>
      </c>
      <c r="K1882" s="4" t="s">
        <v>21</v>
      </c>
      <c r="L1882" s="4" t="s">
        <v>742</v>
      </c>
      <c r="M1882" s="17">
        <v>30</v>
      </c>
      <c r="N1882" s="17">
        <v>884</v>
      </c>
      <c r="O1882" s="18" t="s">
        <v>88</v>
      </c>
      <c r="P1882" s="18">
        <v>884</v>
      </c>
      <c r="Q1882" s="18">
        <v>30</v>
      </c>
      <c r="R1882" s="18" t="s">
        <v>778</v>
      </c>
      <c r="S1882" s="18" t="s">
        <v>845</v>
      </c>
      <c r="T1882" s="18" t="s">
        <v>844</v>
      </c>
      <c r="U18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82" s="19">
        <f>IF(AUDITORIA[[#This Row],[CAT]]="",0,1)</f>
        <v>1</v>
      </c>
      <c r="W1882" s="20">
        <v>46198</v>
      </c>
      <c r="X1882" s="21" t="str">
        <f>UPPER(IF(AUDITORIA[[#This Row],[DATA VERIFICAÇÃO]]="","",TEXT(AUDITORIA[[#This Row],[DATA VERIFICAÇÃO]],"mmm")))</f>
        <v>JUN</v>
      </c>
      <c r="Y1882" t="s">
        <v>598</v>
      </c>
      <c r="Z1882" t="s">
        <v>894</v>
      </c>
      <c r="AA1882" t="s">
        <v>895</v>
      </c>
    </row>
    <row r="1883" spans="1:27" ht="14.4" hidden="1" customHeight="1" x14ac:dyDescent="0.3">
      <c r="A1883" s="4" t="s">
        <v>279</v>
      </c>
      <c r="B1883" s="4" t="s">
        <v>17</v>
      </c>
      <c r="C1883" s="16" t="s">
        <v>18</v>
      </c>
      <c r="D1883" s="4">
        <v>11</v>
      </c>
      <c r="E1883" s="4" t="s">
        <v>745</v>
      </c>
      <c r="F1883" t="s">
        <v>585</v>
      </c>
      <c r="G1883" t="s">
        <v>368</v>
      </c>
      <c r="J1883" s="4" t="s">
        <v>88</v>
      </c>
      <c r="K1883" s="4" t="s">
        <v>21</v>
      </c>
      <c r="L1883" s="4" t="s">
        <v>742</v>
      </c>
      <c r="M1883" s="17">
        <v>30</v>
      </c>
      <c r="N1883" s="17">
        <v>859</v>
      </c>
      <c r="O1883" s="18" t="s">
        <v>88</v>
      </c>
      <c r="P1883" s="18">
        <v>859</v>
      </c>
      <c r="Q1883" s="18">
        <v>30</v>
      </c>
      <c r="R1883" s="18" t="s">
        <v>778</v>
      </c>
      <c r="S1883" s="18" t="s">
        <v>845</v>
      </c>
      <c r="T1883" s="18" t="s">
        <v>843</v>
      </c>
      <c r="U18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83" s="19">
        <f>IF(AUDITORIA[[#This Row],[CAT]]="",0,1)</f>
        <v>1</v>
      </c>
      <c r="W1883" s="20">
        <v>46198</v>
      </c>
      <c r="X1883" s="21" t="str">
        <f>UPPER(IF(AUDITORIA[[#This Row],[DATA VERIFICAÇÃO]]="","",TEXT(AUDITORIA[[#This Row],[DATA VERIFICAÇÃO]],"mmm")))</f>
        <v>JUN</v>
      </c>
      <c r="Y1883" t="s">
        <v>598</v>
      </c>
      <c r="Z1883" t="s">
        <v>894</v>
      </c>
      <c r="AA1883" t="s">
        <v>895</v>
      </c>
    </row>
    <row r="1884" spans="1:27" ht="14.4" hidden="1" customHeight="1" x14ac:dyDescent="0.3">
      <c r="A1884" s="4" t="s">
        <v>279</v>
      </c>
      <c r="B1884" s="4" t="s">
        <v>17</v>
      </c>
      <c r="C1884" s="16" t="s">
        <v>18</v>
      </c>
      <c r="D1884" s="4">
        <v>11</v>
      </c>
      <c r="E1884" s="4" t="s">
        <v>745</v>
      </c>
      <c r="F1884" t="s">
        <v>588</v>
      </c>
      <c r="G1884" t="s">
        <v>368</v>
      </c>
      <c r="J1884" s="4" t="s">
        <v>88</v>
      </c>
      <c r="K1884" s="4" t="s">
        <v>21</v>
      </c>
      <c r="L1884" s="4" t="s">
        <v>742</v>
      </c>
      <c r="M1884" s="17">
        <v>30</v>
      </c>
      <c r="N1884" s="17">
        <v>868</v>
      </c>
      <c r="O1884" s="18" t="s">
        <v>88</v>
      </c>
      <c r="P1884" s="18">
        <v>868</v>
      </c>
      <c r="Q1884" s="18">
        <v>30</v>
      </c>
      <c r="R1884" s="18" t="s">
        <v>778</v>
      </c>
      <c r="S1884" s="18" t="s">
        <v>845</v>
      </c>
      <c r="T1884" s="18" t="s">
        <v>794</v>
      </c>
      <c r="U18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84" s="19">
        <f>IF(AUDITORIA[[#This Row],[CAT]]="",0,1)</f>
        <v>1</v>
      </c>
      <c r="W1884" s="20">
        <v>46198</v>
      </c>
      <c r="X1884" s="21" t="str">
        <f>UPPER(IF(AUDITORIA[[#This Row],[DATA VERIFICAÇÃO]]="","",TEXT(AUDITORIA[[#This Row],[DATA VERIFICAÇÃO]],"mmm")))</f>
        <v>JUN</v>
      </c>
      <c r="Y1884" t="s">
        <v>598</v>
      </c>
      <c r="Z1884" t="s">
        <v>894</v>
      </c>
      <c r="AA1884" t="s">
        <v>895</v>
      </c>
    </row>
    <row r="1885" spans="1:27" ht="14.4" hidden="1" customHeight="1" x14ac:dyDescent="0.3">
      <c r="A1885" s="4" t="s">
        <v>279</v>
      </c>
      <c r="B1885" s="4" t="s">
        <v>17</v>
      </c>
      <c r="C1885" s="16" t="s">
        <v>18</v>
      </c>
      <c r="D1885" s="4">
        <v>11</v>
      </c>
      <c r="E1885" s="4" t="s">
        <v>745</v>
      </c>
      <c r="F1885" t="s">
        <v>586</v>
      </c>
      <c r="G1885" t="s">
        <v>368</v>
      </c>
      <c r="J1885" s="4" t="s">
        <v>88</v>
      </c>
      <c r="K1885" s="4" t="s">
        <v>21</v>
      </c>
      <c r="L1885" s="4" t="s">
        <v>742</v>
      </c>
      <c r="M1885" s="17">
        <v>30</v>
      </c>
      <c r="N1885" s="17">
        <v>861</v>
      </c>
      <c r="O1885" s="18" t="s">
        <v>88</v>
      </c>
      <c r="P1885" s="18">
        <v>861</v>
      </c>
      <c r="Q1885" s="18">
        <v>30</v>
      </c>
      <c r="R1885" s="18" t="s">
        <v>778</v>
      </c>
      <c r="S1885" s="18" t="s">
        <v>845</v>
      </c>
      <c r="T1885" s="18" t="s">
        <v>840</v>
      </c>
      <c r="U18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85" s="19">
        <f>IF(AUDITORIA[[#This Row],[CAT]]="",0,1)</f>
        <v>1</v>
      </c>
      <c r="W1885" s="20">
        <v>46198</v>
      </c>
      <c r="X1885" s="21" t="str">
        <f>UPPER(IF(AUDITORIA[[#This Row],[DATA VERIFICAÇÃO]]="","",TEXT(AUDITORIA[[#This Row],[DATA VERIFICAÇÃO]],"mmm")))</f>
        <v>JUN</v>
      </c>
      <c r="Y1885" t="s">
        <v>598</v>
      </c>
      <c r="Z1885" t="s">
        <v>894</v>
      </c>
      <c r="AA1885" t="s">
        <v>895</v>
      </c>
    </row>
    <row r="1886" spans="1:27" ht="14.4" hidden="1" customHeight="1" x14ac:dyDescent="0.3">
      <c r="A1886" s="4" t="s">
        <v>279</v>
      </c>
      <c r="B1886" s="4" t="s">
        <v>17</v>
      </c>
      <c r="C1886" s="16" t="s">
        <v>18</v>
      </c>
      <c r="D1886" s="4">
        <v>11</v>
      </c>
      <c r="E1886" s="4" t="s">
        <v>745</v>
      </c>
      <c r="F1886" t="s">
        <v>590</v>
      </c>
      <c r="G1886" t="s">
        <v>368</v>
      </c>
      <c r="J1886" s="4" t="s">
        <v>88</v>
      </c>
      <c r="K1886" s="4" t="s">
        <v>21</v>
      </c>
      <c r="L1886" s="4" t="s">
        <v>742</v>
      </c>
      <c r="M1886" s="17">
        <v>30</v>
      </c>
      <c r="N1886" s="17">
        <v>869</v>
      </c>
      <c r="O1886" s="18" t="s">
        <v>88</v>
      </c>
      <c r="P1886" s="18">
        <v>869</v>
      </c>
      <c r="Q1886" s="18">
        <v>30</v>
      </c>
      <c r="R1886" s="18" t="s">
        <v>778</v>
      </c>
      <c r="S1886" s="18" t="s">
        <v>845</v>
      </c>
      <c r="T1886" s="18" t="s">
        <v>782</v>
      </c>
      <c r="U18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86" s="19">
        <f>IF(AUDITORIA[[#This Row],[CAT]]="",0,1)</f>
        <v>1</v>
      </c>
      <c r="W1886" s="20">
        <v>46198</v>
      </c>
      <c r="X1886" s="21" t="str">
        <f>UPPER(IF(AUDITORIA[[#This Row],[DATA VERIFICAÇÃO]]="","",TEXT(AUDITORIA[[#This Row],[DATA VERIFICAÇÃO]],"mmm")))</f>
        <v>JUN</v>
      </c>
      <c r="Y1886" t="s">
        <v>598</v>
      </c>
      <c r="Z1886" t="s">
        <v>894</v>
      </c>
      <c r="AA1886" t="s">
        <v>895</v>
      </c>
    </row>
    <row r="1887" spans="1:27" ht="14.4" hidden="1" customHeight="1" x14ac:dyDescent="0.3">
      <c r="A1887" s="4" t="s">
        <v>279</v>
      </c>
      <c r="B1887" s="4" t="s">
        <v>17</v>
      </c>
      <c r="C1887" s="16" t="s">
        <v>18</v>
      </c>
      <c r="D1887" s="4">
        <v>11</v>
      </c>
      <c r="E1887" s="4" t="s">
        <v>745</v>
      </c>
      <c r="F1887" t="s">
        <v>496</v>
      </c>
      <c r="G1887" t="s">
        <v>368</v>
      </c>
      <c r="J1887" s="4" t="s">
        <v>88</v>
      </c>
      <c r="K1887" s="4" t="s">
        <v>21</v>
      </c>
      <c r="L1887" s="4" t="s">
        <v>742</v>
      </c>
      <c r="M1887" s="17">
        <v>30</v>
      </c>
      <c r="N1887" s="17">
        <v>880</v>
      </c>
      <c r="O1887" s="18" t="s">
        <v>88</v>
      </c>
      <c r="P1887" s="18">
        <v>880</v>
      </c>
      <c r="Q1887" s="18">
        <v>30</v>
      </c>
      <c r="R1887" s="18" t="s">
        <v>778</v>
      </c>
      <c r="S1887" s="18" t="s">
        <v>845</v>
      </c>
      <c r="T1887" s="18" t="s">
        <v>780</v>
      </c>
      <c r="U18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87" s="19">
        <f>IF(AUDITORIA[[#This Row],[CAT]]="",0,1)</f>
        <v>1</v>
      </c>
      <c r="W1887" s="20">
        <v>46198</v>
      </c>
      <c r="X1887" s="21" t="str">
        <f>UPPER(IF(AUDITORIA[[#This Row],[DATA VERIFICAÇÃO]]="","",TEXT(AUDITORIA[[#This Row],[DATA VERIFICAÇÃO]],"mmm")))</f>
        <v>JUN</v>
      </c>
      <c r="Y1887" t="s">
        <v>598</v>
      </c>
      <c r="Z1887" t="s">
        <v>894</v>
      </c>
      <c r="AA1887" t="s">
        <v>895</v>
      </c>
    </row>
    <row r="1888" spans="1:27" ht="14.4" hidden="1" customHeight="1" x14ac:dyDescent="0.3">
      <c r="A1888" s="4" t="s">
        <v>279</v>
      </c>
      <c r="B1888" s="4" t="s">
        <v>17</v>
      </c>
      <c r="C1888" s="16" t="s">
        <v>18</v>
      </c>
      <c r="D1888" s="4">
        <v>11</v>
      </c>
      <c r="E1888" s="4" t="s">
        <v>745</v>
      </c>
      <c r="F1888" t="s">
        <v>596</v>
      </c>
      <c r="G1888" t="s">
        <v>368</v>
      </c>
      <c r="J1888" s="4" t="s">
        <v>88</v>
      </c>
      <c r="K1888" s="4" t="s">
        <v>21</v>
      </c>
      <c r="L1888" s="4" t="s">
        <v>742</v>
      </c>
      <c r="M1888" s="17">
        <v>30</v>
      </c>
      <c r="N1888" s="17">
        <v>884</v>
      </c>
      <c r="O1888" s="18" t="s">
        <v>88</v>
      </c>
      <c r="P1888" s="18">
        <v>884</v>
      </c>
      <c r="Q1888" s="18">
        <v>30</v>
      </c>
      <c r="R1888" s="18" t="s">
        <v>778</v>
      </c>
      <c r="S1888" s="18" t="s">
        <v>845</v>
      </c>
      <c r="T1888" s="18" t="s">
        <v>781</v>
      </c>
      <c r="U18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88" s="19">
        <f>IF(AUDITORIA[[#This Row],[CAT]]="",0,1)</f>
        <v>1</v>
      </c>
      <c r="W1888" s="20">
        <v>46198</v>
      </c>
      <c r="X1888" s="21" t="str">
        <f>UPPER(IF(AUDITORIA[[#This Row],[DATA VERIFICAÇÃO]]="","",TEXT(AUDITORIA[[#This Row],[DATA VERIFICAÇÃO]],"mmm")))</f>
        <v>JUN</v>
      </c>
      <c r="Y1888" t="s">
        <v>598</v>
      </c>
      <c r="Z1888" t="s">
        <v>894</v>
      </c>
      <c r="AA1888" t="s">
        <v>895</v>
      </c>
    </row>
    <row r="1889" spans="1:27" ht="14.4" hidden="1" customHeight="1" x14ac:dyDescent="0.3">
      <c r="A1889" s="4" t="s">
        <v>279</v>
      </c>
      <c r="B1889" s="4" t="s">
        <v>17</v>
      </c>
      <c r="C1889" s="16" t="s">
        <v>18</v>
      </c>
      <c r="D1889" s="4">
        <v>11</v>
      </c>
      <c r="E1889" s="4" t="s">
        <v>745</v>
      </c>
      <c r="F1889" t="s">
        <v>595</v>
      </c>
      <c r="G1889" t="s">
        <v>368</v>
      </c>
      <c r="J1889" s="4" t="s">
        <v>88</v>
      </c>
      <c r="K1889" s="4" t="s">
        <v>21</v>
      </c>
      <c r="L1889" s="4" t="s">
        <v>742</v>
      </c>
      <c r="M1889" s="17">
        <v>21</v>
      </c>
      <c r="N1889" s="17">
        <v>884</v>
      </c>
      <c r="O1889" s="18" t="s">
        <v>88</v>
      </c>
      <c r="P1889" s="18">
        <v>884</v>
      </c>
      <c r="Q1889" s="18">
        <v>21</v>
      </c>
      <c r="R1889" s="18" t="s">
        <v>778</v>
      </c>
      <c r="S1889" s="18" t="s">
        <v>846</v>
      </c>
      <c r="T1889" s="18" t="s">
        <v>781</v>
      </c>
      <c r="U18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89" s="19">
        <f>IF(AUDITORIA[[#This Row],[CAT]]="",0,1)</f>
        <v>1</v>
      </c>
      <c r="W1889" s="20">
        <v>46198</v>
      </c>
      <c r="X1889" s="21" t="str">
        <f>UPPER(IF(AUDITORIA[[#This Row],[DATA VERIFICAÇÃO]]="","",TEXT(AUDITORIA[[#This Row],[DATA VERIFICAÇÃO]],"mmm")))</f>
        <v>JUN</v>
      </c>
      <c r="Y1889" t="s">
        <v>598</v>
      </c>
      <c r="Z1889" t="s">
        <v>894</v>
      </c>
      <c r="AA1889" t="s">
        <v>895</v>
      </c>
    </row>
    <row r="1890" spans="1:27" ht="14.4" hidden="1" customHeight="1" x14ac:dyDescent="0.3">
      <c r="A1890" s="4" t="s">
        <v>0</v>
      </c>
      <c r="B1890" s="4" t="s">
        <v>17</v>
      </c>
      <c r="C1890" s="16" t="s">
        <v>18</v>
      </c>
      <c r="D1890" s="4">
        <v>10</v>
      </c>
      <c r="E1890" s="4" t="s">
        <v>746</v>
      </c>
      <c r="F1890" t="s">
        <v>695</v>
      </c>
      <c r="G1890" t="s">
        <v>726</v>
      </c>
      <c r="J1890" s="4" t="s">
        <v>55</v>
      </c>
      <c r="L1890" s="4" t="s">
        <v>743</v>
      </c>
      <c r="M1890" s="17">
        <v>1</v>
      </c>
      <c r="N1890" s="17"/>
      <c r="O1890" s="18" t="str">
        <f>AUDITORIA[[#This Row],[CAT]]</f>
        <v>S1</v>
      </c>
      <c r="P1890" s="18"/>
      <c r="Q1890" s="18">
        <v>2</v>
      </c>
      <c r="R1890" s="18" t="s">
        <v>778</v>
      </c>
      <c r="S1890" s="18"/>
      <c r="T1890" s="18"/>
      <c r="U1890" s="19" t="str">
        <f>IF(AUDITORIA[[#This Row],[QTD FÍSICA]]="","",IF(AND(AUDITORIA[[#This Row],[CAT]]=AUDITORIA[[#This Row],[CAT. FÍS.]],AUDITORIA[[#This Row],[QTD FÍSICA]]=AUDITORIA[[#This Row],[QTD SISTEMA]]),"SIM","NÃO"))</f>
        <v>NÃO</v>
      </c>
      <c r="V1890" s="19">
        <f>IF(AUDITORIA[[#This Row],[CAT]]="",0,1)</f>
        <v>1</v>
      </c>
      <c r="W1890" s="20">
        <v>46197</v>
      </c>
      <c r="X1890" s="21" t="str">
        <f>UPPER(IF(AUDITORIA[[#This Row],[DATA VERIFICAÇÃO]]="","",TEXT(AUDITORIA[[#This Row],[DATA VERIFICAÇÃO]],"mmm")))</f>
        <v>JUN</v>
      </c>
    </row>
    <row r="1891" spans="1:27" ht="14.4" hidden="1" customHeight="1" x14ac:dyDescent="0.3">
      <c r="A1891" s="4" t="s">
        <v>0</v>
      </c>
      <c r="B1891" s="4" t="s">
        <v>17</v>
      </c>
      <c r="C1891" s="16" t="s">
        <v>18</v>
      </c>
      <c r="D1891" s="4">
        <v>10</v>
      </c>
      <c r="E1891" s="4" t="s">
        <v>746</v>
      </c>
      <c r="F1891" t="s">
        <v>704</v>
      </c>
      <c r="G1891" t="s">
        <v>726</v>
      </c>
      <c r="J1891" s="4" t="s">
        <v>55</v>
      </c>
      <c r="K1891" s="4" t="s">
        <v>733</v>
      </c>
      <c r="L1891" s="4" t="s">
        <v>743</v>
      </c>
      <c r="M1891" s="17">
        <v>61</v>
      </c>
      <c r="N1891" s="17"/>
      <c r="O1891" s="18" t="str">
        <f>AUDITORIA[[#This Row],[CAT]]</f>
        <v>S1</v>
      </c>
      <c r="P1891" s="18"/>
      <c r="Q1891" s="18">
        <v>55</v>
      </c>
      <c r="R1891" s="18" t="s">
        <v>778</v>
      </c>
      <c r="S1891" s="18"/>
      <c r="T1891" s="18"/>
      <c r="U1891" s="19" t="str">
        <f>IF(AUDITORIA[[#This Row],[QTD FÍSICA]]="","",IF(AND(AUDITORIA[[#This Row],[CAT]]=AUDITORIA[[#This Row],[CAT. FÍS.]],AUDITORIA[[#This Row],[QTD FÍSICA]]=AUDITORIA[[#This Row],[QTD SISTEMA]]),"SIM","NÃO"))</f>
        <v>NÃO</v>
      </c>
      <c r="V1891" s="19">
        <f>IF(AUDITORIA[[#This Row],[CAT]]="",0,1)</f>
        <v>1</v>
      </c>
      <c r="W1891" s="20">
        <v>46197</v>
      </c>
      <c r="X1891" s="21" t="str">
        <f>UPPER(IF(AUDITORIA[[#This Row],[DATA VERIFICAÇÃO]]="","",TEXT(AUDITORIA[[#This Row],[DATA VERIFICAÇÃO]],"mmm")))</f>
        <v>JUN</v>
      </c>
    </row>
    <row r="1892" spans="1:27" ht="14.4" hidden="1" customHeight="1" x14ac:dyDescent="0.3">
      <c r="A1892" s="4" t="s">
        <v>0</v>
      </c>
      <c r="B1892" s="4" t="s">
        <v>17</v>
      </c>
      <c r="C1892" s="16" t="s">
        <v>18</v>
      </c>
      <c r="D1892" s="4">
        <v>10</v>
      </c>
      <c r="E1892" s="4" t="s">
        <v>746</v>
      </c>
      <c r="F1892" t="s">
        <v>705</v>
      </c>
      <c r="G1892" t="s">
        <v>726</v>
      </c>
      <c r="J1892" s="4" t="s">
        <v>55</v>
      </c>
      <c r="K1892" s="4" t="s">
        <v>734</v>
      </c>
      <c r="L1892" s="4" t="s">
        <v>743</v>
      </c>
      <c r="M1892" s="17">
        <v>8</v>
      </c>
      <c r="N1892" s="17"/>
      <c r="O1892" s="18" t="str">
        <f>AUDITORIA[[#This Row],[CAT]]</f>
        <v>S1</v>
      </c>
      <c r="P1892" s="18"/>
      <c r="Q1892" s="18">
        <v>8</v>
      </c>
      <c r="R1892" s="18" t="s">
        <v>778</v>
      </c>
      <c r="S1892" s="18"/>
      <c r="T1892" s="18"/>
      <c r="U18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92" s="19">
        <f>IF(AUDITORIA[[#This Row],[CAT]]="",0,1)</f>
        <v>1</v>
      </c>
      <c r="W1892" s="20">
        <v>46197</v>
      </c>
      <c r="X1892" s="21" t="str">
        <f>UPPER(IF(AUDITORIA[[#This Row],[DATA VERIFICAÇÃO]]="","",TEXT(AUDITORIA[[#This Row],[DATA VERIFICAÇÃO]],"mmm")))</f>
        <v>JUN</v>
      </c>
    </row>
    <row r="1893" spans="1:27" ht="14.4" hidden="1" customHeight="1" x14ac:dyDescent="0.3">
      <c r="A1893" s="4" t="s">
        <v>0</v>
      </c>
      <c r="B1893" s="4" t="s">
        <v>17</v>
      </c>
      <c r="C1893" s="16" t="s">
        <v>18</v>
      </c>
      <c r="D1893" s="4">
        <v>10</v>
      </c>
      <c r="E1893" s="4" t="s">
        <v>746</v>
      </c>
      <c r="F1893" t="s">
        <v>706</v>
      </c>
      <c r="G1893" t="s">
        <v>726</v>
      </c>
      <c r="J1893" s="4" t="s">
        <v>55</v>
      </c>
      <c r="K1893" s="4" t="s">
        <v>730</v>
      </c>
      <c r="L1893" s="4" t="s">
        <v>743</v>
      </c>
      <c r="M1893" s="17">
        <v>16</v>
      </c>
      <c r="N1893" s="17"/>
      <c r="O1893" s="18" t="str">
        <f>AUDITORIA[[#This Row],[CAT]]</f>
        <v>S1</v>
      </c>
      <c r="P1893" s="18"/>
      <c r="Q1893" s="18">
        <v>16</v>
      </c>
      <c r="R1893" s="18" t="s">
        <v>778</v>
      </c>
      <c r="S1893" s="18"/>
      <c r="T1893" s="18"/>
      <c r="U18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93" s="19">
        <f>IF(AUDITORIA[[#This Row],[CAT]]="",0,1)</f>
        <v>1</v>
      </c>
      <c r="W1893" s="20">
        <v>46197</v>
      </c>
      <c r="X1893" s="21" t="str">
        <f>UPPER(IF(AUDITORIA[[#This Row],[DATA VERIFICAÇÃO]]="","",TEXT(AUDITORIA[[#This Row],[DATA VERIFICAÇÃO]],"mmm")))</f>
        <v>JUN</v>
      </c>
    </row>
    <row r="1894" spans="1:27" ht="14.4" hidden="1" customHeight="1" x14ac:dyDescent="0.3">
      <c r="A1894" s="4" t="s">
        <v>0</v>
      </c>
      <c r="B1894" s="4" t="s">
        <v>17</v>
      </c>
      <c r="C1894" s="16" t="s">
        <v>18</v>
      </c>
      <c r="D1894" s="4">
        <v>10</v>
      </c>
      <c r="E1894" s="4" t="s">
        <v>746</v>
      </c>
      <c r="F1894" t="s">
        <v>707</v>
      </c>
      <c r="G1894" t="s">
        <v>726</v>
      </c>
      <c r="J1894" s="4" t="s">
        <v>55</v>
      </c>
      <c r="K1894" s="4" t="s">
        <v>732</v>
      </c>
      <c r="L1894" s="4" t="s">
        <v>743</v>
      </c>
      <c r="M1894" s="17">
        <v>36</v>
      </c>
      <c r="N1894" s="17"/>
      <c r="O1894" s="18" t="str">
        <f>AUDITORIA[[#This Row],[CAT]]</f>
        <v>S1</v>
      </c>
      <c r="P1894" s="18"/>
      <c r="Q1894" s="18">
        <v>36</v>
      </c>
      <c r="R1894" s="18" t="s">
        <v>778</v>
      </c>
      <c r="S1894" s="18"/>
      <c r="T1894" s="18"/>
      <c r="U18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94" s="19">
        <f>IF(AUDITORIA[[#This Row],[CAT]]="",0,1)</f>
        <v>1</v>
      </c>
      <c r="W1894" s="20">
        <v>46197</v>
      </c>
      <c r="X1894" s="21" t="str">
        <f>UPPER(IF(AUDITORIA[[#This Row],[DATA VERIFICAÇÃO]]="","",TEXT(AUDITORIA[[#This Row],[DATA VERIFICAÇÃO]],"mmm")))</f>
        <v>JUN</v>
      </c>
    </row>
    <row r="1895" spans="1:27" ht="14.4" hidden="1" customHeight="1" x14ac:dyDescent="0.3">
      <c r="A1895" s="4" t="s">
        <v>0</v>
      </c>
      <c r="B1895" s="4" t="s">
        <v>17</v>
      </c>
      <c r="C1895" s="16" t="s">
        <v>18</v>
      </c>
      <c r="D1895" s="4">
        <v>10</v>
      </c>
      <c r="E1895" s="4" t="s">
        <v>746</v>
      </c>
      <c r="F1895" t="s">
        <v>708</v>
      </c>
      <c r="G1895" t="s">
        <v>726</v>
      </c>
      <c r="J1895" s="4" t="s">
        <v>55</v>
      </c>
      <c r="K1895" s="4" t="s">
        <v>728</v>
      </c>
      <c r="L1895" s="4" t="s">
        <v>743</v>
      </c>
      <c r="M1895" s="17">
        <v>11</v>
      </c>
      <c r="N1895" s="17"/>
      <c r="O1895" s="18" t="str">
        <f>AUDITORIA[[#This Row],[CAT]]</f>
        <v>S1</v>
      </c>
      <c r="P1895" s="18"/>
      <c r="Q1895" s="18">
        <v>11</v>
      </c>
      <c r="R1895" s="18" t="s">
        <v>778</v>
      </c>
      <c r="S1895" s="18"/>
      <c r="T1895" s="18"/>
      <c r="U18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95" s="19">
        <f>IF(AUDITORIA[[#This Row],[CAT]]="",0,1)</f>
        <v>1</v>
      </c>
      <c r="W1895" s="20">
        <v>46197</v>
      </c>
      <c r="X1895" s="21" t="str">
        <f>UPPER(IF(AUDITORIA[[#This Row],[DATA VERIFICAÇÃO]]="","",TEXT(AUDITORIA[[#This Row],[DATA VERIFICAÇÃO]],"mmm")))</f>
        <v>JUN</v>
      </c>
    </row>
    <row r="1896" spans="1:27" ht="14.4" hidden="1" customHeight="1" x14ac:dyDescent="0.3">
      <c r="A1896" s="4" t="s">
        <v>0</v>
      </c>
      <c r="B1896" s="4" t="s">
        <v>17</v>
      </c>
      <c r="C1896" s="16" t="s">
        <v>18</v>
      </c>
      <c r="D1896" s="4">
        <v>10</v>
      </c>
      <c r="E1896" s="4" t="s">
        <v>746</v>
      </c>
      <c r="F1896" t="s">
        <v>709</v>
      </c>
      <c r="G1896" t="s">
        <v>726</v>
      </c>
      <c r="J1896" s="4" t="s">
        <v>55</v>
      </c>
      <c r="K1896" s="4" t="s">
        <v>735</v>
      </c>
      <c r="L1896" s="4" t="s">
        <v>743</v>
      </c>
      <c r="M1896" s="17">
        <v>23</v>
      </c>
      <c r="N1896" s="17"/>
      <c r="O1896" s="18" t="s">
        <v>55</v>
      </c>
      <c r="P1896" s="18"/>
      <c r="Q1896" s="18">
        <v>23</v>
      </c>
      <c r="R1896" s="18" t="s">
        <v>778</v>
      </c>
      <c r="S1896" s="18"/>
      <c r="T1896" s="18"/>
      <c r="U18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96" s="19">
        <f>IF(AUDITORIA[[#This Row],[CAT]]="",0,1)</f>
        <v>1</v>
      </c>
      <c r="W1896" s="20">
        <v>46197</v>
      </c>
      <c r="X1896" s="21" t="str">
        <f>UPPER(IF(AUDITORIA[[#This Row],[DATA VERIFICAÇÃO]]="","",TEXT(AUDITORIA[[#This Row],[DATA VERIFICAÇÃO]],"mmm")))</f>
        <v>JUN</v>
      </c>
    </row>
    <row r="1897" spans="1:27" ht="14.4" hidden="1" customHeight="1" x14ac:dyDescent="0.3">
      <c r="A1897" s="4" t="s">
        <v>0</v>
      </c>
      <c r="B1897" s="4" t="s">
        <v>17</v>
      </c>
      <c r="C1897" s="16" t="s">
        <v>18</v>
      </c>
      <c r="D1897" s="4">
        <v>10</v>
      </c>
      <c r="E1897" s="4" t="s">
        <v>746</v>
      </c>
      <c r="F1897" t="s">
        <v>722</v>
      </c>
      <c r="G1897" t="s">
        <v>726</v>
      </c>
      <c r="J1897" s="4" t="s">
        <v>55</v>
      </c>
      <c r="K1897" s="4" t="s">
        <v>740</v>
      </c>
      <c r="L1897" s="4" t="s">
        <v>743</v>
      </c>
      <c r="M1897" s="17">
        <v>3</v>
      </c>
      <c r="N1897" s="17"/>
      <c r="O1897" s="18" t="s">
        <v>55</v>
      </c>
      <c r="P1897" s="18"/>
      <c r="Q1897" s="18">
        <v>3</v>
      </c>
      <c r="R1897" s="18" t="s">
        <v>778</v>
      </c>
      <c r="S1897" s="18"/>
      <c r="T1897" s="18"/>
      <c r="U18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97" s="19">
        <f>IF(AUDITORIA[[#This Row],[CAT]]="",0,1)</f>
        <v>1</v>
      </c>
      <c r="W1897" s="20">
        <v>46197</v>
      </c>
      <c r="X1897" s="21" t="str">
        <f>UPPER(IF(AUDITORIA[[#This Row],[DATA VERIFICAÇÃO]]="","",TEXT(AUDITORIA[[#This Row],[DATA VERIFICAÇÃO]],"mmm")))</f>
        <v>JUN</v>
      </c>
    </row>
    <row r="1898" spans="1:27" ht="14.4" hidden="1" customHeight="1" x14ac:dyDescent="0.3">
      <c r="A1898" s="4" t="s">
        <v>0</v>
      </c>
      <c r="B1898" s="4" t="s">
        <v>17</v>
      </c>
      <c r="C1898" s="16" t="s">
        <v>18</v>
      </c>
      <c r="D1898" s="4">
        <v>10</v>
      </c>
      <c r="E1898" s="4" t="s">
        <v>746</v>
      </c>
      <c r="F1898" t="s">
        <v>710</v>
      </c>
      <c r="G1898" t="s">
        <v>726</v>
      </c>
      <c r="J1898" s="4" t="s">
        <v>55</v>
      </c>
      <c r="K1898" s="4" t="s">
        <v>730</v>
      </c>
      <c r="L1898" s="4" t="s">
        <v>743</v>
      </c>
      <c r="M1898" s="17">
        <v>87</v>
      </c>
      <c r="N1898" s="17"/>
      <c r="O1898" s="18" t="s">
        <v>55</v>
      </c>
      <c r="P1898" s="18"/>
      <c r="Q1898" s="18">
        <v>88</v>
      </c>
      <c r="R1898" s="18" t="s">
        <v>778</v>
      </c>
      <c r="S1898" s="18"/>
      <c r="T1898" s="18"/>
      <c r="U1898" s="19" t="str">
        <f>IF(AUDITORIA[[#This Row],[QTD FÍSICA]]="","",IF(AND(AUDITORIA[[#This Row],[CAT]]=AUDITORIA[[#This Row],[CAT. FÍS.]],AUDITORIA[[#This Row],[QTD FÍSICA]]=AUDITORIA[[#This Row],[QTD SISTEMA]]),"SIM","NÃO"))</f>
        <v>NÃO</v>
      </c>
      <c r="V1898" s="19">
        <f>IF(AUDITORIA[[#This Row],[CAT]]="",0,1)</f>
        <v>1</v>
      </c>
      <c r="W1898" s="20">
        <v>46197</v>
      </c>
      <c r="X1898" s="21" t="str">
        <f>UPPER(IF(AUDITORIA[[#This Row],[DATA VERIFICAÇÃO]]="","",TEXT(AUDITORIA[[#This Row],[DATA VERIFICAÇÃO]],"mmm")))</f>
        <v>JUN</v>
      </c>
    </row>
    <row r="1899" spans="1:27" ht="14.4" hidden="1" customHeight="1" x14ac:dyDescent="0.3">
      <c r="A1899" s="4" t="s">
        <v>0</v>
      </c>
      <c r="B1899" s="4" t="s">
        <v>17</v>
      </c>
      <c r="C1899" s="16" t="s">
        <v>18</v>
      </c>
      <c r="D1899" s="4">
        <v>10</v>
      </c>
      <c r="E1899" s="4" t="s">
        <v>746</v>
      </c>
      <c r="F1899" t="s">
        <v>696</v>
      </c>
      <c r="G1899" t="s">
        <v>726</v>
      </c>
      <c r="J1899" s="4" t="s">
        <v>55</v>
      </c>
      <c r="L1899" s="4" t="s">
        <v>743</v>
      </c>
      <c r="M1899" s="17">
        <v>305</v>
      </c>
      <c r="N1899" s="17"/>
      <c r="O1899" s="18" t="s">
        <v>55</v>
      </c>
      <c r="P1899" s="18"/>
      <c r="Q1899" s="18">
        <v>305</v>
      </c>
      <c r="R1899" s="18" t="s">
        <v>778</v>
      </c>
      <c r="S1899" s="18"/>
      <c r="T1899" s="18"/>
      <c r="U18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899" s="19">
        <f>IF(AUDITORIA[[#This Row],[CAT]]="",0,1)</f>
        <v>1</v>
      </c>
      <c r="W1899" s="20">
        <v>46197</v>
      </c>
      <c r="X1899" s="21" t="str">
        <f>UPPER(IF(AUDITORIA[[#This Row],[DATA VERIFICAÇÃO]]="","",TEXT(AUDITORIA[[#This Row],[DATA VERIFICAÇÃO]],"mmm")))</f>
        <v>JUN</v>
      </c>
    </row>
    <row r="1900" spans="1:27" ht="14.4" hidden="1" customHeight="1" x14ac:dyDescent="0.3">
      <c r="A1900" s="4" t="s">
        <v>0</v>
      </c>
      <c r="B1900" s="4" t="s">
        <v>17</v>
      </c>
      <c r="C1900" s="16" t="s">
        <v>18</v>
      </c>
      <c r="D1900" s="4">
        <v>10</v>
      </c>
      <c r="E1900" s="4" t="s">
        <v>746</v>
      </c>
      <c r="F1900" t="s">
        <v>711</v>
      </c>
      <c r="G1900" t="s">
        <v>726</v>
      </c>
      <c r="J1900" s="4" t="s">
        <v>55</v>
      </c>
      <c r="K1900" s="4" t="s">
        <v>735</v>
      </c>
      <c r="L1900" s="4" t="s">
        <v>743</v>
      </c>
      <c r="M1900" s="17">
        <v>204</v>
      </c>
      <c r="N1900" s="17"/>
      <c r="O1900" s="18" t="s">
        <v>55</v>
      </c>
      <c r="P1900" s="18"/>
      <c r="Q1900" s="18">
        <v>204</v>
      </c>
      <c r="R1900" s="18" t="s">
        <v>778</v>
      </c>
      <c r="S1900" s="18"/>
      <c r="T1900" s="18"/>
      <c r="U19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00" s="19">
        <f>IF(AUDITORIA[[#This Row],[CAT]]="",0,1)</f>
        <v>1</v>
      </c>
      <c r="W1900" s="20">
        <v>46197</v>
      </c>
      <c r="X1900" s="21" t="str">
        <f>UPPER(IF(AUDITORIA[[#This Row],[DATA VERIFICAÇÃO]]="","",TEXT(AUDITORIA[[#This Row],[DATA VERIFICAÇÃO]],"mmm")))</f>
        <v>JUN</v>
      </c>
    </row>
    <row r="1901" spans="1:27" ht="14.4" hidden="1" customHeight="1" x14ac:dyDescent="0.3">
      <c r="A1901" s="4" t="s">
        <v>0</v>
      </c>
      <c r="B1901" s="4" t="s">
        <v>17</v>
      </c>
      <c r="C1901" s="16" t="s">
        <v>18</v>
      </c>
      <c r="D1901" s="4">
        <v>10</v>
      </c>
      <c r="E1901" s="4" t="s">
        <v>746</v>
      </c>
      <c r="F1901" t="s">
        <v>712</v>
      </c>
      <c r="G1901" t="s">
        <v>726</v>
      </c>
      <c r="J1901" s="4" t="s">
        <v>55</v>
      </c>
      <c r="K1901" s="4" t="s">
        <v>736</v>
      </c>
      <c r="L1901" s="4" t="s">
        <v>743</v>
      </c>
      <c r="M1901" s="17">
        <v>12</v>
      </c>
      <c r="N1901" s="17"/>
      <c r="O1901" s="18" t="s">
        <v>55</v>
      </c>
      <c r="P1901" s="18"/>
      <c r="Q1901" s="18">
        <v>12</v>
      </c>
      <c r="R1901" s="18" t="s">
        <v>778</v>
      </c>
      <c r="S1901" s="18"/>
      <c r="T1901" s="18"/>
      <c r="U19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01" s="19">
        <f>IF(AUDITORIA[[#This Row],[CAT]]="",0,1)</f>
        <v>1</v>
      </c>
      <c r="W1901" s="20">
        <v>46197</v>
      </c>
      <c r="X1901" s="21" t="str">
        <f>UPPER(IF(AUDITORIA[[#This Row],[DATA VERIFICAÇÃO]]="","",TEXT(AUDITORIA[[#This Row],[DATA VERIFICAÇÃO]],"mmm")))</f>
        <v>JUN</v>
      </c>
    </row>
    <row r="1902" spans="1:27" ht="14.4" hidden="1" customHeight="1" x14ac:dyDescent="0.3">
      <c r="A1902" s="4" t="s">
        <v>0</v>
      </c>
      <c r="B1902" s="4" t="s">
        <v>17</v>
      </c>
      <c r="C1902" s="16" t="s">
        <v>18</v>
      </c>
      <c r="D1902" s="4">
        <v>10</v>
      </c>
      <c r="E1902" s="4" t="s">
        <v>746</v>
      </c>
      <c r="F1902" t="s">
        <v>713</v>
      </c>
      <c r="G1902" t="s">
        <v>726</v>
      </c>
      <c r="J1902" s="4" t="s">
        <v>55</v>
      </c>
      <c r="K1902" s="4" t="s">
        <v>737</v>
      </c>
      <c r="L1902" s="4" t="s">
        <v>743</v>
      </c>
      <c r="M1902" s="17">
        <v>162</v>
      </c>
      <c r="N1902" s="17"/>
      <c r="O1902" s="18" t="s">
        <v>55</v>
      </c>
      <c r="P1902" s="18"/>
      <c r="Q1902" s="18">
        <v>167</v>
      </c>
      <c r="R1902" s="18" t="s">
        <v>778</v>
      </c>
      <c r="S1902" s="18"/>
      <c r="T1902" s="18"/>
      <c r="U1902" s="19" t="str">
        <f>IF(AUDITORIA[[#This Row],[QTD FÍSICA]]="","",IF(AND(AUDITORIA[[#This Row],[CAT]]=AUDITORIA[[#This Row],[CAT. FÍS.]],AUDITORIA[[#This Row],[QTD FÍSICA]]=AUDITORIA[[#This Row],[QTD SISTEMA]]),"SIM","NÃO"))</f>
        <v>NÃO</v>
      </c>
      <c r="V1902" s="19">
        <f>IF(AUDITORIA[[#This Row],[CAT]]="",0,1)</f>
        <v>1</v>
      </c>
      <c r="W1902" s="20">
        <v>46197</v>
      </c>
      <c r="X1902" s="21" t="str">
        <f>UPPER(IF(AUDITORIA[[#This Row],[DATA VERIFICAÇÃO]]="","",TEXT(AUDITORIA[[#This Row],[DATA VERIFICAÇÃO]],"mmm")))</f>
        <v>JUN</v>
      </c>
    </row>
    <row r="1903" spans="1:27" ht="14.4" hidden="1" customHeight="1" x14ac:dyDescent="0.3">
      <c r="A1903" s="4" t="s">
        <v>0</v>
      </c>
      <c r="B1903" s="4" t="s">
        <v>17</v>
      </c>
      <c r="C1903" s="16" t="s">
        <v>18</v>
      </c>
      <c r="D1903" s="4">
        <v>10</v>
      </c>
      <c r="E1903" s="4" t="s">
        <v>746</v>
      </c>
      <c r="F1903" t="s">
        <v>714</v>
      </c>
      <c r="G1903" t="s">
        <v>726</v>
      </c>
      <c r="J1903" s="4" t="s">
        <v>55</v>
      </c>
      <c r="K1903" s="4" t="s">
        <v>738</v>
      </c>
      <c r="L1903" s="4" t="s">
        <v>743</v>
      </c>
      <c r="M1903" s="17">
        <v>1</v>
      </c>
      <c r="N1903" s="17"/>
      <c r="O1903" s="18"/>
      <c r="P1903" s="18"/>
      <c r="Q1903" s="18"/>
      <c r="R1903" s="18"/>
      <c r="S1903" s="18"/>
      <c r="T1903" s="18"/>
      <c r="U1903" s="19" t="str">
        <f>IF(AUDITORIA[[#This Row],[QTD FÍSICA]]="","",IF(AND(AUDITORIA[[#This Row],[CAT]]=AUDITORIA[[#This Row],[CAT. FÍS.]],AUDITORIA[[#This Row],[QTD FÍSICA]]=AUDITORIA[[#This Row],[QTD SISTEMA]]),"SIM","NÃO"))</f>
        <v/>
      </c>
      <c r="V1903" s="19">
        <f>IF(AUDITORIA[[#This Row],[CAT]]="",0,1)</f>
        <v>1</v>
      </c>
      <c r="W1903" s="20">
        <v>46197</v>
      </c>
      <c r="X1903" s="21" t="str">
        <f>UPPER(IF(AUDITORIA[[#This Row],[DATA VERIFICAÇÃO]]="","",TEXT(AUDITORIA[[#This Row],[DATA VERIFICAÇÃO]],"mmm")))</f>
        <v>JUN</v>
      </c>
    </row>
    <row r="1904" spans="1:27" ht="14.4" hidden="1" customHeight="1" x14ac:dyDescent="0.3">
      <c r="A1904" s="4" t="s">
        <v>0</v>
      </c>
      <c r="B1904" s="4" t="s">
        <v>17</v>
      </c>
      <c r="C1904" s="16" t="s">
        <v>18</v>
      </c>
      <c r="D1904" s="4">
        <v>10</v>
      </c>
      <c r="E1904" s="4" t="s">
        <v>746</v>
      </c>
      <c r="F1904" t="s">
        <v>719</v>
      </c>
      <c r="G1904" t="s">
        <v>727</v>
      </c>
      <c r="J1904" s="4" t="s">
        <v>55</v>
      </c>
      <c r="K1904" s="4" t="s">
        <v>730</v>
      </c>
      <c r="L1904" s="4" t="s">
        <v>742</v>
      </c>
      <c r="M1904" s="17">
        <v>3</v>
      </c>
      <c r="N1904" s="17"/>
      <c r="O1904" s="18" t="str">
        <f>AUDITORIA[[#This Row],[CAT]]</f>
        <v>S1</v>
      </c>
      <c r="P1904" s="18">
        <v>787</v>
      </c>
      <c r="Q1904" s="18">
        <v>3</v>
      </c>
      <c r="R1904" s="18" t="s">
        <v>778</v>
      </c>
      <c r="S1904" s="18"/>
      <c r="T1904" s="18"/>
      <c r="U19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04" s="19">
        <f>IF(AUDITORIA[[#This Row],[CAT]]="",0,1)</f>
        <v>1</v>
      </c>
      <c r="W1904" s="20">
        <v>46197</v>
      </c>
      <c r="X1904" s="21" t="str">
        <f>UPPER(IF(AUDITORIA[[#This Row],[DATA VERIFICAÇÃO]]="","",TEXT(AUDITORIA[[#This Row],[DATA VERIFICAÇÃO]],"mmm")))</f>
        <v>JUN</v>
      </c>
    </row>
    <row r="1905" spans="1:24" ht="14.4" hidden="1" customHeight="1" x14ac:dyDescent="0.3">
      <c r="A1905" s="4" t="s">
        <v>0</v>
      </c>
      <c r="B1905" s="4" t="s">
        <v>17</v>
      </c>
      <c r="C1905" s="16" t="s">
        <v>18</v>
      </c>
      <c r="D1905" s="4">
        <v>10</v>
      </c>
      <c r="E1905" s="4" t="s">
        <v>746</v>
      </c>
      <c r="F1905" t="s">
        <v>701</v>
      </c>
      <c r="G1905" t="s">
        <v>727</v>
      </c>
      <c r="J1905" s="4" t="s">
        <v>55</v>
      </c>
      <c r="K1905" s="4" t="s">
        <v>732</v>
      </c>
      <c r="L1905" s="4" t="s">
        <v>742</v>
      </c>
      <c r="M1905" s="17">
        <v>14</v>
      </c>
      <c r="N1905" s="17"/>
      <c r="O1905" s="18" t="str">
        <f>AUDITORIA[[#This Row],[CAT]]</f>
        <v>S1</v>
      </c>
      <c r="P1905" s="18">
        <v>728.5</v>
      </c>
      <c r="Q1905" s="18">
        <v>14</v>
      </c>
      <c r="R1905" s="18" t="s">
        <v>778</v>
      </c>
      <c r="S1905" s="18"/>
      <c r="T1905" s="18"/>
      <c r="U19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05" s="19">
        <f>IF(AUDITORIA[[#This Row],[CAT]]="",0,1)</f>
        <v>1</v>
      </c>
      <c r="W1905" s="20">
        <v>46197</v>
      </c>
      <c r="X1905" s="21" t="str">
        <f>UPPER(IF(AUDITORIA[[#This Row],[DATA VERIFICAÇÃO]]="","",TEXT(AUDITORIA[[#This Row],[DATA VERIFICAÇÃO]],"mmm")))</f>
        <v>JUN</v>
      </c>
    </row>
    <row r="1906" spans="1:24" ht="14.4" hidden="1" customHeight="1" x14ac:dyDescent="0.3">
      <c r="A1906" s="4" t="s">
        <v>0</v>
      </c>
      <c r="B1906" s="4" t="s">
        <v>17</v>
      </c>
      <c r="C1906" s="16" t="s">
        <v>18</v>
      </c>
      <c r="D1906" s="4">
        <v>10</v>
      </c>
      <c r="E1906" s="4" t="s">
        <v>746</v>
      </c>
      <c r="F1906" t="s">
        <v>702</v>
      </c>
      <c r="G1906" t="s">
        <v>727</v>
      </c>
      <c r="J1906" s="4" t="s">
        <v>55</v>
      </c>
      <c r="K1906" s="4" t="s">
        <v>732</v>
      </c>
      <c r="L1906" s="4" t="s">
        <v>742</v>
      </c>
      <c r="M1906" s="17">
        <v>14</v>
      </c>
      <c r="N1906" s="17"/>
      <c r="O1906" s="18" t="str">
        <f>AUDITORIA[[#This Row],[CAT]]</f>
        <v>S1</v>
      </c>
      <c r="P1906" s="18">
        <v>722</v>
      </c>
      <c r="Q1906" s="18">
        <v>14</v>
      </c>
      <c r="R1906" s="18" t="s">
        <v>778</v>
      </c>
      <c r="S1906" s="18"/>
      <c r="T1906" s="18"/>
      <c r="U19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06" s="19">
        <f>IF(AUDITORIA[[#This Row],[CAT]]="",0,1)</f>
        <v>1</v>
      </c>
      <c r="W1906" s="20">
        <v>46197</v>
      </c>
      <c r="X1906" s="21" t="str">
        <f>UPPER(IF(AUDITORIA[[#This Row],[DATA VERIFICAÇÃO]]="","",TEXT(AUDITORIA[[#This Row],[DATA VERIFICAÇÃO]],"mmm")))</f>
        <v>JUN</v>
      </c>
    </row>
    <row r="1907" spans="1:24" ht="14.4" hidden="1" customHeight="1" x14ac:dyDescent="0.3">
      <c r="A1907" s="4" t="s">
        <v>0</v>
      </c>
      <c r="B1907" s="4" t="s">
        <v>17</v>
      </c>
      <c r="C1907" s="16" t="s">
        <v>18</v>
      </c>
      <c r="D1907" s="4">
        <v>10</v>
      </c>
      <c r="E1907" s="4" t="s">
        <v>746</v>
      </c>
      <c r="F1907" t="s">
        <v>703</v>
      </c>
      <c r="G1907" t="s">
        <v>727</v>
      </c>
      <c r="J1907" s="4" t="s">
        <v>55</v>
      </c>
      <c r="K1907" s="4" t="s">
        <v>732</v>
      </c>
      <c r="L1907" s="4" t="s">
        <v>742</v>
      </c>
      <c r="M1907" s="17">
        <v>9</v>
      </c>
      <c r="N1907" s="17"/>
      <c r="O1907" s="18" t="str">
        <f>AUDITORIA[[#This Row],[CAT]]</f>
        <v>S1</v>
      </c>
      <c r="P1907" s="18">
        <v>709</v>
      </c>
      <c r="Q1907" s="18">
        <v>9</v>
      </c>
      <c r="R1907" s="18" t="s">
        <v>778</v>
      </c>
      <c r="S1907" s="18"/>
      <c r="T1907" s="18"/>
      <c r="U19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07" s="19">
        <f>IF(AUDITORIA[[#This Row],[CAT]]="",0,1)</f>
        <v>1</v>
      </c>
      <c r="W1907" s="20">
        <v>46197</v>
      </c>
      <c r="X1907" s="21" t="str">
        <f>UPPER(IF(AUDITORIA[[#This Row],[DATA VERIFICAÇÃO]]="","",TEXT(AUDITORIA[[#This Row],[DATA VERIFICAÇÃO]],"mmm")))</f>
        <v>JUN</v>
      </c>
    </row>
    <row r="1908" spans="1:24" ht="14.4" hidden="1" customHeight="1" x14ac:dyDescent="0.3">
      <c r="A1908" s="4" t="s">
        <v>0</v>
      </c>
      <c r="B1908" s="4" t="s">
        <v>17</v>
      </c>
      <c r="C1908" s="16" t="s">
        <v>18</v>
      </c>
      <c r="D1908" s="4">
        <v>10</v>
      </c>
      <c r="E1908" s="4" t="s">
        <v>746</v>
      </c>
      <c r="F1908" t="s">
        <v>724</v>
      </c>
      <c r="G1908" t="s">
        <v>727</v>
      </c>
      <c r="J1908" s="4" t="s">
        <v>55</v>
      </c>
      <c r="K1908" s="4" t="s">
        <v>731</v>
      </c>
      <c r="L1908" s="4" t="s">
        <v>742</v>
      </c>
      <c r="M1908" s="17">
        <v>1</v>
      </c>
      <c r="N1908" s="17"/>
      <c r="O1908" s="18" t="str">
        <f>AUDITORIA[[#This Row],[CAT]]</f>
        <v>S1</v>
      </c>
      <c r="P1908" s="18"/>
      <c r="Q1908" s="18">
        <v>1</v>
      </c>
      <c r="R1908" s="18" t="s">
        <v>778</v>
      </c>
      <c r="S1908" s="18"/>
      <c r="T1908" s="18"/>
      <c r="U19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08" s="19">
        <f>IF(AUDITORIA[[#This Row],[CAT]]="",0,1)</f>
        <v>1</v>
      </c>
      <c r="W1908" s="20">
        <v>46197</v>
      </c>
      <c r="X1908" s="21" t="str">
        <f>UPPER(IF(AUDITORIA[[#This Row],[DATA VERIFICAÇÃO]]="","",TEXT(AUDITORIA[[#This Row],[DATA VERIFICAÇÃO]],"mmm")))</f>
        <v>JUN</v>
      </c>
    </row>
    <row r="1909" spans="1:24" ht="14.4" hidden="1" customHeight="1" x14ac:dyDescent="0.3">
      <c r="A1909" s="4" t="s">
        <v>0</v>
      </c>
      <c r="B1909" s="4" t="s">
        <v>17</v>
      </c>
      <c r="C1909" s="16" t="s">
        <v>18</v>
      </c>
      <c r="D1909" s="4">
        <v>10</v>
      </c>
      <c r="E1909" s="4" t="s">
        <v>746</v>
      </c>
      <c r="F1909" t="s">
        <v>699</v>
      </c>
      <c r="G1909" t="s">
        <v>727</v>
      </c>
      <c r="J1909" s="4" t="s">
        <v>55</v>
      </c>
      <c r="K1909" s="4" t="s">
        <v>729</v>
      </c>
      <c r="L1909" s="4" t="s">
        <v>742</v>
      </c>
      <c r="M1909" s="17">
        <v>9</v>
      </c>
      <c r="N1909" s="17"/>
      <c r="O1909" s="18"/>
      <c r="P1909" s="18"/>
      <c r="Q1909" s="18"/>
      <c r="R1909" s="18"/>
      <c r="S1909" s="18"/>
      <c r="T1909" s="18"/>
      <c r="U1909" s="19" t="str">
        <f>IF(AUDITORIA[[#This Row],[QTD FÍSICA]]="","",IF(AND(AUDITORIA[[#This Row],[CAT]]=AUDITORIA[[#This Row],[CAT. FÍS.]],AUDITORIA[[#This Row],[QTD FÍSICA]]=AUDITORIA[[#This Row],[QTD SISTEMA]]),"SIM","NÃO"))</f>
        <v/>
      </c>
      <c r="V1909" s="19">
        <f>IF(AUDITORIA[[#This Row],[CAT]]="",0,1)</f>
        <v>1</v>
      </c>
      <c r="W1909" s="20">
        <v>46197</v>
      </c>
      <c r="X1909" s="21" t="str">
        <f>UPPER(IF(AUDITORIA[[#This Row],[DATA VERIFICAÇÃO]]="","",TEXT(AUDITORIA[[#This Row],[DATA VERIFICAÇÃO]],"mmm")))</f>
        <v>JUN</v>
      </c>
    </row>
    <row r="1910" spans="1:24" ht="14.4" hidden="1" customHeight="1" x14ac:dyDescent="0.3">
      <c r="A1910" s="4" t="s">
        <v>0</v>
      </c>
      <c r="B1910" s="4" t="s">
        <v>17</v>
      </c>
      <c r="C1910" s="16" t="s">
        <v>18</v>
      </c>
      <c r="D1910" s="4">
        <v>10</v>
      </c>
      <c r="E1910" s="4" t="s">
        <v>746</v>
      </c>
      <c r="F1910" t="s">
        <v>700</v>
      </c>
      <c r="G1910" t="s">
        <v>727</v>
      </c>
      <c r="J1910" s="4" t="s">
        <v>55</v>
      </c>
      <c r="K1910" s="4" t="s">
        <v>731</v>
      </c>
      <c r="L1910" s="4" t="s">
        <v>742</v>
      </c>
      <c r="M1910" s="17">
        <v>10</v>
      </c>
      <c r="N1910" s="17"/>
      <c r="O1910" s="18" t="str">
        <f>AUDITORIA[[#This Row],[CAT]]</f>
        <v>S1</v>
      </c>
      <c r="P1910" s="18">
        <v>840</v>
      </c>
      <c r="Q1910" s="18">
        <v>19</v>
      </c>
      <c r="R1910" s="18" t="s">
        <v>778</v>
      </c>
      <c r="S1910" s="18"/>
      <c r="T1910" s="18"/>
      <c r="U1910" s="19" t="str">
        <f>IF(AUDITORIA[[#This Row],[QTD FÍSICA]]="","",IF(AND(AUDITORIA[[#This Row],[CAT]]=AUDITORIA[[#This Row],[CAT. FÍS.]],AUDITORIA[[#This Row],[QTD FÍSICA]]=AUDITORIA[[#This Row],[QTD SISTEMA]]),"SIM","NÃO"))</f>
        <v>NÃO</v>
      </c>
      <c r="V1910" s="19">
        <f>IF(AUDITORIA[[#This Row],[CAT]]="",0,1)</f>
        <v>1</v>
      </c>
      <c r="W1910" s="20">
        <v>46197</v>
      </c>
      <c r="X1910" s="21" t="str">
        <f>UPPER(IF(AUDITORIA[[#This Row],[DATA VERIFICAÇÃO]]="","",TEXT(AUDITORIA[[#This Row],[DATA VERIFICAÇÃO]],"mmm")))</f>
        <v>JUN</v>
      </c>
    </row>
    <row r="1911" spans="1:24" ht="14.4" hidden="1" customHeight="1" x14ac:dyDescent="0.3">
      <c r="A1911" s="4" t="s">
        <v>0</v>
      </c>
      <c r="B1911" s="4" t="s">
        <v>17</v>
      </c>
      <c r="C1911" s="16" t="s">
        <v>18</v>
      </c>
      <c r="D1911" s="4">
        <v>10</v>
      </c>
      <c r="E1911" s="4" t="s">
        <v>746</v>
      </c>
      <c r="F1911" t="s">
        <v>697</v>
      </c>
      <c r="G1911" t="s">
        <v>727</v>
      </c>
      <c r="J1911" s="4" t="s">
        <v>55</v>
      </c>
      <c r="K1911" s="4" t="s">
        <v>730</v>
      </c>
      <c r="L1911" s="4" t="s">
        <v>743</v>
      </c>
      <c r="M1911" s="17">
        <v>881</v>
      </c>
      <c r="N1911" s="17"/>
      <c r="O1911" s="18" t="str">
        <f>AUDITORIA[[#This Row],[CAT]]</f>
        <v>S1</v>
      </c>
      <c r="P1911" s="18"/>
      <c r="Q1911" s="18">
        <v>881</v>
      </c>
      <c r="R1911" s="18" t="s">
        <v>778</v>
      </c>
      <c r="S1911" s="18"/>
      <c r="T1911" s="18"/>
      <c r="U19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11" s="19">
        <f>IF(AUDITORIA[[#This Row],[CAT]]="",0,1)</f>
        <v>1</v>
      </c>
      <c r="W1911" s="20">
        <v>46197</v>
      </c>
      <c r="X1911" s="21" t="str">
        <f>UPPER(IF(AUDITORIA[[#This Row],[DATA VERIFICAÇÃO]]="","",TEXT(AUDITORIA[[#This Row],[DATA VERIFICAÇÃO]],"mmm")))</f>
        <v>JUN</v>
      </c>
    </row>
    <row r="1912" spans="1:24" ht="14.4" hidden="1" customHeight="1" x14ac:dyDescent="0.3">
      <c r="A1912" s="4" t="s">
        <v>0</v>
      </c>
      <c r="B1912" s="4" t="s">
        <v>17</v>
      </c>
      <c r="C1912" s="16" t="s">
        <v>18</v>
      </c>
      <c r="D1912" s="4">
        <v>10</v>
      </c>
      <c r="E1912" s="4" t="s">
        <v>746</v>
      </c>
      <c r="F1912" t="s">
        <v>698</v>
      </c>
      <c r="G1912" t="s">
        <v>727</v>
      </c>
      <c r="J1912" s="4" t="s">
        <v>55</v>
      </c>
      <c r="K1912" s="4" t="s">
        <v>731</v>
      </c>
      <c r="L1912" s="4" t="s">
        <v>743</v>
      </c>
      <c r="M1912" s="17">
        <v>466</v>
      </c>
      <c r="N1912" s="17"/>
      <c r="O1912" s="18" t="str">
        <f>AUDITORIA[[#This Row],[CAT]]</f>
        <v>S1</v>
      </c>
      <c r="P1912" s="18"/>
      <c r="Q1912" s="18">
        <v>466</v>
      </c>
      <c r="R1912" s="18" t="s">
        <v>778</v>
      </c>
      <c r="S1912" s="18"/>
      <c r="T1912" s="18"/>
      <c r="U19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12" s="19">
        <f>IF(AUDITORIA[[#This Row],[CAT]]="",0,1)</f>
        <v>1</v>
      </c>
      <c r="W1912" s="20">
        <v>46197</v>
      </c>
      <c r="X1912" s="21" t="str">
        <f>UPPER(IF(AUDITORIA[[#This Row],[DATA VERIFICAÇÃO]]="","",TEXT(AUDITORIA[[#This Row],[DATA VERIFICAÇÃO]],"mmm")))</f>
        <v>JUN</v>
      </c>
    </row>
    <row r="1913" spans="1:24" ht="14.4" hidden="1" customHeight="1" x14ac:dyDescent="0.3">
      <c r="A1913" s="4" t="s">
        <v>0</v>
      </c>
      <c r="B1913" s="4" t="s">
        <v>17</v>
      </c>
      <c r="C1913" s="16" t="s">
        <v>18</v>
      </c>
      <c r="D1913" s="4">
        <v>10</v>
      </c>
      <c r="E1913" s="4" t="s">
        <v>746</v>
      </c>
      <c r="F1913" t="s">
        <v>723</v>
      </c>
      <c r="G1913" t="s">
        <v>727</v>
      </c>
      <c r="J1913" s="4" t="s">
        <v>55</v>
      </c>
      <c r="K1913" s="4" t="s">
        <v>728</v>
      </c>
      <c r="L1913" s="4" t="s">
        <v>743</v>
      </c>
      <c r="M1913" s="17">
        <v>322</v>
      </c>
      <c r="N1913" s="17"/>
      <c r="O1913" s="18" t="str">
        <f>AUDITORIA[[#This Row],[CAT]]</f>
        <v>S1</v>
      </c>
      <c r="P1913" s="18"/>
      <c r="Q1913" s="18">
        <v>322</v>
      </c>
      <c r="R1913" s="18" t="s">
        <v>778</v>
      </c>
      <c r="S1913" s="18"/>
      <c r="T1913" s="18"/>
      <c r="U19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13" s="19">
        <f>IF(AUDITORIA[[#This Row],[CAT]]="",0,1)</f>
        <v>1</v>
      </c>
      <c r="W1913" s="20">
        <v>46197</v>
      </c>
      <c r="X1913" s="21" t="str">
        <f>UPPER(IF(AUDITORIA[[#This Row],[DATA VERIFICAÇÃO]]="","",TEXT(AUDITORIA[[#This Row],[DATA VERIFICAÇÃO]],"mmm")))</f>
        <v>JUN</v>
      </c>
    </row>
    <row r="1914" spans="1:24" ht="14.4" hidden="1" customHeight="1" x14ac:dyDescent="0.3">
      <c r="A1914" s="4" t="s">
        <v>0</v>
      </c>
      <c r="B1914" s="4" t="s">
        <v>17</v>
      </c>
      <c r="C1914" s="16" t="s">
        <v>18</v>
      </c>
      <c r="D1914" s="4">
        <v>10</v>
      </c>
      <c r="E1914" s="4" t="s">
        <v>746</v>
      </c>
      <c r="F1914" t="s">
        <v>720</v>
      </c>
      <c r="G1914" t="s">
        <v>725</v>
      </c>
      <c r="J1914" s="4" t="s">
        <v>55</v>
      </c>
      <c r="K1914" s="4" t="s">
        <v>732</v>
      </c>
      <c r="L1914" s="4" t="s">
        <v>743</v>
      </c>
      <c r="M1914" s="17">
        <v>95</v>
      </c>
      <c r="N1914" s="17"/>
      <c r="O1914" s="18" t="str">
        <f>AUDITORIA[[#This Row],[CAT]]</f>
        <v>S1</v>
      </c>
      <c r="P1914" s="18">
        <v>719</v>
      </c>
      <c r="Q1914" s="18">
        <v>100</v>
      </c>
      <c r="R1914" s="18" t="s">
        <v>778</v>
      </c>
      <c r="S1914" s="18"/>
      <c r="T1914" s="18"/>
      <c r="U1914" s="19" t="str">
        <f>IF(AUDITORIA[[#This Row],[QTD FÍSICA]]="","",IF(AND(AUDITORIA[[#This Row],[CAT]]=AUDITORIA[[#This Row],[CAT. FÍS.]],AUDITORIA[[#This Row],[QTD FÍSICA]]=AUDITORIA[[#This Row],[QTD SISTEMA]]),"SIM","NÃO"))</f>
        <v>NÃO</v>
      </c>
      <c r="V1914" s="19">
        <f>IF(AUDITORIA[[#This Row],[CAT]]="",0,1)</f>
        <v>1</v>
      </c>
      <c r="W1914" s="20">
        <v>46197</v>
      </c>
      <c r="X1914" s="21" t="str">
        <f>UPPER(IF(AUDITORIA[[#This Row],[DATA VERIFICAÇÃO]]="","",TEXT(AUDITORIA[[#This Row],[DATA VERIFICAÇÃO]],"mmm")))</f>
        <v>JUN</v>
      </c>
    </row>
    <row r="1915" spans="1:24" ht="14.4" hidden="1" customHeight="1" x14ac:dyDescent="0.3">
      <c r="A1915" s="4" t="s">
        <v>0</v>
      </c>
      <c r="B1915" s="4" t="s">
        <v>17</v>
      </c>
      <c r="C1915" s="16" t="s">
        <v>18</v>
      </c>
      <c r="D1915" s="4">
        <v>10</v>
      </c>
      <c r="E1915" s="4" t="s">
        <v>746</v>
      </c>
      <c r="F1915" t="s">
        <v>716</v>
      </c>
      <c r="G1915" t="s">
        <v>725</v>
      </c>
      <c r="J1915" s="4" t="s">
        <v>55</v>
      </c>
      <c r="K1915" s="4" t="s">
        <v>734</v>
      </c>
      <c r="L1915" s="4" t="s">
        <v>743</v>
      </c>
      <c r="M1915" s="17">
        <v>73</v>
      </c>
      <c r="N1915" s="17"/>
      <c r="O1915" s="18" t="str">
        <f>AUDITORIA[[#This Row],[CAT]]</f>
        <v>S1</v>
      </c>
      <c r="P1915" s="27">
        <v>725.5</v>
      </c>
      <c r="Q1915" s="18">
        <v>73</v>
      </c>
      <c r="R1915" s="18" t="s">
        <v>778</v>
      </c>
      <c r="S1915" s="18"/>
      <c r="T1915" s="18"/>
      <c r="U19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15" s="19">
        <f>IF(AUDITORIA[[#This Row],[CAT]]="",0,1)</f>
        <v>1</v>
      </c>
      <c r="W1915" s="20">
        <v>46197</v>
      </c>
      <c r="X1915" s="21" t="str">
        <f>UPPER(IF(AUDITORIA[[#This Row],[DATA VERIFICAÇÃO]]="","",TEXT(AUDITORIA[[#This Row],[DATA VERIFICAÇÃO]],"mmm")))</f>
        <v>JUN</v>
      </c>
    </row>
    <row r="1916" spans="1:24" ht="14.4" hidden="1" customHeight="1" x14ac:dyDescent="0.3">
      <c r="A1916" s="4" t="s">
        <v>0</v>
      </c>
      <c r="B1916" s="4" t="s">
        <v>17</v>
      </c>
      <c r="C1916" s="16" t="s">
        <v>18</v>
      </c>
      <c r="D1916" s="4">
        <v>10</v>
      </c>
      <c r="E1916" s="4" t="s">
        <v>746</v>
      </c>
      <c r="F1916" t="s">
        <v>721</v>
      </c>
      <c r="G1916" t="s">
        <v>725</v>
      </c>
      <c r="J1916" s="4" t="s">
        <v>55</v>
      </c>
      <c r="K1916" s="4" t="s">
        <v>732</v>
      </c>
      <c r="L1916" s="4" t="s">
        <v>743</v>
      </c>
      <c r="M1916" s="17">
        <v>125</v>
      </c>
      <c r="N1916" s="17"/>
      <c r="O1916" s="18" t="str">
        <f>AUDITORIA[[#This Row],[CAT]]</f>
        <v>S1</v>
      </c>
      <c r="P1916" s="18"/>
      <c r="Q1916" s="18">
        <v>125</v>
      </c>
      <c r="R1916" s="18" t="s">
        <v>778</v>
      </c>
      <c r="S1916" s="18"/>
      <c r="T1916" s="18"/>
      <c r="U19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16" s="19">
        <f>IF(AUDITORIA[[#This Row],[CAT]]="",0,1)</f>
        <v>1</v>
      </c>
      <c r="W1916" s="20">
        <v>46197</v>
      </c>
      <c r="X1916" s="21" t="str">
        <f>UPPER(IF(AUDITORIA[[#This Row],[DATA VERIFICAÇÃO]]="","",TEXT(AUDITORIA[[#This Row],[DATA VERIFICAÇÃO]],"mmm")))</f>
        <v>JUN</v>
      </c>
    </row>
    <row r="1917" spans="1:24" ht="14.4" hidden="1" customHeight="1" x14ac:dyDescent="0.3">
      <c r="A1917" s="4" t="s">
        <v>0</v>
      </c>
      <c r="B1917" s="4" t="s">
        <v>17</v>
      </c>
      <c r="C1917" s="16" t="s">
        <v>18</v>
      </c>
      <c r="D1917" s="4">
        <v>10</v>
      </c>
      <c r="E1917" s="4" t="s">
        <v>746</v>
      </c>
      <c r="F1917" t="s">
        <v>717</v>
      </c>
      <c r="G1917" t="s">
        <v>725</v>
      </c>
      <c r="J1917" s="4" t="s">
        <v>55</v>
      </c>
      <c r="K1917" s="4" t="s">
        <v>739</v>
      </c>
      <c r="L1917" s="4" t="s">
        <v>743</v>
      </c>
      <c r="M1917" s="17">
        <v>417</v>
      </c>
      <c r="N1917" s="17"/>
      <c r="O1917" s="18" t="str">
        <f>AUDITORIA[[#This Row],[CAT]]</f>
        <v>S1</v>
      </c>
      <c r="P1917" s="27">
        <v>14.53</v>
      </c>
      <c r="Q1917" s="18">
        <v>417</v>
      </c>
      <c r="R1917" s="18" t="s">
        <v>778</v>
      </c>
      <c r="S1917" s="18"/>
      <c r="T1917" s="18"/>
      <c r="U19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17" s="19">
        <f>IF(AUDITORIA[[#This Row],[CAT]]="",0,1)</f>
        <v>1</v>
      </c>
      <c r="W1917" s="20">
        <v>46197</v>
      </c>
      <c r="X1917" s="21" t="str">
        <f>UPPER(IF(AUDITORIA[[#This Row],[DATA VERIFICAÇÃO]]="","",TEXT(AUDITORIA[[#This Row],[DATA VERIFICAÇÃO]],"mmm")))</f>
        <v>JUN</v>
      </c>
    </row>
    <row r="1918" spans="1:24" ht="14.4" hidden="1" customHeight="1" x14ac:dyDescent="0.3">
      <c r="A1918" s="4" t="s">
        <v>0</v>
      </c>
      <c r="B1918" s="4" t="s">
        <v>17</v>
      </c>
      <c r="C1918" s="16" t="s">
        <v>18</v>
      </c>
      <c r="D1918" s="4">
        <v>10</v>
      </c>
      <c r="E1918" s="4" t="s">
        <v>746</v>
      </c>
      <c r="F1918" t="s">
        <v>715</v>
      </c>
      <c r="G1918" t="s">
        <v>725</v>
      </c>
      <c r="J1918" s="4" t="s">
        <v>55</v>
      </c>
      <c r="K1918" s="4" t="s">
        <v>732</v>
      </c>
      <c r="L1918" s="4" t="s">
        <v>743</v>
      </c>
      <c r="M1918" s="17">
        <v>130</v>
      </c>
      <c r="N1918" s="17"/>
      <c r="O1918" s="18" t="str">
        <f>AUDITORIA[[#This Row],[CAT]]</f>
        <v>S1</v>
      </c>
      <c r="P1918" s="18"/>
      <c r="Q1918" s="18">
        <v>130</v>
      </c>
      <c r="R1918" s="18" t="s">
        <v>778</v>
      </c>
      <c r="S1918" s="18"/>
      <c r="T1918" s="18"/>
      <c r="U19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18" s="19">
        <f>IF(AUDITORIA[[#This Row],[CAT]]="",0,1)</f>
        <v>1</v>
      </c>
      <c r="W1918" s="20">
        <v>46197</v>
      </c>
      <c r="X1918" s="21" t="str">
        <f>UPPER(IF(AUDITORIA[[#This Row],[DATA VERIFICAÇÃO]]="","",TEXT(AUDITORIA[[#This Row],[DATA VERIFICAÇÃO]],"mmm")))</f>
        <v>JUN</v>
      </c>
    </row>
    <row r="1919" spans="1:24" ht="14.4" hidden="1" customHeight="1" x14ac:dyDescent="0.3">
      <c r="A1919" s="4" t="s">
        <v>0</v>
      </c>
      <c r="B1919" s="4" t="s">
        <v>17</v>
      </c>
      <c r="C1919" s="16" t="s">
        <v>18</v>
      </c>
      <c r="D1919" s="4">
        <v>10</v>
      </c>
      <c r="E1919" s="4" t="s">
        <v>746</v>
      </c>
      <c r="F1919" t="s">
        <v>718</v>
      </c>
      <c r="G1919" t="s">
        <v>725</v>
      </c>
      <c r="J1919" s="4" t="s">
        <v>55</v>
      </c>
      <c r="K1919" s="4" t="s">
        <v>729</v>
      </c>
      <c r="L1919" s="4" t="s">
        <v>743</v>
      </c>
      <c r="M1919" s="17">
        <v>97</v>
      </c>
      <c r="N1919" s="17"/>
      <c r="O1919" s="18" t="str">
        <f>AUDITORIA[[#This Row],[CAT]]</f>
        <v>S1</v>
      </c>
      <c r="P1919" s="27">
        <v>16.29</v>
      </c>
      <c r="Q1919" s="18">
        <v>95</v>
      </c>
      <c r="R1919" s="18" t="s">
        <v>778</v>
      </c>
      <c r="S1919" s="18"/>
      <c r="T1919" s="18"/>
      <c r="U1919" s="19" t="str">
        <f>IF(AUDITORIA[[#This Row],[QTD FÍSICA]]="","",IF(AND(AUDITORIA[[#This Row],[CAT]]=AUDITORIA[[#This Row],[CAT. FÍS.]],AUDITORIA[[#This Row],[QTD FÍSICA]]=AUDITORIA[[#This Row],[QTD SISTEMA]]),"SIM","NÃO"))</f>
        <v>NÃO</v>
      </c>
      <c r="V1919" s="19">
        <f>IF(AUDITORIA[[#This Row],[CAT]]="",0,1)</f>
        <v>1</v>
      </c>
      <c r="W1919" s="20">
        <v>46197</v>
      </c>
      <c r="X1919" s="21" t="str">
        <f>UPPER(IF(AUDITORIA[[#This Row],[DATA VERIFICAÇÃO]]="","",TEXT(AUDITORIA[[#This Row],[DATA VERIFICAÇÃO]],"mmm")))</f>
        <v>JUN</v>
      </c>
    </row>
    <row r="1920" spans="1:24" ht="14.4" hidden="1" customHeight="1" x14ac:dyDescent="0.3">
      <c r="A1920" s="4" t="s">
        <v>0</v>
      </c>
      <c r="B1920" s="4" t="s">
        <v>17</v>
      </c>
      <c r="C1920" s="16" t="s">
        <v>18</v>
      </c>
      <c r="D1920" s="4">
        <v>10</v>
      </c>
      <c r="E1920" s="4" t="s">
        <v>746</v>
      </c>
      <c r="F1920" t="s">
        <v>693</v>
      </c>
      <c r="G1920" t="s">
        <v>725</v>
      </c>
      <c r="J1920" s="4" t="s">
        <v>55</v>
      </c>
      <c r="K1920" s="4" t="s">
        <v>728</v>
      </c>
      <c r="L1920" s="4" t="s">
        <v>743</v>
      </c>
      <c r="M1920" s="17">
        <v>254</v>
      </c>
      <c r="N1920" s="17"/>
      <c r="O1920" s="18" t="str">
        <f>AUDITORIA[[#This Row],[CAT]]</f>
        <v>S1</v>
      </c>
      <c r="P1920" s="18"/>
      <c r="Q1920" s="18">
        <v>254</v>
      </c>
      <c r="R1920" s="18" t="s">
        <v>778</v>
      </c>
      <c r="S1920" s="18"/>
      <c r="T1920" s="18"/>
      <c r="U19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20" s="19">
        <f>IF(AUDITORIA[[#This Row],[CAT]]="",0,1)</f>
        <v>1</v>
      </c>
      <c r="W1920" s="20">
        <v>46197</v>
      </c>
      <c r="X1920" s="21" t="str">
        <f>UPPER(IF(AUDITORIA[[#This Row],[DATA VERIFICAÇÃO]]="","",TEXT(AUDITORIA[[#This Row],[DATA VERIFICAÇÃO]],"mmm")))</f>
        <v>JUN</v>
      </c>
    </row>
    <row r="1921" spans="1:27" ht="14.4" hidden="1" customHeight="1" x14ac:dyDescent="0.3">
      <c r="A1921" s="4" t="s">
        <v>0</v>
      </c>
      <c r="B1921" s="4" t="s">
        <v>17</v>
      </c>
      <c r="C1921" s="16" t="s">
        <v>18</v>
      </c>
      <c r="D1921" s="4">
        <v>10</v>
      </c>
      <c r="E1921" s="4" t="s">
        <v>746</v>
      </c>
      <c r="F1921" t="s">
        <v>694</v>
      </c>
      <c r="G1921" t="s">
        <v>725</v>
      </c>
      <c r="J1921" s="4" t="s">
        <v>55</v>
      </c>
      <c r="K1921" s="4" t="s">
        <v>729</v>
      </c>
      <c r="L1921" s="4" t="s">
        <v>743</v>
      </c>
      <c r="M1921" s="17">
        <v>456</v>
      </c>
      <c r="N1921" s="17"/>
      <c r="O1921" s="18" t="str">
        <f>AUDITORIA[[#This Row],[CAT]]</f>
        <v>S1</v>
      </c>
      <c r="P1921" s="18"/>
      <c r="Q1921" s="18">
        <v>456</v>
      </c>
      <c r="R1921" s="18" t="s">
        <v>778</v>
      </c>
      <c r="S1921" s="18"/>
      <c r="T1921" s="18"/>
      <c r="U19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21" s="19">
        <f>IF(AUDITORIA[[#This Row],[CAT]]="",0,1)</f>
        <v>1</v>
      </c>
      <c r="W1921" s="20">
        <v>46197</v>
      </c>
      <c r="X1921" s="21" t="str">
        <f>UPPER(IF(AUDITORIA[[#This Row],[DATA VERIFICAÇÃO]]="","",TEXT(AUDITORIA[[#This Row],[DATA VERIFICAÇÃO]],"mmm")))</f>
        <v>JUN</v>
      </c>
    </row>
    <row r="1922" spans="1:27" ht="14.4" hidden="1" customHeight="1" x14ac:dyDescent="0.3">
      <c r="A1922" s="4" t="s">
        <v>0</v>
      </c>
      <c r="B1922" s="4" t="s">
        <v>17</v>
      </c>
      <c r="C1922" s="16" t="s">
        <v>18</v>
      </c>
      <c r="D1922" s="4">
        <v>10</v>
      </c>
      <c r="E1922" s="4" t="s">
        <v>746</v>
      </c>
      <c r="F1922" t="s">
        <v>896</v>
      </c>
      <c r="G1922" t="s">
        <v>900</v>
      </c>
      <c r="J1922" s="4" t="s">
        <v>55</v>
      </c>
      <c r="L1922" s="4" t="s">
        <v>743</v>
      </c>
      <c r="M1922" s="17">
        <v>144</v>
      </c>
      <c r="N1922" s="17"/>
      <c r="O1922" s="18" t="str">
        <f>AUDITORIA[[#This Row],[CAT]]</f>
        <v>S1</v>
      </c>
      <c r="P1922" s="18"/>
      <c r="Q1922" s="18">
        <v>134</v>
      </c>
      <c r="R1922" s="18" t="s">
        <v>778</v>
      </c>
      <c r="S1922" s="18"/>
      <c r="T1922" s="18"/>
      <c r="U1922" s="19" t="str">
        <f>IF(AUDITORIA[[#This Row],[QTD FÍSICA]]="","",IF(AND(AUDITORIA[[#This Row],[CAT]]=AUDITORIA[[#This Row],[CAT. FÍS.]],AUDITORIA[[#This Row],[QTD FÍSICA]]=AUDITORIA[[#This Row],[QTD SISTEMA]]),"SIM","NÃO"))</f>
        <v>NÃO</v>
      </c>
      <c r="V1922" s="19">
        <f>IF(AUDITORIA[[#This Row],[CAT]]="",0,1)</f>
        <v>1</v>
      </c>
      <c r="W1922" s="20">
        <v>46197</v>
      </c>
      <c r="X1922" s="21" t="str">
        <f>UPPER(IF(AUDITORIA[[#This Row],[DATA VERIFICAÇÃO]]="","",TEXT(AUDITORIA[[#This Row],[DATA VERIFICAÇÃO]],"mmm")))</f>
        <v>JUN</v>
      </c>
    </row>
    <row r="1923" spans="1:27" ht="14.4" hidden="1" customHeight="1" x14ac:dyDescent="0.3">
      <c r="A1923" s="4" t="s">
        <v>0</v>
      </c>
      <c r="B1923" s="4" t="s">
        <v>17</v>
      </c>
      <c r="C1923" s="16" t="s">
        <v>18</v>
      </c>
      <c r="D1923" s="4">
        <v>10</v>
      </c>
      <c r="E1923" s="4" t="s">
        <v>746</v>
      </c>
      <c r="F1923" t="s">
        <v>897</v>
      </c>
      <c r="G1923" t="s">
        <v>900</v>
      </c>
      <c r="J1923" s="4" t="s">
        <v>55</v>
      </c>
      <c r="L1923" s="4" t="s">
        <v>743</v>
      </c>
      <c r="M1923" s="17">
        <v>164</v>
      </c>
      <c r="N1923" s="17"/>
      <c r="O1923" s="18" t="str">
        <f>AUDITORIA[[#This Row],[CAT]]</f>
        <v>S1</v>
      </c>
      <c r="P1923" s="18"/>
      <c r="Q1923" s="18">
        <v>164</v>
      </c>
      <c r="R1923" s="18" t="s">
        <v>778</v>
      </c>
      <c r="S1923" s="18"/>
      <c r="T1923" s="18"/>
      <c r="U19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23" s="19">
        <f>IF(AUDITORIA[[#This Row],[CAT]]="",0,1)</f>
        <v>1</v>
      </c>
      <c r="W1923" s="20">
        <v>46197</v>
      </c>
      <c r="X1923" s="21" t="str">
        <f>UPPER(IF(AUDITORIA[[#This Row],[DATA VERIFICAÇÃO]]="","",TEXT(AUDITORIA[[#This Row],[DATA VERIFICAÇÃO]],"mmm")))</f>
        <v>JUN</v>
      </c>
    </row>
    <row r="1924" spans="1:27" ht="14.4" hidden="1" customHeight="1" x14ac:dyDescent="0.3">
      <c r="A1924" s="4" t="s">
        <v>0</v>
      </c>
      <c r="B1924" s="4" t="s">
        <v>17</v>
      </c>
      <c r="C1924" s="16" t="s">
        <v>18</v>
      </c>
      <c r="D1924" s="4">
        <v>10</v>
      </c>
      <c r="E1924" s="4" t="s">
        <v>746</v>
      </c>
      <c r="F1924" t="s">
        <v>898</v>
      </c>
      <c r="G1924" t="s">
        <v>900</v>
      </c>
      <c r="J1924" s="4" t="s">
        <v>55</v>
      </c>
      <c r="L1924" s="4" t="s">
        <v>743</v>
      </c>
      <c r="M1924" s="17">
        <v>285</v>
      </c>
      <c r="N1924" s="17"/>
      <c r="O1924" s="18" t="str">
        <f>AUDITORIA[[#This Row],[CAT]]</f>
        <v>S1</v>
      </c>
      <c r="P1924" s="18"/>
      <c r="Q1924" s="18">
        <v>285</v>
      </c>
      <c r="R1924" s="18" t="s">
        <v>778</v>
      </c>
      <c r="S1924" s="18"/>
      <c r="T1924" s="18"/>
      <c r="U19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24" s="19">
        <f>IF(AUDITORIA[[#This Row],[CAT]]="",0,1)</f>
        <v>1</v>
      </c>
      <c r="W1924" s="20">
        <v>46197</v>
      </c>
      <c r="X1924" s="21" t="str">
        <f>UPPER(IF(AUDITORIA[[#This Row],[DATA VERIFICAÇÃO]]="","",TEXT(AUDITORIA[[#This Row],[DATA VERIFICAÇÃO]],"mmm")))</f>
        <v>JUN</v>
      </c>
    </row>
    <row r="1925" spans="1:27" ht="14.4" hidden="1" customHeight="1" x14ac:dyDescent="0.3">
      <c r="A1925" s="4" t="s">
        <v>0</v>
      </c>
      <c r="B1925" s="4" t="s">
        <v>17</v>
      </c>
      <c r="C1925" s="16" t="s">
        <v>18</v>
      </c>
      <c r="D1925" s="4">
        <v>10</v>
      </c>
      <c r="E1925" s="4" t="s">
        <v>746</v>
      </c>
      <c r="F1925" t="s">
        <v>899</v>
      </c>
      <c r="G1925" t="s">
        <v>900</v>
      </c>
      <c r="J1925" s="4" t="s">
        <v>55</v>
      </c>
      <c r="L1925" s="4" t="s">
        <v>743</v>
      </c>
      <c r="M1925" s="17">
        <v>21</v>
      </c>
      <c r="N1925" s="17"/>
      <c r="O1925" s="18" t="str">
        <f>AUDITORIA[[#This Row],[CAT]]</f>
        <v>S1</v>
      </c>
      <c r="P1925" s="18"/>
      <c r="Q1925" s="18">
        <v>21</v>
      </c>
      <c r="R1925" s="18" t="s">
        <v>778</v>
      </c>
      <c r="S1925" s="18"/>
      <c r="T1925" s="18"/>
      <c r="U19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25" s="19">
        <f>IF(AUDITORIA[[#This Row],[CAT]]="",0,1)</f>
        <v>1</v>
      </c>
      <c r="W1925" s="20">
        <v>46197</v>
      </c>
      <c r="X1925" s="21" t="str">
        <f>UPPER(IF(AUDITORIA[[#This Row],[DATA VERIFICAÇÃO]]="","",TEXT(AUDITORIA[[#This Row],[DATA VERIFICAÇÃO]],"mmm")))</f>
        <v>JUN</v>
      </c>
    </row>
    <row r="1926" spans="1:27" ht="14.4" hidden="1" customHeight="1" x14ac:dyDescent="0.3">
      <c r="A1926" s="4" t="s">
        <v>0</v>
      </c>
      <c r="B1926" s="4" t="s">
        <v>17</v>
      </c>
      <c r="C1926" s="16" t="s">
        <v>18</v>
      </c>
      <c r="D1926" s="4">
        <v>10</v>
      </c>
      <c r="E1926" s="4" t="s">
        <v>745</v>
      </c>
      <c r="F1926" t="s">
        <v>276</v>
      </c>
      <c r="G1926" t="s">
        <v>233</v>
      </c>
      <c r="H1926" s="4" t="s">
        <v>88</v>
      </c>
      <c r="I1926" s="4" t="s">
        <v>20</v>
      </c>
      <c r="J1926" s="4" t="s">
        <v>88</v>
      </c>
      <c r="K1926" s="4" t="s">
        <v>20</v>
      </c>
      <c r="L1926" s="4" t="s">
        <v>742</v>
      </c>
      <c r="M1926" s="17">
        <v>27</v>
      </c>
      <c r="N1926" s="17">
        <v>923</v>
      </c>
      <c r="O1926" s="18" t="s">
        <v>88</v>
      </c>
      <c r="P1926" s="18">
        <v>923</v>
      </c>
      <c r="Q1926" s="18">
        <v>27</v>
      </c>
      <c r="R1926" s="18" t="str">
        <f>VLOOKUP(AUDITORIA[[#This Row],[LOTE]],[1]ENDEREÇAMENTO!$C$2:$J$9999,8,FALSE)</f>
        <v>Cam.C</v>
      </c>
      <c r="S1926" s="18" t="str">
        <f>VLOOKUP(RIGHT(AUDITORIA[[#This Row],[LOTE]],4),[2]Lotes!$A$2:$E$209,2,FALSE)</f>
        <v>QD.37</v>
      </c>
      <c r="T1926" s="18" t="str">
        <f>VLOOKUP(RIGHT(AUDITORIA[[#This Row],[LOTE]],4),[2]Lotes!$A$2:$E$209,4,FALSE)</f>
        <v>F1</v>
      </c>
      <c r="U19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26" s="19">
        <f>IF(AUDITORIA[[#This Row],[CAT]]="",0,1)</f>
        <v>1</v>
      </c>
      <c r="W1926" s="20">
        <v>46232</v>
      </c>
      <c r="X1926" s="21" t="s">
        <v>906</v>
      </c>
      <c r="Y1926" s="24" t="s">
        <v>901</v>
      </c>
      <c r="Z1926" s="24" t="s">
        <v>902</v>
      </c>
      <c r="AA1926" s="24" t="s">
        <v>903</v>
      </c>
    </row>
    <row r="1927" spans="1:27" ht="14.4" hidden="1" customHeight="1" x14ac:dyDescent="0.3">
      <c r="A1927" s="4" t="s">
        <v>0</v>
      </c>
      <c r="B1927" s="4" t="s">
        <v>17</v>
      </c>
      <c r="C1927" s="16" t="s">
        <v>18</v>
      </c>
      <c r="D1927" s="4">
        <v>10</v>
      </c>
      <c r="E1927" s="4" t="s">
        <v>745</v>
      </c>
      <c r="F1927" t="s">
        <v>275</v>
      </c>
      <c r="G1927" t="s">
        <v>233</v>
      </c>
      <c r="H1927" s="4" t="s">
        <v>88</v>
      </c>
      <c r="I1927" s="4" t="s">
        <v>20</v>
      </c>
      <c r="J1927" s="4" t="s">
        <v>88</v>
      </c>
      <c r="K1927" s="4" t="s">
        <v>20</v>
      </c>
      <c r="L1927" s="4" t="s">
        <v>742</v>
      </c>
      <c r="M1927" s="17">
        <v>30</v>
      </c>
      <c r="N1927" s="17">
        <v>868</v>
      </c>
      <c r="O1927" s="18" t="s">
        <v>88</v>
      </c>
      <c r="P1927" s="18">
        <v>868</v>
      </c>
      <c r="Q1927" s="18">
        <v>30</v>
      </c>
      <c r="R1927" s="18" t="str">
        <f>VLOOKUP(AUDITORIA[[#This Row],[LOTE]],[1]ENDEREÇAMENTO!$C$2:$J$9999,8,FALSE)</f>
        <v>Cam.C</v>
      </c>
      <c r="S1927" s="18" t="str">
        <f>VLOOKUP(RIGHT(AUDITORIA[[#This Row],[LOTE]],4),[2]Lotes!$A$2:$E$209,2,FALSE)</f>
        <v>QD.37</v>
      </c>
      <c r="T1927" s="18" t="str">
        <f>VLOOKUP(RIGHT(AUDITORIA[[#This Row],[LOTE]],4),[2]Lotes!$A$2:$E$209,4,FALSE)</f>
        <v>F2</v>
      </c>
      <c r="U19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27" s="19">
        <f>IF(AUDITORIA[[#This Row],[CAT]]="",0,1)</f>
        <v>1</v>
      </c>
      <c r="W1927" s="20">
        <v>46232</v>
      </c>
      <c r="X1927" s="21" t="s">
        <v>906</v>
      </c>
      <c r="Y1927" s="24" t="s">
        <v>901</v>
      </c>
      <c r="Z1927" s="24" t="s">
        <v>902</v>
      </c>
      <c r="AA1927" s="24" t="s">
        <v>903</v>
      </c>
    </row>
    <row r="1928" spans="1:27" ht="14.4" hidden="1" customHeight="1" x14ac:dyDescent="0.3">
      <c r="A1928" s="4" t="s">
        <v>0</v>
      </c>
      <c r="B1928" s="4" t="s">
        <v>17</v>
      </c>
      <c r="C1928" s="16" t="s">
        <v>18</v>
      </c>
      <c r="D1928" s="4">
        <v>10</v>
      </c>
      <c r="E1928" s="4" t="s">
        <v>745</v>
      </c>
      <c r="F1928" t="s">
        <v>274</v>
      </c>
      <c r="G1928" t="s">
        <v>233</v>
      </c>
      <c r="H1928" s="4" t="s">
        <v>88</v>
      </c>
      <c r="I1928" s="4" t="s">
        <v>20</v>
      </c>
      <c r="J1928" s="4" t="s">
        <v>88</v>
      </c>
      <c r="K1928" s="4" t="s">
        <v>20</v>
      </c>
      <c r="L1928" s="4" t="s">
        <v>742</v>
      </c>
      <c r="M1928" s="17">
        <v>30</v>
      </c>
      <c r="N1928" s="17">
        <v>782</v>
      </c>
      <c r="O1928" s="18" t="s">
        <v>88</v>
      </c>
      <c r="P1928" s="18">
        <v>782</v>
      </c>
      <c r="Q1928" s="18">
        <v>30</v>
      </c>
      <c r="R1928" s="18" t="str">
        <f>VLOOKUP(AUDITORIA[[#This Row],[LOTE]],[1]ENDEREÇAMENTO!$C$2:$J$9999,8,FALSE)</f>
        <v>Cam.C</v>
      </c>
      <c r="S1928" s="18" t="str">
        <f>VLOOKUP(RIGHT(AUDITORIA[[#This Row],[LOTE]],4),[2]Lotes!$A$2:$E$209,2,FALSE)</f>
        <v>QD.37</v>
      </c>
      <c r="T1928" s="18" t="str">
        <f>VLOOKUP(RIGHT(AUDITORIA[[#This Row],[LOTE]],4),[2]Lotes!$A$2:$E$209,4,FALSE)</f>
        <v>F3</v>
      </c>
      <c r="U19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28" s="19">
        <f>IF(AUDITORIA[[#This Row],[CAT]]="",0,1)</f>
        <v>1</v>
      </c>
      <c r="W1928" s="20">
        <v>46232</v>
      </c>
      <c r="X1928" s="21" t="s">
        <v>906</v>
      </c>
      <c r="Y1928" s="24" t="s">
        <v>901</v>
      </c>
      <c r="Z1928" s="24" t="s">
        <v>902</v>
      </c>
      <c r="AA1928" s="24" t="s">
        <v>903</v>
      </c>
    </row>
    <row r="1929" spans="1:27" ht="14.4" hidden="1" customHeight="1" x14ac:dyDescent="0.3">
      <c r="A1929" s="4" t="s">
        <v>0</v>
      </c>
      <c r="B1929" s="4" t="s">
        <v>17</v>
      </c>
      <c r="C1929" s="16" t="s">
        <v>18</v>
      </c>
      <c r="D1929" s="4">
        <v>10</v>
      </c>
      <c r="E1929" s="4" t="s">
        <v>745</v>
      </c>
      <c r="F1929" t="s">
        <v>253</v>
      </c>
      <c r="G1929" t="s">
        <v>233</v>
      </c>
      <c r="H1929" s="4" t="s">
        <v>88</v>
      </c>
      <c r="I1929" s="4" t="s">
        <v>21</v>
      </c>
      <c r="J1929" s="4" t="s">
        <v>88</v>
      </c>
      <c r="K1929" s="4" t="s">
        <v>21</v>
      </c>
      <c r="L1929" s="4" t="s">
        <v>742</v>
      </c>
      <c r="M1929" s="17">
        <v>27</v>
      </c>
      <c r="N1929" s="17">
        <v>964</v>
      </c>
      <c r="O1929" s="18" t="s">
        <v>88</v>
      </c>
      <c r="P1929" s="18">
        <v>964</v>
      </c>
      <c r="Q1929" s="18">
        <v>27</v>
      </c>
      <c r="R1929" s="18" t="str">
        <f>VLOOKUP(AUDITORIA[[#This Row],[LOTE]],[1]ENDEREÇAMENTO!$C$2:$J$9999,8,FALSE)</f>
        <v>Cam.C</v>
      </c>
      <c r="S1929" s="18" t="str">
        <f>VLOOKUP(RIGHT(AUDITORIA[[#This Row],[LOTE]],4),[2]Lotes!$A$2:$E$209,2,FALSE)</f>
        <v>QD.34</v>
      </c>
      <c r="T1929" s="18" t="str">
        <f>VLOOKUP(RIGHT(AUDITORIA[[#This Row],[LOTE]],4),[2]Lotes!$A$2:$E$209,4,FALSE)</f>
        <v>F1</v>
      </c>
      <c r="U19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29" s="19">
        <f>IF(AUDITORIA[[#This Row],[CAT]]="",0,1)</f>
        <v>1</v>
      </c>
      <c r="W1929" s="20">
        <v>46232</v>
      </c>
      <c r="X1929" s="21" t="s">
        <v>906</v>
      </c>
      <c r="Y1929" s="24" t="s">
        <v>901</v>
      </c>
      <c r="Z1929" s="24" t="s">
        <v>902</v>
      </c>
      <c r="AA1929" s="24" t="s">
        <v>903</v>
      </c>
    </row>
    <row r="1930" spans="1:27" ht="14.4" hidden="1" customHeight="1" x14ac:dyDescent="0.3">
      <c r="A1930" s="4" t="s">
        <v>0</v>
      </c>
      <c r="B1930" s="4" t="s">
        <v>17</v>
      </c>
      <c r="C1930" s="16" t="s">
        <v>18</v>
      </c>
      <c r="D1930" s="4">
        <v>10</v>
      </c>
      <c r="E1930" s="4" t="s">
        <v>745</v>
      </c>
      <c r="F1930" t="s">
        <v>254</v>
      </c>
      <c r="G1930" t="s">
        <v>233</v>
      </c>
      <c r="H1930" s="4" t="s">
        <v>88</v>
      </c>
      <c r="I1930" s="4" t="s">
        <v>21</v>
      </c>
      <c r="J1930" s="4" t="s">
        <v>88</v>
      </c>
      <c r="K1930" s="4" t="s">
        <v>21</v>
      </c>
      <c r="L1930" s="4" t="s">
        <v>742</v>
      </c>
      <c r="M1930" s="17">
        <v>9</v>
      </c>
      <c r="N1930" s="17">
        <v>1127</v>
      </c>
      <c r="O1930" s="18" t="s">
        <v>88</v>
      </c>
      <c r="P1930" s="18">
        <v>1127</v>
      </c>
      <c r="Q1930" s="18">
        <v>9</v>
      </c>
      <c r="R1930" s="18" t="str">
        <f>VLOOKUP(AUDITORIA[[#This Row],[LOTE]],[1]ENDEREÇAMENTO!$C$2:$J$9999,8,FALSE)</f>
        <v>Cam.C</v>
      </c>
      <c r="S1930" s="18" t="str">
        <f>VLOOKUP(RIGHT(AUDITORIA[[#This Row],[LOTE]],4),[2]Lotes!$A$2:$E$209,2,FALSE)</f>
        <v>QD.38</v>
      </c>
      <c r="T1930" s="18" t="str">
        <f>VLOOKUP(RIGHT(AUDITORIA[[#This Row],[LOTE]],4),[2]Lotes!$A$2:$E$209,4,FALSE)</f>
        <v>F4</v>
      </c>
      <c r="U19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30" s="19">
        <f>IF(AUDITORIA[[#This Row],[CAT]]="",0,1)</f>
        <v>1</v>
      </c>
      <c r="W1930" s="20">
        <v>46232</v>
      </c>
      <c r="X1930" s="21" t="s">
        <v>906</v>
      </c>
      <c r="Y1930" s="24" t="s">
        <v>901</v>
      </c>
      <c r="Z1930" s="24" t="s">
        <v>902</v>
      </c>
      <c r="AA1930" s="24" t="s">
        <v>903</v>
      </c>
    </row>
    <row r="1931" spans="1:27" ht="14.4" hidden="1" customHeight="1" x14ac:dyDescent="0.3">
      <c r="A1931" s="4" t="s">
        <v>0</v>
      </c>
      <c r="B1931" s="4" t="s">
        <v>17</v>
      </c>
      <c r="C1931" s="16" t="s">
        <v>18</v>
      </c>
      <c r="D1931" s="4">
        <v>10</v>
      </c>
      <c r="E1931" s="4" t="s">
        <v>745</v>
      </c>
      <c r="F1931" t="s">
        <v>273</v>
      </c>
      <c r="G1931" t="s">
        <v>233</v>
      </c>
      <c r="H1931" s="4" t="s">
        <v>88</v>
      </c>
      <c r="I1931" s="4" t="s">
        <v>20</v>
      </c>
      <c r="J1931" s="4" t="s">
        <v>88</v>
      </c>
      <c r="K1931" s="4" t="s">
        <v>20</v>
      </c>
      <c r="L1931" s="4" t="s">
        <v>742</v>
      </c>
      <c r="M1931" s="17">
        <v>30</v>
      </c>
      <c r="N1931" s="17">
        <v>795</v>
      </c>
      <c r="O1931" s="18" t="s">
        <v>88</v>
      </c>
      <c r="P1931" s="18">
        <v>795</v>
      </c>
      <c r="Q1931" s="18">
        <v>30</v>
      </c>
      <c r="R1931" s="18" t="str">
        <f>VLOOKUP(AUDITORIA[[#This Row],[LOTE]],[1]ENDEREÇAMENTO!$C$2:$J$9999,8,FALSE)</f>
        <v>Cam.C</v>
      </c>
      <c r="S1931" s="18" t="str">
        <f>VLOOKUP(RIGHT(AUDITORIA[[#This Row],[LOTE]],4),[2]Lotes!$A$2:$E$209,2,FALSE)</f>
        <v>QD.35</v>
      </c>
      <c r="T1931" s="18" t="str">
        <f>VLOOKUP(RIGHT(AUDITORIA[[#This Row],[LOTE]],4),[2]Lotes!$A$2:$E$209,4,FALSE)</f>
        <v>F1</v>
      </c>
      <c r="U19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31" s="19">
        <f>IF(AUDITORIA[[#This Row],[CAT]]="",0,1)</f>
        <v>1</v>
      </c>
      <c r="W1931" s="20">
        <v>46232</v>
      </c>
      <c r="X1931" s="21" t="s">
        <v>906</v>
      </c>
      <c r="Y1931" s="24" t="s">
        <v>901</v>
      </c>
      <c r="Z1931" s="24" t="s">
        <v>902</v>
      </c>
      <c r="AA1931" s="24" t="s">
        <v>903</v>
      </c>
    </row>
    <row r="1932" spans="1:27" ht="14.4" hidden="1" customHeight="1" x14ac:dyDescent="0.3">
      <c r="A1932" s="4" t="s">
        <v>0</v>
      </c>
      <c r="B1932" s="4" t="s">
        <v>17</v>
      </c>
      <c r="C1932" s="16" t="s">
        <v>18</v>
      </c>
      <c r="D1932" s="4">
        <v>10</v>
      </c>
      <c r="E1932" s="4" t="s">
        <v>745</v>
      </c>
      <c r="F1932" t="s">
        <v>272</v>
      </c>
      <c r="G1932" t="s">
        <v>233</v>
      </c>
      <c r="H1932" s="4" t="s">
        <v>88</v>
      </c>
      <c r="I1932" s="4" t="s">
        <v>20</v>
      </c>
      <c r="J1932" s="4" t="s">
        <v>88</v>
      </c>
      <c r="K1932" s="4" t="s">
        <v>20</v>
      </c>
      <c r="L1932" s="4" t="s">
        <v>742</v>
      </c>
      <c r="M1932" s="17">
        <v>30</v>
      </c>
      <c r="N1932" s="17">
        <v>790</v>
      </c>
      <c r="O1932" s="18" t="s">
        <v>88</v>
      </c>
      <c r="P1932" s="18">
        <v>790</v>
      </c>
      <c r="Q1932" s="18">
        <v>30</v>
      </c>
      <c r="R1932" s="18" t="str">
        <f>VLOOKUP(AUDITORIA[[#This Row],[LOTE]],[1]ENDEREÇAMENTO!$C$2:$J$9999,8,FALSE)</f>
        <v>Cam.C</v>
      </c>
      <c r="S1932" s="18" t="str">
        <f>VLOOKUP(RIGHT(AUDITORIA[[#This Row],[LOTE]],4),[2]Lotes!$A$2:$E$209,2,FALSE)</f>
        <v>QD.35</v>
      </c>
      <c r="T1932" s="18" t="str">
        <f>VLOOKUP(RIGHT(AUDITORIA[[#This Row],[LOTE]],4),[2]Lotes!$A$2:$E$209,4,FALSE)</f>
        <v>F2</v>
      </c>
      <c r="U19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32" s="19">
        <f>IF(AUDITORIA[[#This Row],[CAT]]="",0,1)</f>
        <v>1</v>
      </c>
      <c r="W1932" s="20">
        <v>46232</v>
      </c>
      <c r="X1932" s="21" t="s">
        <v>906</v>
      </c>
      <c r="Y1932" s="24" t="s">
        <v>901</v>
      </c>
      <c r="Z1932" s="24" t="s">
        <v>902</v>
      </c>
      <c r="AA1932" s="24" t="s">
        <v>903</v>
      </c>
    </row>
    <row r="1933" spans="1:27" ht="14.4" hidden="1" customHeight="1" x14ac:dyDescent="0.3">
      <c r="A1933" s="4" t="s">
        <v>0</v>
      </c>
      <c r="B1933" s="4" t="s">
        <v>17</v>
      </c>
      <c r="C1933" s="16" t="s">
        <v>18</v>
      </c>
      <c r="D1933" s="4">
        <v>10</v>
      </c>
      <c r="E1933" s="4" t="s">
        <v>745</v>
      </c>
      <c r="F1933" t="s">
        <v>252</v>
      </c>
      <c r="G1933" t="s">
        <v>233</v>
      </c>
      <c r="H1933" s="4" t="s">
        <v>88</v>
      </c>
      <c r="I1933" s="4" t="s">
        <v>21</v>
      </c>
      <c r="J1933" s="4" t="s">
        <v>88</v>
      </c>
      <c r="K1933" s="4" t="s">
        <v>21</v>
      </c>
      <c r="L1933" s="4" t="s">
        <v>742</v>
      </c>
      <c r="M1933" s="17">
        <v>27</v>
      </c>
      <c r="N1933" s="17">
        <v>946</v>
      </c>
      <c r="O1933" s="18" t="s">
        <v>88</v>
      </c>
      <c r="P1933" s="18">
        <v>946</v>
      </c>
      <c r="Q1933" s="18">
        <v>27</v>
      </c>
      <c r="R1933" s="18" t="str">
        <f>VLOOKUP(AUDITORIA[[#This Row],[LOTE]],[1]ENDEREÇAMENTO!$C$2:$J$9999,8,FALSE)</f>
        <v>Cam.C</v>
      </c>
      <c r="S1933" s="18" t="str">
        <f>VLOOKUP(RIGHT(AUDITORIA[[#This Row],[LOTE]],4),[2]Lotes!$A$2:$E$209,2,FALSE)</f>
        <v>QD.34</v>
      </c>
      <c r="T1933" s="18" t="str">
        <f>VLOOKUP(RIGHT(AUDITORIA[[#This Row],[LOTE]],4),[2]Lotes!$A$2:$E$209,4,FALSE)</f>
        <v>F2</v>
      </c>
      <c r="U19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33" s="19">
        <f>IF(AUDITORIA[[#This Row],[CAT]]="",0,1)</f>
        <v>1</v>
      </c>
      <c r="W1933" s="20">
        <v>46232</v>
      </c>
      <c r="X1933" s="21" t="s">
        <v>906</v>
      </c>
      <c r="Y1933" s="24" t="s">
        <v>901</v>
      </c>
      <c r="Z1933" s="24" t="s">
        <v>902</v>
      </c>
      <c r="AA1933" s="24" t="s">
        <v>903</v>
      </c>
    </row>
    <row r="1934" spans="1:27" ht="14.4" hidden="1" customHeight="1" x14ac:dyDescent="0.3">
      <c r="A1934" s="4" t="s">
        <v>0</v>
      </c>
      <c r="B1934" s="4" t="s">
        <v>17</v>
      </c>
      <c r="C1934" s="16" t="s">
        <v>18</v>
      </c>
      <c r="D1934" s="4">
        <v>10</v>
      </c>
      <c r="E1934" s="4" t="s">
        <v>745</v>
      </c>
      <c r="F1934" t="s">
        <v>271</v>
      </c>
      <c r="G1934" t="s">
        <v>233</v>
      </c>
      <c r="H1934" s="4" t="s">
        <v>88</v>
      </c>
      <c r="I1934" s="4" t="s">
        <v>20</v>
      </c>
      <c r="J1934" s="4" t="s">
        <v>88</v>
      </c>
      <c r="K1934" s="4" t="s">
        <v>20</v>
      </c>
      <c r="L1934" s="4" t="s">
        <v>742</v>
      </c>
      <c r="M1934" s="17">
        <v>30</v>
      </c>
      <c r="N1934" s="17">
        <v>791</v>
      </c>
      <c r="O1934" s="18" t="s">
        <v>88</v>
      </c>
      <c r="P1934" s="18">
        <v>791</v>
      </c>
      <c r="Q1934" s="18">
        <v>30</v>
      </c>
      <c r="R1934" s="18" t="str">
        <f>VLOOKUP(AUDITORIA[[#This Row],[LOTE]],[1]ENDEREÇAMENTO!$C$2:$J$9999,8,FALSE)</f>
        <v>Cam.C</v>
      </c>
      <c r="S1934" s="18" t="str">
        <f>VLOOKUP(RIGHT(AUDITORIA[[#This Row],[LOTE]],4),[2]Lotes!$A$2:$E$209,2,FALSE)</f>
        <v>QD.35</v>
      </c>
      <c r="T1934" s="18" t="str">
        <f>VLOOKUP(RIGHT(AUDITORIA[[#This Row],[LOTE]],4),[2]Lotes!$A$2:$E$209,4,FALSE)</f>
        <v>F3</v>
      </c>
      <c r="U19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34" s="19">
        <f>IF(AUDITORIA[[#This Row],[CAT]]="",0,1)</f>
        <v>1</v>
      </c>
      <c r="W1934" s="20">
        <v>46232</v>
      </c>
      <c r="X1934" s="21" t="s">
        <v>906</v>
      </c>
      <c r="Y1934" s="24" t="s">
        <v>901</v>
      </c>
      <c r="Z1934" s="24" t="s">
        <v>902</v>
      </c>
      <c r="AA1934" s="24" t="s">
        <v>903</v>
      </c>
    </row>
    <row r="1935" spans="1:27" ht="14.4" hidden="1" customHeight="1" x14ac:dyDescent="0.3">
      <c r="A1935" s="4" t="s">
        <v>0</v>
      </c>
      <c r="B1935" s="4" t="s">
        <v>17</v>
      </c>
      <c r="C1935" s="16" t="s">
        <v>18</v>
      </c>
      <c r="D1935" s="4">
        <v>10</v>
      </c>
      <c r="E1935" s="4" t="s">
        <v>745</v>
      </c>
      <c r="F1935" t="s">
        <v>270</v>
      </c>
      <c r="G1935" t="s">
        <v>233</v>
      </c>
      <c r="H1935" s="4" t="s">
        <v>88</v>
      </c>
      <c r="I1935" s="4" t="s">
        <v>20</v>
      </c>
      <c r="J1935" s="4" t="s">
        <v>88</v>
      </c>
      <c r="K1935" s="4" t="s">
        <v>20</v>
      </c>
      <c r="L1935" s="4" t="s">
        <v>742</v>
      </c>
      <c r="M1935" s="17">
        <v>30</v>
      </c>
      <c r="N1935" s="17">
        <v>790</v>
      </c>
      <c r="O1935" s="18" t="s">
        <v>88</v>
      </c>
      <c r="P1935" s="18">
        <v>790</v>
      </c>
      <c r="Q1935" s="18">
        <v>30</v>
      </c>
      <c r="R1935" s="18" t="str">
        <f>VLOOKUP(AUDITORIA[[#This Row],[LOTE]],[1]ENDEREÇAMENTO!$C$2:$J$9999,8,FALSE)</f>
        <v>Cam.C</v>
      </c>
      <c r="S1935" s="18" t="str">
        <f>VLOOKUP(RIGHT(AUDITORIA[[#This Row],[LOTE]],4),[2]Lotes!$A$2:$E$209,2,FALSE)</f>
        <v>QD.35</v>
      </c>
      <c r="T1935" s="18" t="str">
        <f>VLOOKUP(RIGHT(AUDITORIA[[#This Row],[LOTE]],4),[2]Lotes!$A$2:$E$209,4,FALSE)</f>
        <v>F4</v>
      </c>
      <c r="U19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35" s="19">
        <f>IF(AUDITORIA[[#This Row],[CAT]]="",0,1)</f>
        <v>1</v>
      </c>
      <c r="W1935" s="20">
        <v>46232</v>
      </c>
      <c r="X1935" s="21" t="s">
        <v>906</v>
      </c>
      <c r="Y1935" s="24" t="s">
        <v>901</v>
      </c>
      <c r="Z1935" s="24" t="s">
        <v>902</v>
      </c>
      <c r="AA1935" s="24" t="s">
        <v>903</v>
      </c>
    </row>
    <row r="1936" spans="1:27" ht="14.4" hidden="1" customHeight="1" x14ac:dyDescent="0.3">
      <c r="A1936" s="4" t="s">
        <v>0</v>
      </c>
      <c r="B1936" s="4" t="s">
        <v>17</v>
      </c>
      <c r="C1936" s="16" t="s">
        <v>18</v>
      </c>
      <c r="D1936" s="4">
        <v>10</v>
      </c>
      <c r="E1936" s="4" t="s">
        <v>745</v>
      </c>
      <c r="F1936" t="s">
        <v>251</v>
      </c>
      <c r="G1936" t="s">
        <v>233</v>
      </c>
      <c r="H1936" s="4" t="s">
        <v>88</v>
      </c>
      <c r="I1936" s="4" t="s">
        <v>21</v>
      </c>
      <c r="J1936" s="4" t="s">
        <v>88</v>
      </c>
      <c r="K1936" s="4" t="s">
        <v>21</v>
      </c>
      <c r="L1936" s="4" t="s">
        <v>742</v>
      </c>
      <c r="M1936" s="17">
        <v>27</v>
      </c>
      <c r="N1936" s="17">
        <v>955</v>
      </c>
      <c r="O1936" s="18" t="s">
        <v>88</v>
      </c>
      <c r="P1936" s="18">
        <v>955</v>
      </c>
      <c r="Q1936" s="18">
        <v>27</v>
      </c>
      <c r="R1936" s="18" t="str">
        <f>VLOOKUP(AUDITORIA[[#This Row],[LOTE]],[1]ENDEREÇAMENTO!$C$2:$J$9999,8,FALSE)</f>
        <v>Cam.C</v>
      </c>
      <c r="S1936" s="18" t="str">
        <f>VLOOKUP(RIGHT(AUDITORIA[[#This Row],[LOTE]],4),[2]Lotes!$A$2:$E$209,2,FALSE)</f>
        <v>QD.34</v>
      </c>
      <c r="T1936" s="18" t="str">
        <f>VLOOKUP(RIGHT(AUDITORIA[[#This Row],[LOTE]],4),[2]Lotes!$A$2:$E$209,4,FALSE)</f>
        <v>F3</v>
      </c>
      <c r="U19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36" s="19">
        <f>IF(AUDITORIA[[#This Row],[CAT]]="",0,1)</f>
        <v>1</v>
      </c>
      <c r="W1936" s="20">
        <v>46232</v>
      </c>
      <c r="X1936" s="21" t="s">
        <v>906</v>
      </c>
      <c r="Y1936" s="24" t="s">
        <v>901</v>
      </c>
      <c r="Z1936" s="24" t="s">
        <v>902</v>
      </c>
      <c r="AA1936" s="24" t="s">
        <v>903</v>
      </c>
    </row>
    <row r="1937" spans="1:27" ht="14.4" hidden="1" customHeight="1" x14ac:dyDescent="0.3">
      <c r="A1937" s="4" t="s">
        <v>0</v>
      </c>
      <c r="B1937" s="4" t="s">
        <v>17</v>
      </c>
      <c r="C1937" s="16" t="s">
        <v>18</v>
      </c>
      <c r="D1937" s="4">
        <v>10</v>
      </c>
      <c r="E1937" s="4" t="s">
        <v>745</v>
      </c>
      <c r="F1937" t="s">
        <v>269</v>
      </c>
      <c r="G1937" t="s">
        <v>233</v>
      </c>
      <c r="H1937" s="4" t="s">
        <v>88</v>
      </c>
      <c r="I1937" s="4" t="s">
        <v>20</v>
      </c>
      <c r="J1937" s="4" t="s">
        <v>88</v>
      </c>
      <c r="K1937" s="4" t="s">
        <v>20</v>
      </c>
      <c r="L1937" s="4" t="s">
        <v>742</v>
      </c>
      <c r="M1937" s="17">
        <v>30</v>
      </c>
      <c r="N1937" s="17">
        <v>775</v>
      </c>
      <c r="O1937" s="18" t="s">
        <v>88</v>
      </c>
      <c r="P1937" s="18">
        <v>775</v>
      </c>
      <c r="Q1937" s="18">
        <v>30</v>
      </c>
      <c r="R1937" s="18" t="str">
        <f>VLOOKUP(AUDITORIA[[#This Row],[LOTE]],[1]ENDEREÇAMENTO!$C$2:$J$9999,8,FALSE)</f>
        <v>Cam.C</v>
      </c>
      <c r="S1937" s="18" t="str">
        <f>VLOOKUP(RIGHT(AUDITORIA[[#This Row],[LOTE]],4),[2]Lotes!$A$2:$E$209,2,FALSE)</f>
        <v>QD.33</v>
      </c>
      <c r="T1937" s="18" t="str">
        <f>VLOOKUP(RIGHT(AUDITORIA[[#This Row],[LOTE]],4),[2]Lotes!$A$2:$E$209,4,FALSE)</f>
        <v>F1</v>
      </c>
      <c r="U19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37" s="19">
        <f>IF(AUDITORIA[[#This Row],[CAT]]="",0,1)</f>
        <v>1</v>
      </c>
      <c r="W1937" s="20">
        <v>46232</v>
      </c>
      <c r="X1937" s="21" t="s">
        <v>906</v>
      </c>
      <c r="Y1937" s="24" t="s">
        <v>901</v>
      </c>
      <c r="Z1937" s="24" t="s">
        <v>902</v>
      </c>
      <c r="AA1937" s="24" t="s">
        <v>903</v>
      </c>
    </row>
    <row r="1938" spans="1:27" ht="14.4" hidden="1" customHeight="1" x14ac:dyDescent="0.3">
      <c r="A1938" s="4" t="s">
        <v>0</v>
      </c>
      <c r="B1938" s="4" t="s">
        <v>17</v>
      </c>
      <c r="C1938" s="16" t="s">
        <v>18</v>
      </c>
      <c r="D1938" s="4">
        <v>10</v>
      </c>
      <c r="E1938" s="4" t="s">
        <v>745</v>
      </c>
      <c r="F1938" t="s">
        <v>250</v>
      </c>
      <c r="G1938" t="s">
        <v>233</v>
      </c>
      <c r="H1938" s="4" t="s">
        <v>88</v>
      </c>
      <c r="I1938" s="4" t="s">
        <v>21</v>
      </c>
      <c r="J1938" s="4" t="s">
        <v>88</v>
      </c>
      <c r="K1938" s="4" t="s">
        <v>21</v>
      </c>
      <c r="L1938" s="4" t="s">
        <v>742</v>
      </c>
      <c r="M1938" s="17">
        <v>27</v>
      </c>
      <c r="N1938" s="17">
        <v>964</v>
      </c>
      <c r="O1938" s="18" t="s">
        <v>88</v>
      </c>
      <c r="P1938" s="18">
        <v>964</v>
      </c>
      <c r="Q1938" s="18">
        <v>27</v>
      </c>
      <c r="R1938" s="18" t="str">
        <f>VLOOKUP(AUDITORIA[[#This Row],[LOTE]],[1]ENDEREÇAMENTO!$C$2:$J$9999,8,FALSE)</f>
        <v>Cam.C</v>
      </c>
      <c r="S1938" s="18" t="str">
        <f>VLOOKUP(RIGHT(AUDITORIA[[#This Row],[LOTE]],4),[2]Lotes!$A$2:$E$209,2,FALSE)</f>
        <v>QD.34</v>
      </c>
      <c r="T1938" s="18" t="str">
        <f>VLOOKUP(RIGHT(AUDITORIA[[#This Row],[LOTE]],4),[2]Lotes!$A$2:$E$209,4,FALSE)</f>
        <v>F4</v>
      </c>
      <c r="U19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38" s="19">
        <f>IF(AUDITORIA[[#This Row],[CAT]]="",0,1)</f>
        <v>1</v>
      </c>
      <c r="W1938" s="20">
        <v>46232</v>
      </c>
      <c r="X1938" s="21" t="s">
        <v>906</v>
      </c>
      <c r="Y1938" s="24" t="s">
        <v>901</v>
      </c>
      <c r="Z1938" s="24" t="s">
        <v>902</v>
      </c>
      <c r="AA1938" s="24" t="s">
        <v>903</v>
      </c>
    </row>
    <row r="1939" spans="1:27" ht="14.4" hidden="1" customHeight="1" x14ac:dyDescent="0.3">
      <c r="A1939" s="4" t="s">
        <v>0</v>
      </c>
      <c r="B1939" s="4" t="s">
        <v>17</v>
      </c>
      <c r="C1939" s="16" t="s">
        <v>18</v>
      </c>
      <c r="D1939" s="4">
        <v>10</v>
      </c>
      <c r="E1939" s="4" t="s">
        <v>745</v>
      </c>
      <c r="F1939" t="s">
        <v>268</v>
      </c>
      <c r="G1939" t="s">
        <v>233</v>
      </c>
      <c r="H1939" s="4" t="s">
        <v>88</v>
      </c>
      <c r="I1939" s="4" t="s">
        <v>20</v>
      </c>
      <c r="J1939" s="4" t="s">
        <v>88</v>
      </c>
      <c r="K1939" s="4" t="s">
        <v>20</v>
      </c>
      <c r="L1939" s="4" t="s">
        <v>742</v>
      </c>
      <c r="M1939" s="17">
        <v>30</v>
      </c>
      <c r="N1939" s="17">
        <v>800</v>
      </c>
      <c r="O1939" s="18" t="s">
        <v>88</v>
      </c>
      <c r="P1939" s="18">
        <v>800</v>
      </c>
      <c r="Q1939" s="18">
        <v>30</v>
      </c>
      <c r="R1939" s="18" t="str">
        <f>VLOOKUP(AUDITORIA[[#This Row],[LOTE]],[1]ENDEREÇAMENTO!$C$2:$J$9999,8,FALSE)</f>
        <v>Cam.C</v>
      </c>
      <c r="S1939" s="18" t="str">
        <f>VLOOKUP(RIGHT(AUDITORIA[[#This Row],[LOTE]],4),[2]Lotes!$A$2:$E$209,2,FALSE)</f>
        <v>QD.37</v>
      </c>
      <c r="T1939" s="18" t="str">
        <f>VLOOKUP(RIGHT(AUDITORIA[[#This Row],[LOTE]],4),[2]Lotes!$A$2:$E$209,4,FALSE)</f>
        <v>F4</v>
      </c>
      <c r="U19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39" s="19">
        <f>IF(AUDITORIA[[#This Row],[CAT]]="",0,1)</f>
        <v>1</v>
      </c>
      <c r="W1939" s="20">
        <v>46232</v>
      </c>
      <c r="X1939" s="21" t="s">
        <v>906</v>
      </c>
      <c r="Y1939" s="24" t="s">
        <v>901</v>
      </c>
      <c r="Z1939" s="24" t="s">
        <v>902</v>
      </c>
      <c r="AA1939" s="24" t="s">
        <v>903</v>
      </c>
    </row>
    <row r="1940" spans="1:27" ht="14.4" hidden="1" customHeight="1" x14ac:dyDescent="0.3">
      <c r="A1940" s="4" t="s">
        <v>0</v>
      </c>
      <c r="B1940" s="4" t="s">
        <v>17</v>
      </c>
      <c r="C1940" s="16" t="s">
        <v>18</v>
      </c>
      <c r="D1940" s="4">
        <v>10</v>
      </c>
      <c r="E1940" s="4" t="s">
        <v>745</v>
      </c>
      <c r="F1940" t="s">
        <v>267</v>
      </c>
      <c r="G1940" t="s">
        <v>233</v>
      </c>
      <c r="H1940" s="4" t="s">
        <v>88</v>
      </c>
      <c r="I1940" s="4" t="s">
        <v>20</v>
      </c>
      <c r="J1940" s="4" t="s">
        <v>88</v>
      </c>
      <c r="K1940" s="4" t="s">
        <v>20</v>
      </c>
      <c r="L1940" s="4" t="s">
        <v>742</v>
      </c>
      <c r="M1940" s="17">
        <v>30</v>
      </c>
      <c r="N1940" s="17">
        <v>787</v>
      </c>
      <c r="O1940" s="18" t="s">
        <v>88</v>
      </c>
      <c r="P1940" s="18">
        <v>787</v>
      </c>
      <c r="Q1940" s="18">
        <v>30</v>
      </c>
      <c r="R1940" s="18" t="str">
        <f>VLOOKUP(AUDITORIA[[#This Row],[LOTE]],[1]ENDEREÇAMENTO!$C$2:$J$9999,8,FALSE)</f>
        <v>Cam.C</v>
      </c>
      <c r="S1940" s="18" t="str">
        <f>VLOOKUP(RIGHT(AUDITORIA[[#This Row],[LOTE]],4),[2]Lotes!$A$2:$E$209,2,FALSE)</f>
        <v>QD.33</v>
      </c>
      <c r="T1940" s="18" t="str">
        <f>VLOOKUP(RIGHT(AUDITORIA[[#This Row],[LOTE]],4),[2]Lotes!$A$2:$E$209,4,FALSE)</f>
        <v>F2</v>
      </c>
      <c r="U19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40" s="19">
        <f>IF(AUDITORIA[[#This Row],[CAT]]="",0,1)</f>
        <v>1</v>
      </c>
      <c r="W1940" s="20">
        <v>46232</v>
      </c>
      <c r="X1940" s="21" t="s">
        <v>906</v>
      </c>
      <c r="Y1940" s="24" t="s">
        <v>901</v>
      </c>
      <c r="Z1940" s="24" t="s">
        <v>902</v>
      </c>
      <c r="AA1940" s="24" t="s">
        <v>903</v>
      </c>
    </row>
    <row r="1941" spans="1:27" ht="14.4" hidden="1" customHeight="1" x14ac:dyDescent="0.3">
      <c r="A1941" s="4" t="s">
        <v>0</v>
      </c>
      <c r="B1941" s="4" t="s">
        <v>17</v>
      </c>
      <c r="C1941" s="16" t="s">
        <v>18</v>
      </c>
      <c r="D1941" s="4">
        <v>10</v>
      </c>
      <c r="E1941" s="4" t="s">
        <v>745</v>
      </c>
      <c r="F1941" t="s">
        <v>265</v>
      </c>
      <c r="G1941" t="s">
        <v>233</v>
      </c>
      <c r="H1941" s="4" t="s">
        <v>88</v>
      </c>
      <c r="I1941" s="4" t="s">
        <v>20</v>
      </c>
      <c r="J1941" s="4" t="s">
        <v>88</v>
      </c>
      <c r="K1941" s="4" t="s">
        <v>20</v>
      </c>
      <c r="L1941" s="4" t="s">
        <v>742</v>
      </c>
      <c r="M1941" s="17">
        <v>30</v>
      </c>
      <c r="N1941" s="17">
        <v>804</v>
      </c>
      <c r="O1941" s="18" t="s">
        <v>88</v>
      </c>
      <c r="P1941" s="18">
        <v>804</v>
      </c>
      <c r="Q1941" s="18">
        <v>30</v>
      </c>
      <c r="R1941" s="18" t="str">
        <f>VLOOKUP(AUDITORIA[[#This Row],[LOTE]],[1]ENDEREÇAMENTO!$C$2:$J$9999,8,FALSE)</f>
        <v>Cam.C</v>
      </c>
      <c r="S1941" s="18" t="str">
        <f>VLOOKUP(RIGHT(AUDITORIA[[#This Row],[LOTE]],4),[2]Lotes!$A$2:$E$209,2,FALSE)</f>
        <v>QD.31</v>
      </c>
      <c r="T1941" s="18" t="str">
        <f>VLOOKUP(RIGHT(AUDITORIA[[#This Row],[LOTE]],4),[2]Lotes!$A$2:$E$209,4,FALSE)</f>
        <v>F1</v>
      </c>
      <c r="U19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41" s="19">
        <f>IF(AUDITORIA[[#This Row],[CAT]]="",0,1)</f>
        <v>1</v>
      </c>
      <c r="W1941" s="20">
        <v>46232</v>
      </c>
      <c r="X1941" s="21" t="s">
        <v>906</v>
      </c>
      <c r="Y1941" s="24" t="s">
        <v>901</v>
      </c>
      <c r="Z1941" s="24" t="s">
        <v>902</v>
      </c>
      <c r="AA1941" s="24" t="s">
        <v>903</v>
      </c>
    </row>
    <row r="1942" spans="1:27" ht="14.4" hidden="1" customHeight="1" x14ac:dyDescent="0.3">
      <c r="A1942" s="4" t="s">
        <v>0</v>
      </c>
      <c r="B1942" s="4" t="s">
        <v>17</v>
      </c>
      <c r="C1942" s="16" t="s">
        <v>18</v>
      </c>
      <c r="D1942" s="4">
        <v>10</v>
      </c>
      <c r="E1942" s="4" t="s">
        <v>745</v>
      </c>
      <c r="F1942" t="s">
        <v>248</v>
      </c>
      <c r="G1942" t="s">
        <v>233</v>
      </c>
      <c r="H1942" s="4" t="s">
        <v>88</v>
      </c>
      <c r="I1942" s="4" t="s">
        <v>21</v>
      </c>
      <c r="J1942" s="4" t="s">
        <v>88</v>
      </c>
      <c r="K1942" s="4" t="s">
        <v>21</v>
      </c>
      <c r="L1942" s="4" t="s">
        <v>742</v>
      </c>
      <c r="M1942" s="17">
        <v>27</v>
      </c>
      <c r="N1942" s="17">
        <v>973</v>
      </c>
      <c r="O1942" s="18" t="s">
        <v>88</v>
      </c>
      <c r="P1942" s="18">
        <v>973</v>
      </c>
      <c r="Q1942" s="18">
        <v>27</v>
      </c>
      <c r="R1942" s="18" t="str">
        <f>VLOOKUP(AUDITORIA[[#This Row],[LOTE]],[1]ENDEREÇAMENTO!$C$2:$J$9999,8,FALSE)</f>
        <v>Cam.C</v>
      </c>
      <c r="S1942" s="18" t="str">
        <f>VLOOKUP(RIGHT(AUDITORIA[[#This Row],[LOTE]],4),[2]Lotes!$A$2:$E$209,2,FALSE)</f>
        <v>QD.32</v>
      </c>
      <c r="T1942" s="18" t="str">
        <f>VLOOKUP(RIGHT(AUDITORIA[[#This Row],[LOTE]],4),[2]Lotes!$A$2:$E$209,4,FALSE)</f>
        <v>F2</v>
      </c>
      <c r="U19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42" s="19">
        <f>IF(AUDITORIA[[#This Row],[CAT]]="",0,1)</f>
        <v>1</v>
      </c>
      <c r="W1942" s="20">
        <v>46232</v>
      </c>
      <c r="X1942" s="21" t="s">
        <v>906</v>
      </c>
      <c r="Y1942" s="24" t="s">
        <v>901</v>
      </c>
      <c r="Z1942" s="24" t="s">
        <v>902</v>
      </c>
      <c r="AA1942" s="24" t="s">
        <v>903</v>
      </c>
    </row>
    <row r="1943" spans="1:27" ht="14.4" hidden="1" customHeight="1" x14ac:dyDescent="0.3">
      <c r="A1943" s="4" t="s">
        <v>0</v>
      </c>
      <c r="B1943" s="4" t="s">
        <v>17</v>
      </c>
      <c r="C1943" s="16" t="s">
        <v>18</v>
      </c>
      <c r="D1943" s="4">
        <v>10</v>
      </c>
      <c r="E1943" s="4" t="s">
        <v>745</v>
      </c>
      <c r="F1943" t="s">
        <v>249</v>
      </c>
      <c r="G1943" t="s">
        <v>233</v>
      </c>
      <c r="H1943" s="4" t="s">
        <v>88</v>
      </c>
      <c r="I1943" s="4" t="s">
        <v>21</v>
      </c>
      <c r="J1943" s="4" t="s">
        <v>88</v>
      </c>
      <c r="K1943" s="4" t="s">
        <v>21</v>
      </c>
      <c r="L1943" s="4" t="s">
        <v>742</v>
      </c>
      <c r="M1943" s="17">
        <v>27</v>
      </c>
      <c r="N1943" s="17">
        <v>949</v>
      </c>
      <c r="O1943" s="18" t="s">
        <v>88</v>
      </c>
      <c r="P1943" s="18">
        <v>949</v>
      </c>
      <c r="Q1943" s="18">
        <v>27</v>
      </c>
      <c r="R1943" s="18" t="str">
        <f>VLOOKUP(AUDITORIA[[#This Row],[LOTE]],[1]ENDEREÇAMENTO!$C$2:$J$9999,8,FALSE)</f>
        <v>Cam.C</v>
      </c>
      <c r="S1943" s="18" t="str">
        <f>VLOOKUP(RIGHT(AUDITORIA[[#This Row],[LOTE]],4),[2]Lotes!$A$2:$E$209,2,FALSE)</f>
        <v>QD.32</v>
      </c>
      <c r="T1943" s="18" t="str">
        <f>VLOOKUP(RIGHT(AUDITORIA[[#This Row],[LOTE]],4),[2]Lotes!$A$2:$E$209,4,FALSE)</f>
        <v>F1</v>
      </c>
      <c r="U19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43" s="19">
        <f>IF(AUDITORIA[[#This Row],[CAT]]="",0,1)</f>
        <v>1</v>
      </c>
      <c r="W1943" s="20">
        <v>46232</v>
      </c>
      <c r="X1943" s="21" t="s">
        <v>906</v>
      </c>
      <c r="Y1943" s="24" t="s">
        <v>901</v>
      </c>
      <c r="Z1943" s="24" t="s">
        <v>902</v>
      </c>
      <c r="AA1943" s="24" t="s">
        <v>903</v>
      </c>
    </row>
    <row r="1944" spans="1:27" ht="14.4" hidden="1" customHeight="1" x14ac:dyDescent="0.3">
      <c r="A1944" s="4" t="s">
        <v>0</v>
      </c>
      <c r="B1944" s="4" t="s">
        <v>17</v>
      </c>
      <c r="C1944" s="16" t="s">
        <v>18</v>
      </c>
      <c r="D1944" s="4">
        <v>10</v>
      </c>
      <c r="E1944" s="4" t="s">
        <v>745</v>
      </c>
      <c r="F1944" t="s">
        <v>266</v>
      </c>
      <c r="G1944" t="s">
        <v>233</v>
      </c>
      <c r="H1944" s="4" t="s">
        <v>88</v>
      </c>
      <c r="I1944" s="4" t="s">
        <v>20</v>
      </c>
      <c r="J1944" s="4" t="s">
        <v>88</v>
      </c>
      <c r="K1944" s="4" t="s">
        <v>20</v>
      </c>
      <c r="L1944" s="4" t="s">
        <v>742</v>
      </c>
      <c r="M1944" s="17">
        <v>0</v>
      </c>
      <c r="N1944" s="17">
        <v>798</v>
      </c>
      <c r="O1944" s="18" t="s">
        <v>88</v>
      </c>
      <c r="P1944" s="18" t="s">
        <v>905</v>
      </c>
      <c r="Q1944" s="18">
        <v>0</v>
      </c>
      <c r="R1944" s="18" t="s">
        <v>905</v>
      </c>
      <c r="S1944" s="18" t="s">
        <v>905</v>
      </c>
      <c r="T1944" s="18" t="s">
        <v>905</v>
      </c>
      <c r="U19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44" s="19">
        <v>0</v>
      </c>
      <c r="W1944" s="20">
        <v>46232</v>
      </c>
      <c r="X1944" s="21" t="s">
        <v>906</v>
      </c>
      <c r="Y1944" s="24" t="s">
        <v>901</v>
      </c>
      <c r="Z1944" s="24" t="s">
        <v>902</v>
      </c>
      <c r="AA1944" s="24" t="s">
        <v>903</v>
      </c>
    </row>
    <row r="1945" spans="1:27" ht="14.4" hidden="1" customHeight="1" x14ac:dyDescent="0.3">
      <c r="A1945" s="4" t="s">
        <v>0</v>
      </c>
      <c r="B1945" s="4" t="s">
        <v>17</v>
      </c>
      <c r="C1945" s="16" t="s">
        <v>18</v>
      </c>
      <c r="D1945" s="4">
        <v>10</v>
      </c>
      <c r="E1945" s="4" t="s">
        <v>745</v>
      </c>
      <c r="F1945" t="s">
        <v>247</v>
      </c>
      <c r="G1945" t="s">
        <v>233</v>
      </c>
      <c r="H1945" s="4" t="s">
        <v>88</v>
      </c>
      <c r="I1945" s="4" t="s">
        <v>21</v>
      </c>
      <c r="J1945" s="4" t="s">
        <v>88</v>
      </c>
      <c r="K1945" s="4" t="s">
        <v>21</v>
      </c>
      <c r="L1945" s="4" t="s">
        <v>742</v>
      </c>
      <c r="M1945" s="17">
        <v>27</v>
      </c>
      <c r="N1945" s="17">
        <v>998</v>
      </c>
      <c r="O1945" s="18" t="s">
        <v>88</v>
      </c>
      <c r="P1945" s="18">
        <v>998</v>
      </c>
      <c r="Q1945" s="18">
        <v>27</v>
      </c>
      <c r="R1945" s="18" t="str">
        <f>VLOOKUP(AUDITORIA[[#This Row],[LOTE]],[1]ENDEREÇAMENTO!$C$2:$J$9999,8,FALSE)</f>
        <v>Cam.C</v>
      </c>
      <c r="S1945" s="18" t="str">
        <f>VLOOKUP(RIGHT(AUDITORIA[[#This Row],[LOTE]],4),[2]Lotes!$A$2:$E$209,2,FALSE)</f>
        <v>QD.28</v>
      </c>
      <c r="T1945" s="18" t="str">
        <f>VLOOKUP(RIGHT(AUDITORIA[[#This Row],[LOTE]],4),[2]Lotes!$A$2:$E$209,4,FALSE)</f>
        <v>F4</v>
      </c>
      <c r="U19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45" s="19">
        <f>IF(AUDITORIA[[#This Row],[CAT]]="",0,1)</f>
        <v>1</v>
      </c>
      <c r="W1945" s="20">
        <v>46232</v>
      </c>
      <c r="X1945" s="21" t="s">
        <v>906</v>
      </c>
      <c r="Y1945" s="24" t="s">
        <v>901</v>
      </c>
      <c r="Z1945" s="24" t="s">
        <v>902</v>
      </c>
      <c r="AA1945" s="24" t="s">
        <v>903</v>
      </c>
    </row>
    <row r="1946" spans="1:27" ht="14.4" hidden="1" customHeight="1" x14ac:dyDescent="0.3">
      <c r="A1946" s="4" t="s">
        <v>0</v>
      </c>
      <c r="B1946" s="4" t="s">
        <v>17</v>
      </c>
      <c r="C1946" s="16" t="s">
        <v>18</v>
      </c>
      <c r="D1946" s="4">
        <v>10</v>
      </c>
      <c r="E1946" s="4" t="s">
        <v>745</v>
      </c>
      <c r="F1946" t="s">
        <v>264</v>
      </c>
      <c r="G1946" t="s">
        <v>233</v>
      </c>
      <c r="H1946" s="4" t="s">
        <v>88</v>
      </c>
      <c r="I1946" s="4" t="s">
        <v>20</v>
      </c>
      <c r="J1946" s="4" t="s">
        <v>88</v>
      </c>
      <c r="K1946" s="4" t="s">
        <v>20</v>
      </c>
      <c r="L1946" s="4" t="s">
        <v>742</v>
      </c>
      <c r="M1946" s="17">
        <v>0</v>
      </c>
      <c r="N1946" s="17">
        <v>825</v>
      </c>
      <c r="O1946" s="18" t="s">
        <v>88</v>
      </c>
      <c r="P1946" s="18" t="s">
        <v>905</v>
      </c>
      <c r="Q1946" s="18">
        <v>0</v>
      </c>
      <c r="R1946" s="18" t="s">
        <v>905</v>
      </c>
      <c r="S1946" s="18" t="s">
        <v>905</v>
      </c>
      <c r="T1946" s="18" t="s">
        <v>905</v>
      </c>
      <c r="U19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46" s="19">
        <v>0</v>
      </c>
      <c r="W1946" s="20">
        <v>46232</v>
      </c>
      <c r="X1946" s="21" t="s">
        <v>906</v>
      </c>
      <c r="Y1946" s="24" t="s">
        <v>901</v>
      </c>
      <c r="Z1946" s="24" t="s">
        <v>902</v>
      </c>
      <c r="AA1946" s="24" t="s">
        <v>903</v>
      </c>
    </row>
    <row r="1947" spans="1:27" ht="14.4" hidden="1" customHeight="1" x14ac:dyDescent="0.3">
      <c r="A1947" s="4" t="s">
        <v>0</v>
      </c>
      <c r="B1947" s="4" t="s">
        <v>17</v>
      </c>
      <c r="C1947" s="16" t="s">
        <v>18</v>
      </c>
      <c r="D1947" s="4">
        <v>10</v>
      </c>
      <c r="E1947" s="4" t="s">
        <v>745</v>
      </c>
      <c r="F1947" t="s">
        <v>246</v>
      </c>
      <c r="G1947" t="s">
        <v>233</v>
      </c>
      <c r="H1947" s="4" t="s">
        <v>88</v>
      </c>
      <c r="I1947" s="4" t="s">
        <v>21</v>
      </c>
      <c r="J1947" s="4" t="s">
        <v>88</v>
      </c>
      <c r="K1947" s="4" t="s">
        <v>21</v>
      </c>
      <c r="L1947" s="4" t="s">
        <v>742</v>
      </c>
      <c r="M1947" s="17">
        <v>27</v>
      </c>
      <c r="N1947" s="17">
        <v>969</v>
      </c>
      <c r="O1947" s="18" t="s">
        <v>88</v>
      </c>
      <c r="P1947" s="18">
        <v>969</v>
      </c>
      <c r="Q1947" s="18">
        <v>27</v>
      </c>
      <c r="R1947" s="18" t="s">
        <v>817</v>
      </c>
      <c r="S1947" s="18" t="s">
        <v>785</v>
      </c>
      <c r="T1947" s="18" t="s">
        <v>794</v>
      </c>
      <c r="U19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47" s="19">
        <f>IF(AUDITORIA[[#This Row],[CAT]]="",0,1)</f>
        <v>1</v>
      </c>
      <c r="W1947" s="20">
        <v>46232</v>
      </c>
      <c r="X1947" s="21" t="s">
        <v>906</v>
      </c>
      <c r="Y1947" s="24" t="s">
        <v>901</v>
      </c>
      <c r="Z1947" s="24" t="s">
        <v>902</v>
      </c>
      <c r="AA1947" s="24" t="s">
        <v>903</v>
      </c>
    </row>
    <row r="1948" spans="1:27" ht="14.4" hidden="1" customHeight="1" x14ac:dyDescent="0.3">
      <c r="A1948" s="4" t="s">
        <v>0</v>
      </c>
      <c r="B1948" s="4" t="s">
        <v>17</v>
      </c>
      <c r="C1948" s="16" t="s">
        <v>18</v>
      </c>
      <c r="D1948" s="4">
        <v>10</v>
      </c>
      <c r="E1948" s="4" t="s">
        <v>745</v>
      </c>
      <c r="F1948" t="s">
        <v>263</v>
      </c>
      <c r="G1948" t="s">
        <v>233</v>
      </c>
      <c r="H1948" s="4" t="s">
        <v>88</v>
      </c>
      <c r="I1948" s="4" t="s">
        <v>20</v>
      </c>
      <c r="J1948" s="4" t="s">
        <v>88</v>
      </c>
      <c r="K1948" s="4" t="s">
        <v>20</v>
      </c>
      <c r="L1948" s="4" t="s">
        <v>742</v>
      </c>
      <c r="M1948" s="17">
        <v>30</v>
      </c>
      <c r="N1948" s="17">
        <v>813</v>
      </c>
      <c r="O1948" s="18" t="s">
        <v>88</v>
      </c>
      <c r="P1948" s="18">
        <v>813</v>
      </c>
      <c r="Q1948" s="18">
        <v>30</v>
      </c>
      <c r="R1948" s="18" t="str">
        <f>VLOOKUP(AUDITORIA[[#This Row],[LOTE]],[1]ENDEREÇAMENTO!$C$2:$J$9999,8,FALSE)</f>
        <v>Cam.C</v>
      </c>
      <c r="S1948" s="18" t="str">
        <f>VLOOKUP(RIGHT(AUDITORIA[[#This Row],[LOTE]],4),[2]Lotes!$A$2:$E$209,2,FALSE)</f>
        <v>QD.31</v>
      </c>
      <c r="T1948" s="18" t="str">
        <f>VLOOKUP(RIGHT(AUDITORIA[[#This Row],[LOTE]],4),[2]Lotes!$A$2:$E$209,4,FALSE)</f>
        <v>F2</v>
      </c>
      <c r="U19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48" s="19">
        <f>IF(AUDITORIA[[#This Row],[CAT]]="",0,1)</f>
        <v>1</v>
      </c>
      <c r="W1948" s="20">
        <v>46232</v>
      </c>
      <c r="X1948" s="21" t="s">
        <v>906</v>
      </c>
      <c r="Y1948" s="24" t="s">
        <v>901</v>
      </c>
      <c r="Z1948" s="24" t="s">
        <v>902</v>
      </c>
      <c r="AA1948" s="24" t="s">
        <v>903</v>
      </c>
    </row>
    <row r="1949" spans="1:27" ht="14.4" hidden="1" customHeight="1" x14ac:dyDescent="0.3">
      <c r="A1949" s="4" t="s">
        <v>0</v>
      </c>
      <c r="B1949" s="4" t="s">
        <v>17</v>
      </c>
      <c r="C1949" s="16" t="s">
        <v>18</v>
      </c>
      <c r="D1949" s="4">
        <v>10</v>
      </c>
      <c r="E1949" s="4" t="s">
        <v>745</v>
      </c>
      <c r="F1949" t="s">
        <v>245</v>
      </c>
      <c r="G1949" t="s">
        <v>233</v>
      </c>
      <c r="H1949" s="4" t="s">
        <v>88</v>
      </c>
      <c r="I1949" s="4" t="s">
        <v>21</v>
      </c>
      <c r="J1949" s="4" t="s">
        <v>88</v>
      </c>
      <c r="K1949" s="4" t="s">
        <v>21</v>
      </c>
      <c r="L1949" s="4" t="s">
        <v>742</v>
      </c>
      <c r="M1949" s="17">
        <v>27</v>
      </c>
      <c r="N1949" s="17">
        <v>964</v>
      </c>
      <c r="O1949" s="18" t="s">
        <v>88</v>
      </c>
      <c r="P1949" s="18">
        <v>964</v>
      </c>
      <c r="Q1949" s="18">
        <v>27</v>
      </c>
      <c r="R1949" s="18" t="str">
        <f>VLOOKUP(AUDITORIA[[#This Row],[LOTE]],[1]ENDEREÇAMENTO!$C$2:$J$9999,8,FALSE)</f>
        <v>Cam.C</v>
      </c>
      <c r="S1949" s="18" t="s">
        <v>783</v>
      </c>
      <c r="T1949" s="18" t="s">
        <v>782</v>
      </c>
      <c r="U19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49" s="19">
        <f>IF(AUDITORIA[[#This Row],[CAT]]="",0,1)</f>
        <v>1</v>
      </c>
      <c r="W1949" s="20">
        <v>46232</v>
      </c>
      <c r="X1949" s="21" t="s">
        <v>906</v>
      </c>
      <c r="Y1949" s="24" t="s">
        <v>901</v>
      </c>
      <c r="Z1949" s="24" t="s">
        <v>902</v>
      </c>
      <c r="AA1949" s="24" t="s">
        <v>903</v>
      </c>
    </row>
    <row r="1950" spans="1:27" ht="14.4" hidden="1" customHeight="1" x14ac:dyDescent="0.3">
      <c r="A1950" s="4" t="s">
        <v>0</v>
      </c>
      <c r="B1950" s="4" t="s">
        <v>17</v>
      </c>
      <c r="C1950" s="16" t="s">
        <v>18</v>
      </c>
      <c r="D1950" s="4">
        <v>10</v>
      </c>
      <c r="E1950" s="4" t="s">
        <v>745</v>
      </c>
      <c r="F1950" t="s">
        <v>262</v>
      </c>
      <c r="G1950" t="s">
        <v>233</v>
      </c>
      <c r="H1950" s="4" t="s">
        <v>88</v>
      </c>
      <c r="I1950" s="4" t="s">
        <v>20</v>
      </c>
      <c r="J1950" s="4" t="s">
        <v>88</v>
      </c>
      <c r="K1950" s="4" t="s">
        <v>20</v>
      </c>
      <c r="L1950" s="4" t="s">
        <v>742</v>
      </c>
      <c r="M1950" s="17">
        <v>30</v>
      </c>
      <c r="N1950" s="17">
        <v>806</v>
      </c>
      <c r="O1950" s="18" t="s">
        <v>88</v>
      </c>
      <c r="P1950" s="18">
        <v>806</v>
      </c>
      <c r="Q1950" s="18">
        <v>30</v>
      </c>
      <c r="R1950" s="18" t="str">
        <f>VLOOKUP(AUDITORIA[[#This Row],[LOTE]],[1]ENDEREÇAMENTO!$C$2:$J$9999,8,FALSE)</f>
        <v>Cam.C</v>
      </c>
      <c r="S1950" s="18" t="str">
        <f>VLOOKUP(RIGHT(AUDITORIA[[#This Row],[LOTE]],4),[2]Lotes!$A$2:$E$209,2,FALSE)</f>
        <v>QD.31</v>
      </c>
      <c r="T1950" s="18" t="str">
        <f>VLOOKUP(RIGHT(AUDITORIA[[#This Row],[LOTE]],4),[2]Lotes!$A$2:$E$209,4,FALSE)</f>
        <v>F3</v>
      </c>
      <c r="U19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50" s="19">
        <f>IF(AUDITORIA[[#This Row],[CAT]]="",0,1)</f>
        <v>1</v>
      </c>
      <c r="W1950" s="20">
        <v>46232</v>
      </c>
      <c r="X1950" s="21" t="s">
        <v>906</v>
      </c>
      <c r="Y1950" s="24" t="s">
        <v>901</v>
      </c>
      <c r="Z1950" s="24" t="s">
        <v>902</v>
      </c>
      <c r="AA1950" s="24" t="s">
        <v>903</v>
      </c>
    </row>
    <row r="1951" spans="1:27" ht="14.4" hidden="1" customHeight="1" x14ac:dyDescent="0.3">
      <c r="A1951" s="4" t="s">
        <v>0</v>
      </c>
      <c r="B1951" s="4" t="s">
        <v>17</v>
      </c>
      <c r="C1951" s="16" t="s">
        <v>18</v>
      </c>
      <c r="D1951" s="4">
        <v>10</v>
      </c>
      <c r="E1951" s="4" t="s">
        <v>745</v>
      </c>
      <c r="F1951" t="s">
        <v>244</v>
      </c>
      <c r="G1951" t="s">
        <v>233</v>
      </c>
      <c r="H1951" s="4" t="s">
        <v>88</v>
      </c>
      <c r="I1951" s="4" t="s">
        <v>21</v>
      </c>
      <c r="J1951" s="4" t="s">
        <v>88</v>
      </c>
      <c r="K1951" s="4" t="s">
        <v>21</v>
      </c>
      <c r="L1951" s="4" t="s">
        <v>742</v>
      </c>
      <c r="M1951" s="17">
        <v>27</v>
      </c>
      <c r="N1951" s="17">
        <v>956</v>
      </c>
      <c r="O1951" s="18" t="s">
        <v>88</v>
      </c>
      <c r="P1951" s="18">
        <v>956</v>
      </c>
      <c r="Q1951" s="18">
        <v>27</v>
      </c>
      <c r="R1951" s="18" t="str">
        <f>VLOOKUP(AUDITORIA[[#This Row],[LOTE]],[1]ENDEREÇAMENTO!$C$2:$J$9999,8,FALSE)</f>
        <v>Cam.C</v>
      </c>
      <c r="S1951" s="18" t="str">
        <f>VLOOKUP(RIGHT(AUDITORIA[[#This Row],[LOTE]],4),[2]Lotes!$A$2:$E$209,2,FALSE)</f>
        <v>QD.30</v>
      </c>
      <c r="T1951" s="18" t="str">
        <f>VLOOKUP(RIGHT(AUDITORIA[[#This Row],[LOTE]],4),[2]Lotes!$A$2:$E$209,4,FALSE)</f>
        <v>F1</v>
      </c>
      <c r="U19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51" s="19">
        <f>IF(AUDITORIA[[#This Row],[CAT]]="",0,1)</f>
        <v>1</v>
      </c>
      <c r="W1951" s="20">
        <v>46232</v>
      </c>
      <c r="X1951" s="21" t="s">
        <v>906</v>
      </c>
      <c r="Y1951" s="24" t="s">
        <v>901</v>
      </c>
      <c r="Z1951" s="24" t="s">
        <v>902</v>
      </c>
      <c r="AA1951" s="24" t="s">
        <v>903</v>
      </c>
    </row>
    <row r="1952" spans="1:27" ht="14.4" hidden="1" customHeight="1" x14ac:dyDescent="0.3">
      <c r="A1952" s="4" t="s">
        <v>0</v>
      </c>
      <c r="B1952" s="4" t="s">
        <v>17</v>
      </c>
      <c r="C1952" s="16" t="s">
        <v>18</v>
      </c>
      <c r="D1952" s="4">
        <v>10</v>
      </c>
      <c r="E1952" s="4" t="s">
        <v>745</v>
      </c>
      <c r="F1952" t="s">
        <v>243</v>
      </c>
      <c r="G1952" t="s">
        <v>233</v>
      </c>
      <c r="H1952" s="4" t="s">
        <v>88</v>
      </c>
      <c r="I1952" s="4" t="s">
        <v>21</v>
      </c>
      <c r="J1952" s="4" t="s">
        <v>88</v>
      </c>
      <c r="K1952" s="4" t="s">
        <v>21</v>
      </c>
      <c r="L1952" s="4" t="s">
        <v>742</v>
      </c>
      <c r="M1952" s="17">
        <v>27</v>
      </c>
      <c r="N1952" s="17">
        <v>963</v>
      </c>
      <c r="O1952" s="18" t="s">
        <v>88</v>
      </c>
      <c r="P1952" s="18">
        <v>963</v>
      </c>
      <c r="Q1952" s="18">
        <v>27</v>
      </c>
      <c r="R1952" s="18" t="s">
        <v>817</v>
      </c>
      <c r="S1952" s="18" t="s">
        <v>783</v>
      </c>
      <c r="T1952" s="18" t="s">
        <v>781</v>
      </c>
      <c r="U19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52" s="19">
        <f>IF(AUDITORIA[[#This Row],[CAT]]="",0,1)</f>
        <v>1</v>
      </c>
      <c r="W1952" s="20">
        <v>46232</v>
      </c>
      <c r="X1952" s="21" t="s">
        <v>906</v>
      </c>
      <c r="Y1952" s="24" t="s">
        <v>901</v>
      </c>
      <c r="Z1952" s="24" t="s">
        <v>902</v>
      </c>
      <c r="AA1952" s="24" t="s">
        <v>903</v>
      </c>
    </row>
    <row r="1953" spans="1:27" ht="14.4" hidden="1" customHeight="1" x14ac:dyDescent="0.3">
      <c r="A1953" s="4" t="s">
        <v>0</v>
      </c>
      <c r="B1953" s="4" t="s">
        <v>17</v>
      </c>
      <c r="C1953" s="16" t="s">
        <v>18</v>
      </c>
      <c r="D1953" s="4">
        <v>10</v>
      </c>
      <c r="E1953" s="4" t="s">
        <v>745</v>
      </c>
      <c r="F1953" t="s">
        <v>261</v>
      </c>
      <c r="G1953" t="s">
        <v>233</v>
      </c>
      <c r="H1953" s="4" t="s">
        <v>88</v>
      </c>
      <c r="I1953" s="4" t="s">
        <v>20</v>
      </c>
      <c r="J1953" s="4" t="s">
        <v>88</v>
      </c>
      <c r="K1953" s="4" t="s">
        <v>20</v>
      </c>
      <c r="L1953" s="4" t="s">
        <v>742</v>
      </c>
      <c r="M1953" s="17">
        <v>30</v>
      </c>
      <c r="N1953" s="17">
        <v>805</v>
      </c>
      <c r="O1953" s="18" t="s">
        <v>88</v>
      </c>
      <c r="P1953" s="18">
        <v>805</v>
      </c>
      <c r="Q1953" s="18">
        <v>30</v>
      </c>
      <c r="R1953" s="18" t="str">
        <f>VLOOKUP(AUDITORIA[[#This Row],[LOTE]],[1]ENDEREÇAMENTO!$C$2:$J$9999,8,FALSE)</f>
        <v>Cam.C</v>
      </c>
      <c r="S1953" s="18" t="str">
        <f>VLOOKUP(RIGHT(AUDITORIA[[#This Row],[LOTE]],4),[2]Lotes!$A$2:$E$209,2,FALSE)</f>
        <v>QD.31</v>
      </c>
      <c r="T1953" s="18" t="str">
        <f>VLOOKUP(RIGHT(AUDITORIA[[#This Row],[LOTE]],4),[2]Lotes!$A$2:$E$209,4,FALSE)</f>
        <v>F4</v>
      </c>
      <c r="U19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53" s="19">
        <f>IF(AUDITORIA[[#This Row],[CAT]]="",0,1)</f>
        <v>1</v>
      </c>
      <c r="W1953" s="20">
        <v>46232</v>
      </c>
      <c r="X1953" s="21" t="s">
        <v>906</v>
      </c>
      <c r="Y1953" s="24" t="s">
        <v>901</v>
      </c>
      <c r="Z1953" s="24" t="s">
        <v>902</v>
      </c>
      <c r="AA1953" s="24" t="s">
        <v>903</v>
      </c>
    </row>
    <row r="1954" spans="1:27" ht="14.4" hidden="1" customHeight="1" x14ac:dyDescent="0.3">
      <c r="A1954" s="4" t="s">
        <v>0</v>
      </c>
      <c r="B1954" s="4" t="s">
        <v>17</v>
      </c>
      <c r="C1954" s="16" t="s">
        <v>18</v>
      </c>
      <c r="D1954" s="4">
        <v>10</v>
      </c>
      <c r="E1954" s="4" t="s">
        <v>745</v>
      </c>
      <c r="F1954" t="s">
        <v>242</v>
      </c>
      <c r="G1954" t="s">
        <v>233</v>
      </c>
      <c r="H1954" s="4" t="s">
        <v>88</v>
      </c>
      <c r="I1954" s="4" t="s">
        <v>21</v>
      </c>
      <c r="J1954" s="4" t="s">
        <v>88</v>
      </c>
      <c r="K1954" s="4" t="s">
        <v>21</v>
      </c>
      <c r="L1954" s="4" t="s">
        <v>742</v>
      </c>
      <c r="M1954" s="17">
        <v>27</v>
      </c>
      <c r="N1954" s="17">
        <v>958</v>
      </c>
      <c r="O1954" s="18" t="s">
        <v>88</v>
      </c>
      <c r="P1954" s="18">
        <v>958</v>
      </c>
      <c r="Q1954" s="18">
        <v>27</v>
      </c>
      <c r="R1954" s="18" t="str">
        <f>VLOOKUP(AUDITORIA[[#This Row],[LOTE]],[1]ENDEREÇAMENTO!$C$2:$J$9999,8,FALSE)</f>
        <v>Cam.C</v>
      </c>
      <c r="S1954" s="18" t="str">
        <f>VLOOKUP(RIGHT(AUDITORIA[[#This Row],[LOTE]],4),[2]Lotes!$A$2:$E$209,2,FALSE)</f>
        <v>QD.30</v>
      </c>
      <c r="T1954" s="18" t="str">
        <f>VLOOKUP(RIGHT(AUDITORIA[[#This Row],[LOTE]],4),[2]Lotes!$A$2:$E$209,4,FALSE)</f>
        <v>F4</v>
      </c>
      <c r="U19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54" s="19">
        <f>IF(AUDITORIA[[#This Row],[CAT]]="",0,1)</f>
        <v>1</v>
      </c>
      <c r="W1954" s="20">
        <v>46232</v>
      </c>
      <c r="X1954" s="21" t="s">
        <v>906</v>
      </c>
      <c r="Y1954" s="24" t="s">
        <v>901</v>
      </c>
      <c r="Z1954" s="24" t="s">
        <v>902</v>
      </c>
      <c r="AA1954" s="24" t="s">
        <v>903</v>
      </c>
    </row>
    <row r="1955" spans="1:27" ht="14.4" hidden="1" customHeight="1" x14ac:dyDescent="0.3">
      <c r="A1955" s="4" t="s">
        <v>0</v>
      </c>
      <c r="B1955" s="4" t="s">
        <v>17</v>
      </c>
      <c r="C1955" s="16" t="s">
        <v>18</v>
      </c>
      <c r="D1955" s="4">
        <v>10</v>
      </c>
      <c r="E1955" s="4" t="s">
        <v>745</v>
      </c>
      <c r="F1955" t="s">
        <v>260</v>
      </c>
      <c r="G1955" t="s">
        <v>233</v>
      </c>
      <c r="H1955" s="4" t="s">
        <v>88</v>
      </c>
      <c r="I1955" s="4" t="s">
        <v>20</v>
      </c>
      <c r="J1955" s="4" t="s">
        <v>88</v>
      </c>
      <c r="K1955" s="4" t="s">
        <v>20</v>
      </c>
      <c r="L1955" s="4" t="s">
        <v>742</v>
      </c>
      <c r="M1955" s="17">
        <v>30</v>
      </c>
      <c r="N1955" s="17">
        <v>803</v>
      </c>
      <c r="O1955" s="18" t="s">
        <v>88</v>
      </c>
      <c r="P1955" s="18">
        <v>803</v>
      </c>
      <c r="Q1955" s="18">
        <v>30</v>
      </c>
      <c r="R1955" s="18" t="str">
        <f>VLOOKUP(AUDITORIA[[#This Row],[LOTE]],[1]ENDEREÇAMENTO!$C$2:$J$9999,8,FALSE)</f>
        <v>Cam.C</v>
      </c>
      <c r="S1955" s="18" t="str">
        <f>VLOOKUP(RIGHT(AUDITORIA[[#This Row],[LOTE]],4),[2]Lotes!$A$2:$E$209,2,FALSE)</f>
        <v>QD.33</v>
      </c>
      <c r="T1955" s="18" t="str">
        <f>VLOOKUP(RIGHT(AUDITORIA[[#This Row],[LOTE]],4),[2]Lotes!$A$2:$E$209,4,FALSE)</f>
        <v>F4</v>
      </c>
      <c r="U19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55" s="19">
        <f>IF(AUDITORIA[[#This Row],[CAT]]="",0,1)</f>
        <v>1</v>
      </c>
      <c r="W1955" s="20">
        <v>46232</v>
      </c>
      <c r="X1955" s="21" t="s">
        <v>906</v>
      </c>
      <c r="Y1955" s="24" t="s">
        <v>901</v>
      </c>
      <c r="Z1955" s="24" t="s">
        <v>902</v>
      </c>
      <c r="AA1955" s="24" t="s">
        <v>903</v>
      </c>
    </row>
    <row r="1956" spans="1:27" ht="14.4" hidden="1" customHeight="1" x14ac:dyDescent="0.3">
      <c r="A1956" s="4" t="s">
        <v>0</v>
      </c>
      <c r="B1956" s="4" t="s">
        <v>17</v>
      </c>
      <c r="C1956" s="16" t="s">
        <v>18</v>
      </c>
      <c r="D1956" s="4">
        <v>10</v>
      </c>
      <c r="E1956" s="4" t="s">
        <v>745</v>
      </c>
      <c r="F1956" t="s">
        <v>241</v>
      </c>
      <c r="G1956" t="s">
        <v>233</v>
      </c>
      <c r="H1956" s="4" t="s">
        <v>88</v>
      </c>
      <c r="I1956" s="4" t="s">
        <v>21</v>
      </c>
      <c r="J1956" s="4" t="s">
        <v>88</v>
      </c>
      <c r="K1956" s="4" t="s">
        <v>21</v>
      </c>
      <c r="L1956" s="4" t="s">
        <v>742</v>
      </c>
      <c r="M1956" s="17">
        <v>27</v>
      </c>
      <c r="N1956" s="17">
        <v>940</v>
      </c>
      <c r="O1956" s="18" t="s">
        <v>88</v>
      </c>
      <c r="P1956" s="18">
        <v>940</v>
      </c>
      <c r="Q1956" s="18">
        <v>27</v>
      </c>
      <c r="R1956" s="18" t="str">
        <f>VLOOKUP(AUDITORIA[[#This Row],[LOTE]],[1]ENDEREÇAMENTO!$C$2:$J$9999,8,FALSE)</f>
        <v>Cam.C</v>
      </c>
      <c r="S1956" s="18" t="str">
        <f>VLOOKUP(RIGHT(AUDITORIA[[#This Row],[LOTE]],4),[2]Lotes!$A$2:$E$209,2,FALSE)</f>
        <v>QD.27</v>
      </c>
      <c r="T1956" s="18" t="str">
        <f>VLOOKUP(RIGHT(AUDITORIA[[#This Row],[LOTE]],4),[2]Lotes!$A$2:$E$209,4,FALSE)</f>
        <v>F1</v>
      </c>
      <c r="U19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56" s="19">
        <f>IF(AUDITORIA[[#This Row],[CAT]]="",0,1)</f>
        <v>1</v>
      </c>
      <c r="W1956" s="20">
        <v>46232</v>
      </c>
      <c r="X1956" s="21" t="s">
        <v>906</v>
      </c>
      <c r="Y1956" s="24" t="s">
        <v>901</v>
      </c>
      <c r="Z1956" s="24" t="s">
        <v>902</v>
      </c>
      <c r="AA1956" s="24" t="s">
        <v>903</v>
      </c>
    </row>
    <row r="1957" spans="1:27" ht="14.4" hidden="1" customHeight="1" x14ac:dyDescent="0.3">
      <c r="A1957" s="4" t="s">
        <v>0</v>
      </c>
      <c r="B1957" s="4" t="s">
        <v>17</v>
      </c>
      <c r="C1957" s="16" t="s">
        <v>18</v>
      </c>
      <c r="D1957" s="4">
        <v>10</v>
      </c>
      <c r="E1957" s="4" t="s">
        <v>745</v>
      </c>
      <c r="F1957" t="s">
        <v>240</v>
      </c>
      <c r="G1957" t="s">
        <v>233</v>
      </c>
      <c r="H1957" s="4" t="s">
        <v>88</v>
      </c>
      <c r="I1957" s="4" t="s">
        <v>21</v>
      </c>
      <c r="J1957" s="4" t="s">
        <v>88</v>
      </c>
      <c r="K1957" s="4" t="s">
        <v>21</v>
      </c>
      <c r="L1957" s="4" t="s">
        <v>742</v>
      </c>
      <c r="M1957" s="17">
        <v>27</v>
      </c>
      <c r="N1957" s="17">
        <v>956</v>
      </c>
      <c r="O1957" s="18" t="s">
        <v>88</v>
      </c>
      <c r="P1957" s="18">
        <v>956</v>
      </c>
      <c r="Q1957" s="18">
        <v>27</v>
      </c>
      <c r="R1957" s="18" t="str">
        <f>VLOOKUP(AUDITORIA[[#This Row],[LOTE]],[1]ENDEREÇAMENTO!$C$2:$J$9999,8,FALSE)</f>
        <v>Cam.C</v>
      </c>
      <c r="S1957" s="18" t="str">
        <f>VLOOKUP(RIGHT(AUDITORIA[[#This Row],[LOTE]],4),[2]Lotes!$A$2:$E$209,2,FALSE)</f>
        <v>QD.27</v>
      </c>
      <c r="T1957" s="18" t="str">
        <f>VLOOKUP(RIGHT(AUDITORIA[[#This Row],[LOTE]],4),[2]Lotes!$A$2:$E$209,4,FALSE)</f>
        <v>F2</v>
      </c>
      <c r="U19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57" s="19">
        <f>IF(AUDITORIA[[#This Row],[CAT]]="",0,1)</f>
        <v>1</v>
      </c>
      <c r="W1957" s="20">
        <v>46232</v>
      </c>
      <c r="X1957" s="21" t="s">
        <v>906</v>
      </c>
      <c r="Y1957" s="24" t="s">
        <v>901</v>
      </c>
      <c r="Z1957" s="24" t="s">
        <v>902</v>
      </c>
      <c r="AA1957" s="24" t="s">
        <v>903</v>
      </c>
    </row>
    <row r="1958" spans="1:27" ht="14.4" hidden="1" customHeight="1" x14ac:dyDescent="0.3">
      <c r="A1958" s="4" t="s">
        <v>0</v>
      </c>
      <c r="B1958" s="4" t="s">
        <v>17</v>
      </c>
      <c r="C1958" s="16" t="s">
        <v>18</v>
      </c>
      <c r="D1958" s="4">
        <v>10</v>
      </c>
      <c r="E1958" s="4" t="s">
        <v>745</v>
      </c>
      <c r="F1958" t="s">
        <v>259</v>
      </c>
      <c r="G1958" t="s">
        <v>233</v>
      </c>
      <c r="H1958" s="4" t="s">
        <v>88</v>
      </c>
      <c r="I1958" s="4" t="s">
        <v>20</v>
      </c>
      <c r="J1958" s="4" t="s">
        <v>88</v>
      </c>
      <c r="K1958" s="4" t="s">
        <v>20</v>
      </c>
      <c r="L1958" s="4" t="s">
        <v>742</v>
      </c>
      <c r="M1958" s="17">
        <v>30</v>
      </c>
      <c r="N1958" s="17">
        <v>829</v>
      </c>
      <c r="O1958" s="18" t="s">
        <v>88</v>
      </c>
      <c r="P1958" s="18">
        <v>829</v>
      </c>
      <c r="Q1958" s="18">
        <v>30</v>
      </c>
      <c r="R1958" s="18" t="str">
        <f>VLOOKUP(AUDITORIA[[#This Row],[LOTE]],[1]ENDEREÇAMENTO!$C$2:$J$9999,8,FALSE)</f>
        <v>Cam.C</v>
      </c>
      <c r="S1958" s="18" t="str">
        <f>VLOOKUP(RIGHT(AUDITORIA[[#This Row],[LOTE]],4),[2]Lotes!$A$2:$E$209,2,FALSE)</f>
        <v>QD.15</v>
      </c>
      <c r="T1958" s="18" t="str">
        <f>VLOOKUP(RIGHT(AUDITORIA[[#This Row],[LOTE]],4),[2]Lotes!$A$2:$E$209,4,FALSE)</f>
        <v>F3</v>
      </c>
      <c r="U19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58" s="19">
        <f>IF(AUDITORIA[[#This Row],[CAT]]="",0,1)</f>
        <v>1</v>
      </c>
      <c r="W1958" s="20">
        <v>46232</v>
      </c>
      <c r="X1958" s="21" t="s">
        <v>906</v>
      </c>
      <c r="Y1958" s="24" t="s">
        <v>901</v>
      </c>
      <c r="Z1958" s="24" t="s">
        <v>902</v>
      </c>
      <c r="AA1958" s="24" t="s">
        <v>903</v>
      </c>
    </row>
    <row r="1959" spans="1:27" ht="14.4" hidden="1" customHeight="1" x14ac:dyDescent="0.3">
      <c r="A1959" s="4" t="s">
        <v>0</v>
      </c>
      <c r="B1959" s="4" t="s">
        <v>17</v>
      </c>
      <c r="C1959" s="16" t="s">
        <v>18</v>
      </c>
      <c r="D1959" s="4">
        <v>10</v>
      </c>
      <c r="E1959" s="4" t="s">
        <v>745</v>
      </c>
      <c r="F1959" t="s">
        <v>239</v>
      </c>
      <c r="G1959" t="s">
        <v>233</v>
      </c>
      <c r="H1959" s="4" t="s">
        <v>88</v>
      </c>
      <c r="I1959" s="4" t="s">
        <v>21</v>
      </c>
      <c r="J1959" s="4" t="s">
        <v>88</v>
      </c>
      <c r="K1959" s="4" t="s">
        <v>21</v>
      </c>
      <c r="L1959" s="4" t="s">
        <v>742</v>
      </c>
      <c r="M1959" s="17">
        <v>27</v>
      </c>
      <c r="N1959" s="17">
        <v>937</v>
      </c>
      <c r="O1959" s="18" t="s">
        <v>88</v>
      </c>
      <c r="P1959" s="18">
        <v>937</v>
      </c>
      <c r="Q1959" s="18">
        <v>27</v>
      </c>
      <c r="R1959" s="18" t="str">
        <f>VLOOKUP(AUDITORIA[[#This Row],[LOTE]],[1]ENDEREÇAMENTO!$C$2:$J$9999,8,FALSE)</f>
        <v>Cam.C</v>
      </c>
      <c r="S1959" s="18" t="str">
        <f>VLOOKUP(RIGHT(AUDITORIA[[#This Row],[LOTE]],4),[2]Lotes!$A$2:$E$209,2,FALSE)</f>
        <v>QD.27</v>
      </c>
      <c r="T1959" s="18" t="str">
        <f>VLOOKUP(RIGHT(AUDITORIA[[#This Row],[LOTE]],4),[2]Lotes!$A$2:$E$209,4,FALSE)</f>
        <v>F3</v>
      </c>
      <c r="U19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59" s="19">
        <f>IF(AUDITORIA[[#This Row],[CAT]]="",0,1)</f>
        <v>1</v>
      </c>
      <c r="W1959" s="20">
        <v>46232</v>
      </c>
      <c r="X1959" s="21" t="s">
        <v>906</v>
      </c>
      <c r="Y1959" s="24" t="s">
        <v>901</v>
      </c>
      <c r="Z1959" s="24" t="s">
        <v>902</v>
      </c>
      <c r="AA1959" s="24" t="s">
        <v>903</v>
      </c>
    </row>
    <row r="1960" spans="1:27" ht="14.4" hidden="1" customHeight="1" x14ac:dyDescent="0.3">
      <c r="A1960" s="4" t="s">
        <v>0</v>
      </c>
      <c r="B1960" s="4" t="s">
        <v>17</v>
      </c>
      <c r="C1960" s="16" t="s">
        <v>18</v>
      </c>
      <c r="D1960" s="4">
        <v>10</v>
      </c>
      <c r="E1960" s="4" t="s">
        <v>745</v>
      </c>
      <c r="F1960" t="s">
        <v>258</v>
      </c>
      <c r="G1960" t="s">
        <v>233</v>
      </c>
      <c r="H1960" s="4" t="s">
        <v>88</v>
      </c>
      <c r="I1960" s="4" t="s">
        <v>20</v>
      </c>
      <c r="J1960" s="4" t="s">
        <v>88</v>
      </c>
      <c r="K1960" s="4" t="s">
        <v>20</v>
      </c>
      <c r="L1960" s="4" t="s">
        <v>742</v>
      </c>
      <c r="M1960" s="17">
        <v>30</v>
      </c>
      <c r="N1960" s="17">
        <v>782</v>
      </c>
      <c r="O1960" s="18" t="s">
        <v>88</v>
      </c>
      <c r="P1960" s="18">
        <v>782</v>
      </c>
      <c r="Q1960" s="18">
        <v>30</v>
      </c>
      <c r="R1960" s="18" t="str">
        <f>VLOOKUP(AUDITORIA[[#This Row],[LOTE]],[1]ENDEREÇAMENTO!$C$2:$J$9999,8,FALSE)</f>
        <v>Cam.C</v>
      </c>
      <c r="S1960" s="18" t="str">
        <f>VLOOKUP(RIGHT(AUDITORIA[[#This Row],[LOTE]],4),[2]Lotes!$A$2:$E$209,2,FALSE)</f>
        <v>QD.33</v>
      </c>
      <c r="T1960" s="18" t="str">
        <f>VLOOKUP(RIGHT(AUDITORIA[[#This Row],[LOTE]],4),[2]Lotes!$A$2:$E$209,4,FALSE)</f>
        <v>F3</v>
      </c>
      <c r="U19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60" s="19">
        <f>IF(AUDITORIA[[#This Row],[CAT]]="",0,1)</f>
        <v>1</v>
      </c>
      <c r="W1960" s="20">
        <v>46232</v>
      </c>
      <c r="X1960" s="21" t="s">
        <v>906</v>
      </c>
      <c r="Y1960" s="24" t="s">
        <v>901</v>
      </c>
      <c r="Z1960" s="24" t="s">
        <v>902</v>
      </c>
      <c r="AA1960" s="24" t="s">
        <v>903</v>
      </c>
    </row>
    <row r="1961" spans="1:27" ht="14.4" hidden="1" customHeight="1" x14ac:dyDescent="0.3">
      <c r="A1961" s="4" t="s">
        <v>0</v>
      </c>
      <c r="B1961" s="4" t="s">
        <v>17</v>
      </c>
      <c r="C1961" s="16" t="s">
        <v>18</v>
      </c>
      <c r="D1961" s="4">
        <v>10</v>
      </c>
      <c r="E1961" s="4" t="s">
        <v>745</v>
      </c>
      <c r="F1961" t="s">
        <v>257</v>
      </c>
      <c r="G1961" t="s">
        <v>233</v>
      </c>
      <c r="H1961" s="4" t="s">
        <v>88</v>
      </c>
      <c r="I1961" s="4" t="s">
        <v>20</v>
      </c>
      <c r="J1961" s="4" t="s">
        <v>88</v>
      </c>
      <c r="K1961" s="4" t="s">
        <v>20</v>
      </c>
      <c r="L1961" s="4" t="s">
        <v>742</v>
      </c>
      <c r="M1961" s="17">
        <v>30</v>
      </c>
      <c r="N1961" s="17">
        <v>782</v>
      </c>
      <c r="O1961" s="18" t="s">
        <v>88</v>
      </c>
      <c r="P1961" s="18">
        <v>782</v>
      </c>
      <c r="Q1961" s="18">
        <v>30</v>
      </c>
      <c r="R1961" s="18" t="str">
        <f>VLOOKUP(AUDITORIA[[#This Row],[LOTE]],[1]ENDEREÇAMENTO!$C$2:$J$9999,8,FALSE)</f>
        <v>Cam.C</v>
      </c>
      <c r="S1961" s="18" t="str">
        <f>VLOOKUP(RIGHT(AUDITORIA[[#This Row],[LOTE]],4),[2]Lotes!$A$2:$E$209,2,FALSE)</f>
        <v>QD.15</v>
      </c>
      <c r="T1961" s="18" t="str">
        <f>VLOOKUP(RIGHT(AUDITORIA[[#This Row],[LOTE]],4),[2]Lotes!$A$2:$E$209,4,FALSE)</f>
        <v>F2</v>
      </c>
      <c r="U19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61" s="19">
        <f>IF(AUDITORIA[[#This Row],[CAT]]="",0,1)</f>
        <v>1</v>
      </c>
      <c r="W1961" s="20">
        <v>46232</v>
      </c>
      <c r="X1961" s="21" t="s">
        <v>906</v>
      </c>
      <c r="Y1961" s="24" t="s">
        <v>901</v>
      </c>
      <c r="Z1961" s="24" t="s">
        <v>902</v>
      </c>
      <c r="AA1961" s="24" t="s">
        <v>903</v>
      </c>
    </row>
    <row r="1962" spans="1:27" ht="14.4" hidden="1" customHeight="1" x14ac:dyDescent="0.3">
      <c r="A1962" s="4" t="s">
        <v>0</v>
      </c>
      <c r="B1962" s="4" t="s">
        <v>17</v>
      </c>
      <c r="C1962" s="16" t="s">
        <v>18</v>
      </c>
      <c r="D1962" s="4">
        <v>10</v>
      </c>
      <c r="E1962" s="4" t="s">
        <v>745</v>
      </c>
      <c r="F1962" t="s">
        <v>238</v>
      </c>
      <c r="G1962" t="s">
        <v>233</v>
      </c>
      <c r="H1962" s="4" t="s">
        <v>88</v>
      </c>
      <c r="I1962" s="4" t="s">
        <v>21</v>
      </c>
      <c r="J1962" s="4" t="s">
        <v>88</v>
      </c>
      <c r="K1962" s="4" t="s">
        <v>21</v>
      </c>
      <c r="L1962" s="4" t="s">
        <v>742</v>
      </c>
      <c r="M1962" s="17">
        <v>27</v>
      </c>
      <c r="N1962" s="17">
        <v>931</v>
      </c>
      <c r="O1962" s="18" t="s">
        <v>88</v>
      </c>
      <c r="P1962" s="18">
        <v>931</v>
      </c>
      <c r="Q1962" s="18">
        <v>27</v>
      </c>
      <c r="R1962" s="18" t="str">
        <f>VLOOKUP(AUDITORIA[[#This Row],[LOTE]],[1]ENDEREÇAMENTO!$C$2:$J$9999,8,FALSE)</f>
        <v>Cam.C</v>
      </c>
      <c r="S1962" s="18" t="str">
        <f>VLOOKUP(RIGHT(AUDITORIA[[#This Row],[LOTE]],4),[2]Lotes!$A$2:$E$209,2,FALSE)</f>
        <v>QD.32</v>
      </c>
      <c r="T1962" s="18" t="str">
        <f>VLOOKUP(RIGHT(AUDITORIA[[#This Row],[LOTE]],4),[2]Lotes!$A$2:$E$209,4,FALSE)</f>
        <v>F3</v>
      </c>
      <c r="U19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62" s="19">
        <f>IF(AUDITORIA[[#This Row],[CAT]]="",0,1)</f>
        <v>1</v>
      </c>
      <c r="W1962" s="20">
        <v>46232</v>
      </c>
      <c r="X1962" s="21" t="s">
        <v>906</v>
      </c>
      <c r="Y1962" s="24" t="s">
        <v>901</v>
      </c>
      <c r="Z1962" s="24" t="s">
        <v>902</v>
      </c>
      <c r="AA1962" s="24" t="s">
        <v>903</v>
      </c>
    </row>
    <row r="1963" spans="1:27" ht="14.4" hidden="1" customHeight="1" x14ac:dyDescent="0.3">
      <c r="A1963" s="4" t="s">
        <v>0</v>
      </c>
      <c r="B1963" s="4" t="s">
        <v>17</v>
      </c>
      <c r="C1963" s="16" t="s">
        <v>18</v>
      </c>
      <c r="D1963" s="4">
        <v>10</v>
      </c>
      <c r="E1963" s="4" t="s">
        <v>745</v>
      </c>
      <c r="F1963" t="s">
        <v>256</v>
      </c>
      <c r="G1963" t="s">
        <v>233</v>
      </c>
      <c r="H1963" s="4" t="s">
        <v>88</v>
      </c>
      <c r="I1963" s="4" t="s">
        <v>20</v>
      </c>
      <c r="J1963" s="4" t="s">
        <v>88</v>
      </c>
      <c r="K1963" s="4" t="s">
        <v>20</v>
      </c>
      <c r="L1963" s="4" t="s">
        <v>742</v>
      </c>
      <c r="M1963" s="17">
        <v>21</v>
      </c>
      <c r="N1963" s="17">
        <v>793</v>
      </c>
      <c r="O1963" s="18" t="s">
        <v>88</v>
      </c>
      <c r="P1963" s="18">
        <v>793</v>
      </c>
      <c r="Q1963" s="18">
        <v>21</v>
      </c>
      <c r="R1963" s="18" t="str">
        <f>VLOOKUP(AUDITORIA[[#This Row],[LOTE]],[1]ENDEREÇAMENTO!$C$2:$J$9999,8,FALSE)</f>
        <v>Cam.C</v>
      </c>
      <c r="S1963" s="18" t="str">
        <f>VLOOKUP(RIGHT(AUDITORIA[[#This Row],[LOTE]],4),[2]Lotes!$A$2:$E$209,2,FALSE)</f>
        <v>QD.26</v>
      </c>
      <c r="T1963" s="18" t="str">
        <f>VLOOKUP(RIGHT(AUDITORIA[[#This Row],[LOTE]],4),[2]Lotes!$A$2:$E$209,4,FALSE)</f>
        <v>F1</v>
      </c>
      <c r="U19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63" s="19">
        <f>IF(AUDITORIA[[#This Row],[CAT]]="",0,1)</f>
        <v>1</v>
      </c>
      <c r="W1963" s="20">
        <v>46232</v>
      </c>
      <c r="X1963" s="21" t="s">
        <v>906</v>
      </c>
      <c r="Y1963" s="24" t="s">
        <v>901</v>
      </c>
      <c r="Z1963" s="24" t="s">
        <v>902</v>
      </c>
      <c r="AA1963" s="24" t="s">
        <v>903</v>
      </c>
    </row>
    <row r="1964" spans="1:27" ht="14.4" hidden="1" customHeight="1" x14ac:dyDescent="0.3">
      <c r="A1964" s="4" t="s">
        <v>0</v>
      </c>
      <c r="B1964" s="4" t="s">
        <v>17</v>
      </c>
      <c r="C1964" s="16" t="s">
        <v>18</v>
      </c>
      <c r="D1964" s="4">
        <v>10</v>
      </c>
      <c r="E1964" s="4" t="s">
        <v>745</v>
      </c>
      <c r="F1964" t="s">
        <v>237</v>
      </c>
      <c r="G1964" t="s">
        <v>233</v>
      </c>
      <c r="H1964" s="4" t="s">
        <v>88</v>
      </c>
      <c r="I1964" s="4" t="s">
        <v>21</v>
      </c>
      <c r="J1964" s="4" t="s">
        <v>88</v>
      </c>
      <c r="K1964" s="4" t="s">
        <v>21</v>
      </c>
      <c r="L1964" s="4" t="s">
        <v>742</v>
      </c>
      <c r="M1964" s="17">
        <v>27</v>
      </c>
      <c r="N1964" s="17">
        <v>948</v>
      </c>
      <c r="O1964" s="18" t="s">
        <v>88</v>
      </c>
      <c r="P1964" s="18">
        <v>948</v>
      </c>
      <c r="Q1964" s="18">
        <v>27</v>
      </c>
      <c r="R1964" s="18" t="str">
        <f>VLOOKUP(AUDITORIA[[#This Row],[LOTE]],[1]ENDEREÇAMENTO!$C$2:$J$9999,8,FALSE)</f>
        <v>Cam.C</v>
      </c>
      <c r="S1964" s="18" t="str">
        <f>VLOOKUP(RIGHT(AUDITORIA[[#This Row],[LOTE]],4),[2]Lotes!$A$2:$E$209,2,FALSE)</f>
        <v>QD.25</v>
      </c>
      <c r="T1964" s="18" t="str">
        <f>VLOOKUP(RIGHT(AUDITORIA[[#This Row],[LOTE]],4),[2]Lotes!$A$2:$E$209,4,FALSE)</f>
        <v>F1</v>
      </c>
      <c r="U19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64" s="19">
        <f>IF(AUDITORIA[[#This Row],[CAT]]="",0,1)</f>
        <v>1</v>
      </c>
      <c r="W1964" s="20">
        <v>46232</v>
      </c>
      <c r="X1964" s="21" t="s">
        <v>906</v>
      </c>
      <c r="Y1964" s="24" t="s">
        <v>901</v>
      </c>
      <c r="Z1964" s="24" t="s">
        <v>902</v>
      </c>
      <c r="AA1964" s="24" t="s">
        <v>903</v>
      </c>
    </row>
    <row r="1965" spans="1:27" ht="14.4" hidden="1" customHeight="1" x14ac:dyDescent="0.3">
      <c r="A1965" s="4" t="s">
        <v>0</v>
      </c>
      <c r="B1965" s="4" t="s">
        <v>17</v>
      </c>
      <c r="C1965" s="16" t="s">
        <v>18</v>
      </c>
      <c r="D1965" s="4">
        <v>10</v>
      </c>
      <c r="E1965" s="4" t="s">
        <v>745</v>
      </c>
      <c r="F1965" t="s">
        <v>236</v>
      </c>
      <c r="G1965" t="s">
        <v>233</v>
      </c>
      <c r="H1965" s="4" t="s">
        <v>88</v>
      </c>
      <c r="I1965" s="4" t="s">
        <v>21</v>
      </c>
      <c r="J1965" s="4" t="s">
        <v>88</v>
      </c>
      <c r="K1965" s="4" t="s">
        <v>21</v>
      </c>
      <c r="L1965" s="4" t="s">
        <v>742</v>
      </c>
      <c r="M1965" s="17">
        <v>27</v>
      </c>
      <c r="N1965" s="17">
        <v>950</v>
      </c>
      <c r="O1965" s="18" t="s">
        <v>88</v>
      </c>
      <c r="P1965" s="18">
        <v>950</v>
      </c>
      <c r="Q1965" s="18">
        <v>27</v>
      </c>
      <c r="R1965" s="18" t="str">
        <f>VLOOKUP(AUDITORIA[[#This Row],[LOTE]],[1]ENDEREÇAMENTO!$C$2:$J$9999,8,FALSE)</f>
        <v>Cam.C</v>
      </c>
      <c r="S1965" s="18" t="str">
        <f>VLOOKUP(RIGHT(AUDITORIA[[#This Row],[LOTE]],4),[2]Lotes!$A$2:$E$209,2,FALSE)</f>
        <v>QD.25</v>
      </c>
      <c r="T1965" s="18" t="str">
        <f>VLOOKUP(RIGHT(AUDITORIA[[#This Row],[LOTE]],4),[2]Lotes!$A$2:$E$209,4,FALSE)</f>
        <v>F2</v>
      </c>
      <c r="U19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65" s="19">
        <f>IF(AUDITORIA[[#This Row],[CAT]]="",0,1)</f>
        <v>1</v>
      </c>
      <c r="W1965" s="20">
        <v>46232</v>
      </c>
      <c r="X1965" s="21" t="s">
        <v>906</v>
      </c>
      <c r="Y1965" s="24" t="s">
        <v>901</v>
      </c>
      <c r="Z1965" s="24" t="s">
        <v>902</v>
      </c>
      <c r="AA1965" s="24" t="s">
        <v>903</v>
      </c>
    </row>
    <row r="1966" spans="1:27" ht="14.4" hidden="1" customHeight="1" x14ac:dyDescent="0.3">
      <c r="A1966" s="4" t="s">
        <v>0</v>
      </c>
      <c r="B1966" s="4" t="s">
        <v>17</v>
      </c>
      <c r="C1966" s="16" t="s">
        <v>18</v>
      </c>
      <c r="D1966" s="4">
        <v>10</v>
      </c>
      <c r="E1966" s="4" t="s">
        <v>745</v>
      </c>
      <c r="F1966" t="s">
        <v>255</v>
      </c>
      <c r="G1966" t="s">
        <v>233</v>
      </c>
      <c r="H1966" s="4" t="s">
        <v>88</v>
      </c>
      <c r="I1966" s="4" t="s">
        <v>20</v>
      </c>
      <c r="J1966" s="4" t="s">
        <v>88</v>
      </c>
      <c r="K1966" s="4" t="s">
        <v>20</v>
      </c>
      <c r="L1966" s="4" t="s">
        <v>742</v>
      </c>
      <c r="M1966" s="17">
        <v>30</v>
      </c>
      <c r="N1966" s="17">
        <v>814</v>
      </c>
      <c r="O1966" s="18" t="s">
        <v>88</v>
      </c>
      <c r="P1966" s="18">
        <v>814</v>
      </c>
      <c r="Q1966" s="18">
        <v>30</v>
      </c>
      <c r="R1966" s="18" t="str">
        <f>VLOOKUP(AUDITORIA[[#This Row],[LOTE]],[1]ENDEREÇAMENTO!$C$2:$J$9999,8,FALSE)</f>
        <v>Cam.C</v>
      </c>
      <c r="S1966" s="18" t="str">
        <f>VLOOKUP(RIGHT(AUDITORIA[[#This Row],[LOTE]],4),[2]Lotes!$A$2:$E$209,2,FALSE)</f>
        <v>QD.04</v>
      </c>
      <c r="T1966" s="18" t="str">
        <f>VLOOKUP(RIGHT(AUDITORIA[[#This Row],[LOTE]],4),[2]Lotes!$A$2:$E$209,4,FALSE)</f>
        <v>F2</v>
      </c>
      <c r="U19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66" s="19">
        <f>IF(AUDITORIA[[#This Row],[CAT]]="",0,1)</f>
        <v>1</v>
      </c>
      <c r="W1966" s="20">
        <v>46232</v>
      </c>
      <c r="X1966" s="21" t="s">
        <v>906</v>
      </c>
      <c r="Y1966" s="24" t="s">
        <v>901</v>
      </c>
      <c r="Z1966" s="24" t="s">
        <v>902</v>
      </c>
      <c r="AA1966" s="24" t="s">
        <v>903</v>
      </c>
    </row>
    <row r="1967" spans="1:27" ht="14.4" hidden="1" customHeight="1" x14ac:dyDescent="0.3">
      <c r="A1967" s="4" t="s">
        <v>0</v>
      </c>
      <c r="B1967" s="4" t="s">
        <v>17</v>
      </c>
      <c r="C1967" s="16" t="s">
        <v>18</v>
      </c>
      <c r="D1967" s="4">
        <v>10</v>
      </c>
      <c r="E1967" s="4" t="s">
        <v>745</v>
      </c>
      <c r="F1967" t="s">
        <v>235</v>
      </c>
      <c r="G1967" t="s">
        <v>233</v>
      </c>
      <c r="H1967" s="4" t="s">
        <v>88</v>
      </c>
      <c r="I1967" s="4" t="s">
        <v>21</v>
      </c>
      <c r="J1967" s="4" t="s">
        <v>88</v>
      </c>
      <c r="K1967" s="4" t="s">
        <v>21</v>
      </c>
      <c r="L1967" s="4" t="s">
        <v>742</v>
      </c>
      <c r="M1967" s="17">
        <v>27</v>
      </c>
      <c r="N1967" s="17">
        <v>981</v>
      </c>
      <c r="O1967" s="18" t="s">
        <v>88</v>
      </c>
      <c r="P1967" s="18">
        <v>981</v>
      </c>
      <c r="Q1967" s="18">
        <v>27</v>
      </c>
      <c r="R1967" s="18" t="str">
        <f>VLOOKUP(AUDITORIA[[#This Row],[LOTE]],[1]ENDEREÇAMENTO!$C$2:$J$9999,8,FALSE)</f>
        <v>Cam.C</v>
      </c>
      <c r="S1967" s="18" t="str">
        <f>VLOOKUP(RIGHT(AUDITORIA[[#This Row],[LOTE]],4),[2]Lotes!$A$2:$E$209,2,FALSE)</f>
        <v>QD.25</v>
      </c>
      <c r="T1967" s="18" t="str">
        <f>VLOOKUP(RIGHT(AUDITORIA[[#This Row],[LOTE]],4),[2]Lotes!$A$2:$E$209,4,FALSE)</f>
        <v>F3</v>
      </c>
      <c r="U19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67" s="19">
        <f>IF(AUDITORIA[[#This Row],[CAT]]="",0,1)</f>
        <v>1</v>
      </c>
      <c r="W1967" s="20">
        <v>46232</v>
      </c>
      <c r="X1967" s="21" t="s">
        <v>906</v>
      </c>
      <c r="Y1967" s="24" t="s">
        <v>901</v>
      </c>
      <c r="Z1967" s="24" t="s">
        <v>902</v>
      </c>
      <c r="AA1967" s="24" t="s">
        <v>903</v>
      </c>
    </row>
    <row r="1968" spans="1:27" ht="14.4" hidden="1" customHeight="1" x14ac:dyDescent="0.3">
      <c r="A1968" s="4" t="s">
        <v>0</v>
      </c>
      <c r="B1968" s="4" t="s">
        <v>17</v>
      </c>
      <c r="C1968" s="16" t="s">
        <v>18</v>
      </c>
      <c r="D1968" s="4">
        <v>10</v>
      </c>
      <c r="E1968" s="4" t="s">
        <v>745</v>
      </c>
      <c r="F1968" t="s">
        <v>232</v>
      </c>
      <c r="G1968" t="s">
        <v>233</v>
      </c>
      <c r="H1968" s="4" t="s">
        <v>88</v>
      </c>
      <c r="I1968" s="4" t="s">
        <v>20</v>
      </c>
      <c r="J1968" s="4" t="s">
        <v>88</v>
      </c>
      <c r="K1968" s="4" t="s">
        <v>20</v>
      </c>
      <c r="L1968" s="4" t="s">
        <v>742</v>
      </c>
      <c r="M1968" s="17">
        <v>30</v>
      </c>
      <c r="N1968" s="17">
        <v>820</v>
      </c>
      <c r="O1968" s="18" t="s">
        <v>88</v>
      </c>
      <c r="P1968" s="18">
        <v>820</v>
      </c>
      <c r="Q1968" s="18">
        <v>30</v>
      </c>
      <c r="R1968" s="18" t="s">
        <v>817</v>
      </c>
      <c r="S1968" s="18" t="s">
        <v>800</v>
      </c>
      <c r="T1968" s="18" t="s">
        <v>780</v>
      </c>
      <c r="U19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68" s="19">
        <f>IF(AUDITORIA[[#This Row],[CAT]]="",0,1)</f>
        <v>1</v>
      </c>
      <c r="W1968" s="20">
        <v>46232</v>
      </c>
      <c r="X1968" s="21" t="s">
        <v>906</v>
      </c>
      <c r="Y1968" s="24" t="s">
        <v>901</v>
      </c>
      <c r="Z1968" s="24" t="s">
        <v>902</v>
      </c>
      <c r="AA1968" s="24" t="s">
        <v>903</v>
      </c>
    </row>
    <row r="1969" spans="1:27" ht="14.4" hidden="1" customHeight="1" x14ac:dyDescent="0.3">
      <c r="A1969" s="4" t="s">
        <v>0</v>
      </c>
      <c r="B1969" s="4" t="s">
        <v>17</v>
      </c>
      <c r="C1969" s="16" t="s">
        <v>18</v>
      </c>
      <c r="D1969" s="4">
        <v>10</v>
      </c>
      <c r="E1969" s="4" t="s">
        <v>745</v>
      </c>
      <c r="F1969" t="s">
        <v>234</v>
      </c>
      <c r="G1969" t="s">
        <v>233</v>
      </c>
      <c r="H1969" s="4" t="s">
        <v>88</v>
      </c>
      <c r="I1969" s="4" t="s">
        <v>21</v>
      </c>
      <c r="J1969" s="4" t="s">
        <v>88</v>
      </c>
      <c r="K1969" s="4" t="s">
        <v>21</v>
      </c>
      <c r="L1969" s="4" t="s">
        <v>742</v>
      </c>
      <c r="M1969" s="17">
        <v>17</v>
      </c>
      <c r="N1969" s="17">
        <v>977</v>
      </c>
      <c r="O1969" s="18" t="s">
        <v>88</v>
      </c>
      <c r="P1969" s="18">
        <v>977</v>
      </c>
      <c r="Q1969" s="18">
        <v>17</v>
      </c>
      <c r="R1969" s="18" t="str">
        <f>VLOOKUP(AUDITORIA[[#This Row],[LOTE]],[1]ENDEREÇAMENTO!$C$2:$J$9999,8,FALSE)</f>
        <v>Cam.C</v>
      </c>
      <c r="S1969" s="18" t="str">
        <f>VLOOKUP(RIGHT(AUDITORIA[[#This Row],[LOTE]],4),[2]Lotes!$A$2:$E$209,2,FALSE)</f>
        <v>QD.25</v>
      </c>
      <c r="T1969" s="18" t="str">
        <f>VLOOKUP(RIGHT(AUDITORIA[[#This Row],[LOTE]],4),[2]Lotes!$A$2:$E$209,4,FALSE)</f>
        <v>F4</v>
      </c>
      <c r="U19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69" s="19">
        <f>IF(AUDITORIA[[#This Row],[CAT]]="",0,1)</f>
        <v>1</v>
      </c>
      <c r="W1969" s="20">
        <v>46232</v>
      </c>
      <c r="X1969" s="21" t="s">
        <v>906</v>
      </c>
      <c r="Y1969" s="24" t="s">
        <v>901</v>
      </c>
      <c r="Z1969" s="24" t="s">
        <v>902</v>
      </c>
      <c r="AA1969" s="24" t="s">
        <v>903</v>
      </c>
    </row>
    <row r="1970" spans="1:27" ht="14.4" hidden="1" customHeight="1" x14ac:dyDescent="0.3">
      <c r="A1970" s="4" t="s">
        <v>0</v>
      </c>
      <c r="B1970" s="4" t="s">
        <v>17</v>
      </c>
      <c r="C1970" s="16" t="s">
        <v>18</v>
      </c>
      <c r="D1970" s="4">
        <v>10</v>
      </c>
      <c r="E1970" s="4" t="s">
        <v>745</v>
      </c>
      <c r="F1970" t="s">
        <v>231</v>
      </c>
      <c r="G1970" t="s">
        <v>85</v>
      </c>
      <c r="H1970" s="4" t="s">
        <v>88</v>
      </c>
      <c r="I1970" s="4" t="s">
        <v>21</v>
      </c>
      <c r="J1970" s="4" t="s">
        <v>88</v>
      </c>
      <c r="K1970" s="4" t="s">
        <v>21</v>
      </c>
      <c r="L1970" s="4" t="s">
        <v>742</v>
      </c>
      <c r="M1970" s="17">
        <v>30</v>
      </c>
      <c r="N1970" s="17">
        <v>834</v>
      </c>
      <c r="O1970" s="18" t="s">
        <v>88</v>
      </c>
      <c r="P1970" s="18">
        <v>834</v>
      </c>
      <c r="Q1970" s="18">
        <v>30</v>
      </c>
      <c r="R1970" s="18" t="s">
        <v>778</v>
      </c>
      <c r="S1970" s="18" t="s">
        <v>826</v>
      </c>
      <c r="T1970" s="18" t="s">
        <v>781</v>
      </c>
      <c r="U19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70" s="19">
        <f>IF(AUDITORIA[[#This Row],[CAT]]="",0,1)</f>
        <v>1</v>
      </c>
      <c r="W1970" s="20">
        <v>46232</v>
      </c>
      <c r="X1970" s="21" t="s">
        <v>906</v>
      </c>
      <c r="Y1970" s="24" t="s">
        <v>901</v>
      </c>
      <c r="Z1970" s="24" t="s">
        <v>902</v>
      </c>
      <c r="AA1970" s="24" t="s">
        <v>903</v>
      </c>
    </row>
    <row r="1971" spans="1:27" ht="14.4" hidden="1" customHeight="1" x14ac:dyDescent="0.3">
      <c r="A1971" s="4" t="s">
        <v>0</v>
      </c>
      <c r="B1971" s="4" t="s">
        <v>17</v>
      </c>
      <c r="C1971" s="16" t="s">
        <v>18</v>
      </c>
      <c r="D1971" s="4">
        <v>10</v>
      </c>
      <c r="E1971" s="4" t="s">
        <v>745</v>
      </c>
      <c r="F1971" t="s">
        <v>230</v>
      </c>
      <c r="G1971" t="s">
        <v>85</v>
      </c>
      <c r="H1971" s="4" t="s">
        <v>88</v>
      </c>
      <c r="I1971" s="4" t="s">
        <v>20</v>
      </c>
      <c r="J1971" s="4" t="s">
        <v>88</v>
      </c>
      <c r="K1971" s="4" t="s">
        <v>20</v>
      </c>
      <c r="L1971" s="4" t="s">
        <v>742</v>
      </c>
      <c r="M1971" s="17">
        <v>30</v>
      </c>
      <c r="N1971" s="17">
        <v>684</v>
      </c>
      <c r="O1971" s="18" t="s">
        <v>88</v>
      </c>
      <c r="P1971" s="18">
        <v>684</v>
      </c>
      <c r="Q1971" s="18">
        <v>30</v>
      </c>
      <c r="R1971" s="18" t="s">
        <v>778</v>
      </c>
      <c r="S1971" s="28" t="s">
        <v>802</v>
      </c>
      <c r="T1971" s="28" t="s">
        <v>909</v>
      </c>
      <c r="U19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71" s="19">
        <f>IF(AUDITORIA[[#This Row],[CAT]]="",0,1)</f>
        <v>1</v>
      </c>
      <c r="W1971" s="20">
        <v>46232</v>
      </c>
      <c r="X1971" s="21" t="s">
        <v>906</v>
      </c>
      <c r="Y1971" s="24" t="s">
        <v>901</v>
      </c>
      <c r="Z1971" s="24" t="s">
        <v>902</v>
      </c>
      <c r="AA1971" s="24" t="s">
        <v>903</v>
      </c>
    </row>
    <row r="1972" spans="1:27" ht="14.4" hidden="1" customHeight="1" x14ac:dyDescent="0.3">
      <c r="A1972" s="4" t="s">
        <v>0</v>
      </c>
      <c r="B1972" s="4" t="s">
        <v>17</v>
      </c>
      <c r="C1972" s="16" t="s">
        <v>18</v>
      </c>
      <c r="D1972" s="4">
        <v>10</v>
      </c>
      <c r="E1972" s="4" t="s">
        <v>745</v>
      </c>
      <c r="F1972" t="s">
        <v>229</v>
      </c>
      <c r="G1972" t="s">
        <v>85</v>
      </c>
      <c r="H1972" s="4" t="s">
        <v>88</v>
      </c>
      <c r="I1972" s="4" t="s">
        <v>21</v>
      </c>
      <c r="J1972" s="4" t="s">
        <v>88</v>
      </c>
      <c r="K1972" s="4" t="s">
        <v>21</v>
      </c>
      <c r="L1972" s="4" t="s">
        <v>742</v>
      </c>
      <c r="M1972" s="17">
        <v>30</v>
      </c>
      <c r="N1972" s="17">
        <v>856</v>
      </c>
      <c r="O1972" s="18" t="s">
        <v>88</v>
      </c>
      <c r="P1972" s="18">
        <v>856</v>
      </c>
      <c r="Q1972" s="18">
        <v>30</v>
      </c>
      <c r="R1972" s="18" t="s">
        <v>778</v>
      </c>
      <c r="S1972" s="28" t="s">
        <v>803</v>
      </c>
      <c r="T1972" s="28" t="s">
        <v>780</v>
      </c>
      <c r="U19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72" s="19">
        <f>IF(AUDITORIA[[#This Row],[CAT]]="",0,1)</f>
        <v>1</v>
      </c>
      <c r="W1972" s="20">
        <v>46232</v>
      </c>
      <c r="X1972" s="21" t="s">
        <v>906</v>
      </c>
      <c r="Y1972" s="24" t="s">
        <v>901</v>
      </c>
      <c r="Z1972" s="24" t="s">
        <v>902</v>
      </c>
      <c r="AA1972" s="24" t="s">
        <v>903</v>
      </c>
    </row>
    <row r="1973" spans="1:27" ht="14.4" hidden="1" customHeight="1" x14ac:dyDescent="0.3">
      <c r="A1973" s="4" t="s">
        <v>0</v>
      </c>
      <c r="B1973" s="4" t="s">
        <v>17</v>
      </c>
      <c r="C1973" s="16" t="s">
        <v>18</v>
      </c>
      <c r="D1973" s="4">
        <v>10</v>
      </c>
      <c r="E1973" s="4" t="s">
        <v>745</v>
      </c>
      <c r="F1973" t="s">
        <v>228</v>
      </c>
      <c r="G1973" t="s">
        <v>85</v>
      </c>
      <c r="H1973" s="4" t="s">
        <v>88</v>
      </c>
      <c r="I1973" s="4" t="s">
        <v>20</v>
      </c>
      <c r="J1973" s="4" t="s">
        <v>88</v>
      </c>
      <c r="K1973" s="4" t="s">
        <v>20</v>
      </c>
      <c r="L1973" s="4" t="s">
        <v>742</v>
      </c>
      <c r="M1973" s="17">
        <v>30</v>
      </c>
      <c r="N1973" s="17">
        <v>693</v>
      </c>
      <c r="O1973" s="18" t="s">
        <v>88</v>
      </c>
      <c r="P1973" s="18">
        <v>693</v>
      </c>
      <c r="Q1973" s="18">
        <v>30</v>
      </c>
      <c r="R1973" s="18" t="s">
        <v>778</v>
      </c>
      <c r="S1973" s="28" t="s">
        <v>916</v>
      </c>
      <c r="T1973" s="28" t="s">
        <v>781</v>
      </c>
      <c r="U19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73" s="19">
        <f>IF(AUDITORIA[[#This Row],[CAT]]="",0,1)</f>
        <v>1</v>
      </c>
      <c r="W1973" s="20">
        <v>46232</v>
      </c>
      <c r="X1973" s="21" t="s">
        <v>906</v>
      </c>
      <c r="Y1973" s="24" t="s">
        <v>901</v>
      </c>
      <c r="Z1973" s="24" t="s">
        <v>902</v>
      </c>
      <c r="AA1973" s="24" t="s">
        <v>903</v>
      </c>
    </row>
    <row r="1974" spans="1:27" ht="14.4" hidden="1" customHeight="1" x14ac:dyDescent="0.3">
      <c r="A1974" s="4" t="s">
        <v>0</v>
      </c>
      <c r="B1974" s="4" t="s">
        <v>17</v>
      </c>
      <c r="C1974" s="16" t="s">
        <v>18</v>
      </c>
      <c r="D1974" s="4">
        <v>10</v>
      </c>
      <c r="E1974" s="4" t="s">
        <v>745</v>
      </c>
      <c r="F1974" t="s">
        <v>226</v>
      </c>
      <c r="G1974" t="s">
        <v>85</v>
      </c>
      <c r="H1974" s="4" t="s">
        <v>88</v>
      </c>
      <c r="I1974" s="4" t="s">
        <v>21</v>
      </c>
      <c r="J1974" s="4" t="s">
        <v>88</v>
      </c>
      <c r="K1974" s="4" t="s">
        <v>21</v>
      </c>
      <c r="L1974" s="4" t="s">
        <v>742</v>
      </c>
      <c r="M1974" s="17">
        <v>30</v>
      </c>
      <c r="N1974" s="17">
        <v>872</v>
      </c>
      <c r="O1974" s="18" t="s">
        <v>88</v>
      </c>
      <c r="P1974" s="18">
        <v>872</v>
      </c>
      <c r="Q1974" s="18">
        <v>30</v>
      </c>
      <c r="R1974" s="18" t="s">
        <v>778</v>
      </c>
      <c r="S1974" s="28" t="s">
        <v>803</v>
      </c>
      <c r="T1974" s="28" t="s">
        <v>781</v>
      </c>
      <c r="U19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74" s="19">
        <f>IF(AUDITORIA[[#This Row],[CAT]]="",0,1)</f>
        <v>1</v>
      </c>
      <c r="W1974" s="20">
        <v>46232</v>
      </c>
      <c r="X1974" s="21" t="s">
        <v>906</v>
      </c>
      <c r="Y1974" s="24" t="s">
        <v>901</v>
      </c>
      <c r="Z1974" s="24" t="s">
        <v>902</v>
      </c>
      <c r="AA1974" s="24" t="s">
        <v>903</v>
      </c>
    </row>
    <row r="1975" spans="1:27" ht="14.4" hidden="1" customHeight="1" x14ac:dyDescent="0.3">
      <c r="A1975" s="4" t="s">
        <v>0</v>
      </c>
      <c r="B1975" s="4" t="s">
        <v>17</v>
      </c>
      <c r="C1975" s="16" t="s">
        <v>18</v>
      </c>
      <c r="D1975" s="4">
        <v>10</v>
      </c>
      <c r="E1975" s="4" t="s">
        <v>745</v>
      </c>
      <c r="F1975" t="s">
        <v>227</v>
      </c>
      <c r="G1975" t="s">
        <v>85</v>
      </c>
      <c r="H1975" s="4" t="s">
        <v>88</v>
      </c>
      <c r="I1975" s="4" t="s">
        <v>20</v>
      </c>
      <c r="J1975" s="4" t="s">
        <v>88</v>
      </c>
      <c r="K1975" s="4" t="s">
        <v>20</v>
      </c>
      <c r="L1975" s="4" t="s">
        <v>742</v>
      </c>
      <c r="M1975" s="17">
        <v>30</v>
      </c>
      <c r="N1975" s="17">
        <v>697</v>
      </c>
      <c r="O1975" s="18" t="s">
        <v>88</v>
      </c>
      <c r="P1975" s="18">
        <v>697</v>
      </c>
      <c r="Q1975" s="18">
        <v>30</v>
      </c>
      <c r="R1975" s="18" t="s">
        <v>817</v>
      </c>
      <c r="S1975" s="18" t="s">
        <v>799</v>
      </c>
      <c r="T1975" s="18" t="s">
        <v>794</v>
      </c>
      <c r="U19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75" s="19">
        <f>IF(AUDITORIA[[#This Row],[CAT]]="",0,1)</f>
        <v>1</v>
      </c>
      <c r="W1975" s="20">
        <v>46232</v>
      </c>
      <c r="X1975" s="21" t="s">
        <v>906</v>
      </c>
      <c r="Y1975" s="24" t="s">
        <v>901</v>
      </c>
      <c r="Z1975" s="24" t="s">
        <v>902</v>
      </c>
      <c r="AA1975" s="24" t="s">
        <v>903</v>
      </c>
    </row>
    <row r="1976" spans="1:27" ht="14.4" hidden="1" customHeight="1" x14ac:dyDescent="0.3">
      <c r="A1976" s="4" t="s">
        <v>0</v>
      </c>
      <c r="B1976" s="4" t="s">
        <v>17</v>
      </c>
      <c r="C1976" s="16" t="s">
        <v>18</v>
      </c>
      <c r="D1976" s="4">
        <v>10</v>
      </c>
      <c r="E1976" s="4" t="s">
        <v>745</v>
      </c>
      <c r="F1976" t="s">
        <v>225</v>
      </c>
      <c r="G1976" t="s">
        <v>85</v>
      </c>
      <c r="H1976" s="4" t="s">
        <v>88</v>
      </c>
      <c r="I1976" s="4" t="s">
        <v>21</v>
      </c>
      <c r="J1976" s="4" t="s">
        <v>88</v>
      </c>
      <c r="K1976" s="4" t="s">
        <v>21</v>
      </c>
      <c r="L1976" s="4" t="s">
        <v>742</v>
      </c>
      <c r="M1976" s="17">
        <v>30</v>
      </c>
      <c r="N1976" s="17">
        <v>876</v>
      </c>
      <c r="O1976" s="18" t="s">
        <v>88</v>
      </c>
      <c r="P1976" s="18">
        <v>876</v>
      </c>
      <c r="Q1976" s="18">
        <v>30</v>
      </c>
      <c r="R1976" s="18" t="s">
        <v>778</v>
      </c>
      <c r="S1976" s="28" t="s">
        <v>802</v>
      </c>
      <c r="T1976" s="18" t="s">
        <v>781</v>
      </c>
      <c r="U19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76" s="19">
        <f>IF(AUDITORIA[[#This Row],[CAT]]="",0,1)</f>
        <v>1</v>
      </c>
      <c r="W1976" s="20">
        <v>46232</v>
      </c>
      <c r="X1976" s="21" t="s">
        <v>906</v>
      </c>
      <c r="Y1976" s="24" t="s">
        <v>901</v>
      </c>
      <c r="Z1976" s="24" t="s">
        <v>902</v>
      </c>
      <c r="AA1976" s="24" t="s">
        <v>903</v>
      </c>
    </row>
    <row r="1977" spans="1:27" ht="14.4" hidden="1" customHeight="1" x14ac:dyDescent="0.3">
      <c r="A1977" s="4" t="s">
        <v>0</v>
      </c>
      <c r="B1977" s="4" t="s">
        <v>17</v>
      </c>
      <c r="C1977" s="16" t="s">
        <v>18</v>
      </c>
      <c r="D1977" s="4">
        <v>10</v>
      </c>
      <c r="E1977" s="4" t="s">
        <v>745</v>
      </c>
      <c r="F1977" t="s">
        <v>224</v>
      </c>
      <c r="G1977" t="s">
        <v>85</v>
      </c>
      <c r="H1977" s="4" t="s">
        <v>88</v>
      </c>
      <c r="I1977" s="4" t="s">
        <v>20</v>
      </c>
      <c r="J1977" s="4" t="s">
        <v>88</v>
      </c>
      <c r="K1977" s="4" t="s">
        <v>20</v>
      </c>
      <c r="L1977" s="4" t="s">
        <v>742</v>
      </c>
      <c r="M1977" s="17">
        <v>30</v>
      </c>
      <c r="N1977" s="17">
        <v>696</v>
      </c>
      <c r="O1977" s="18" t="s">
        <v>88</v>
      </c>
      <c r="P1977" s="18">
        <v>696</v>
      </c>
      <c r="Q1977" s="18">
        <v>30</v>
      </c>
      <c r="R1977" s="18" t="s">
        <v>778</v>
      </c>
      <c r="S1977" s="28" t="s">
        <v>912</v>
      </c>
      <c r="T1977" s="28" t="s">
        <v>794</v>
      </c>
      <c r="U19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77" s="19">
        <f>IF(AUDITORIA[[#This Row],[CAT]]="",0,1)</f>
        <v>1</v>
      </c>
      <c r="W1977" s="20">
        <v>46232</v>
      </c>
      <c r="X1977" s="21" t="s">
        <v>906</v>
      </c>
      <c r="Y1977" s="24" t="s">
        <v>901</v>
      </c>
      <c r="Z1977" s="24" t="s">
        <v>902</v>
      </c>
      <c r="AA1977" s="24" t="s">
        <v>903</v>
      </c>
    </row>
    <row r="1978" spans="1:27" ht="14.4" hidden="1" customHeight="1" x14ac:dyDescent="0.3">
      <c r="A1978" s="4" t="s">
        <v>0</v>
      </c>
      <c r="B1978" s="4" t="s">
        <v>17</v>
      </c>
      <c r="C1978" s="16" t="s">
        <v>18</v>
      </c>
      <c r="D1978" s="4">
        <v>10</v>
      </c>
      <c r="E1978" s="4" t="s">
        <v>745</v>
      </c>
      <c r="F1978" t="s">
        <v>223</v>
      </c>
      <c r="G1978" t="s">
        <v>85</v>
      </c>
      <c r="H1978" s="4" t="s">
        <v>88</v>
      </c>
      <c r="I1978" s="4" t="s">
        <v>21</v>
      </c>
      <c r="J1978" s="4" t="s">
        <v>88</v>
      </c>
      <c r="K1978" s="4" t="s">
        <v>21</v>
      </c>
      <c r="L1978" s="4" t="s">
        <v>742</v>
      </c>
      <c r="M1978" s="17">
        <v>30</v>
      </c>
      <c r="N1978" s="17">
        <v>852</v>
      </c>
      <c r="O1978" s="18" t="s">
        <v>88</v>
      </c>
      <c r="P1978" s="18">
        <v>852</v>
      </c>
      <c r="Q1978" s="18">
        <v>30</v>
      </c>
      <c r="R1978" s="18" t="s">
        <v>778</v>
      </c>
      <c r="S1978" s="28" t="s">
        <v>802</v>
      </c>
      <c r="T1978" s="28" t="s">
        <v>782</v>
      </c>
      <c r="U19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78" s="19">
        <f>IF(AUDITORIA[[#This Row],[CAT]]="",0,1)</f>
        <v>1</v>
      </c>
      <c r="W1978" s="20">
        <v>46232</v>
      </c>
      <c r="X1978" s="21" t="s">
        <v>906</v>
      </c>
      <c r="Y1978" s="24" t="s">
        <v>901</v>
      </c>
      <c r="Z1978" s="24" t="s">
        <v>902</v>
      </c>
      <c r="AA1978" s="24" t="s">
        <v>903</v>
      </c>
    </row>
    <row r="1979" spans="1:27" ht="14.4" hidden="1" customHeight="1" x14ac:dyDescent="0.3">
      <c r="A1979" s="4" t="s">
        <v>0</v>
      </c>
      <c r="B1979" s="4" t="s">
        <v>17</v>
      </c>
      <c r="C1979" s="16" t="s">
        <v>18</v>
      </c>
      <c r="D1979" s="4">
        <v>10</v>
      </c>
      <c r="E1979" s="4" t="s">
        <v>745</v>
      </c>
      <c r="F1979" t="s">
        <v>222</v>
      </c>
      <c r="G1979" t="s">
        <v>85</v>
      </c>
      <c r="H1979" s="4" t="s">
        <v>88</v>
      </c>
      <c r="I1979" s="4" t="s">
        <v>20</v>
      </c>
      <c r="J1979" s="4" t="s">
        <v>88</v>
      </c>
      <c r="K1979" s="4" t="s">
        <v>20</v>
      </c>
      <c r="L1979" s="4" t="s">
        <v>742</v>
      </c>
      <c r="M1979" s="17">
        <v>30</v>
      </c>
      <c r="N1979" s="17">
        <v>698</v>
      </c>
      <c r="O1979" s="18" t="s">
        <v>88</v>
      </c>
      <c r="P1979" s="18">
        <v>698</v>
      </c>
      <c r="Q1979" s="18">
        <v>30</v>
      </c>
      <c r="R1979" s="18" t="s">
        <v>778</v>
      </c>
      <c r="S1979" s="28" t="s">
        <v>803</v>
      </c>
      <c r="T1979" s="28" t="s">
        <v>782</v>
      </c>
      <c r="U19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79" s="19">
        <f>IF(AUDITORIA[[#This Row],[CAT]]="",0,1)</f>
        <v>1</v>
      </c>
      <c r="W1979" s="20">
        <v>46232</v>
      </c>
      <c r="X1979" s="21" t="s">
        <v>906</v>
      </c>
      <c r="Y1979" s="24" t="s">
        <v>901</v>
      </c>
      <c r="Z1979" s="24" t="s">
        <v>902</v>
      </c>
      <c r="AA1979" s="24" t="s">
        <v>903</v>
      </c>
    </row>
    <row r="1980" spans="1:27" ht="14.4" hidden="1" customHeight="1" x14ac:dyDescent="0.3">
      <c r="A1980" s="4" t="s">
        <v>0</v>
      </c>
      <c r="B1980" s="4" t="s">
        <v>17</v>
      </c>
      <c r="C1980" s="16" t="s">
        <v>18</v>
      </c>
      <c r="D1980" s="4">
        <v>10</v>
      </c>
      <c r="E1980" s="4" t="s">
        <v>745</v>
      </c>
      <c r="F1980" t="s">
        <v>221</v>
      </c>
      <c r="G1980" t="s">
        <v>85</v>
      </c>
      <c r="H1980" s="4" t="s">
        <v>88</v>
      </c>
      <c r="I1980" s="4" t="s">
        <v>21</v>
      </c>
      <c r="J1980" s="4" t="s">
        <v>88</v>
      </c>
      <c r="K1980" s="4" t="s">
        <v>21</v>
      </c>
      <c r="L1980" s="4" t="s">
        <v>742</v>
      </c>
      <c r="M1980" s="17">
        <v>30</v>
      </c>
      <c r="N1980" s="17">
        <v>854</v>
      </c>
      <c r="O1980" s="18" t="s">
        <v>88</v>
      </c>
      <c r="P1980" s="18">
        <v>854</v>
      </c>
      <c r="Q1980" s="18">
        <v>30</v>
      </c>
      <c r="R1980" s="18" t="str">
        <f>VLOOKUP(AUDITORIA[[#This Row],[LOTE]],[1]ENDEREÇAMENTO!$C$2:$J$9999,8,FALSE)</f>
        <v>Cam.B</v>
      </c>
      <c r="S1980" s="18" t="str">
        <f>VLOOKUP(RIGHT(AUDITORIA[[#This Row],[LOTE]],4),[2]Lotes!$A$2:$E$209,2,FALSE)</f>
        <v>QD.01</v>
      </c>
      <c r="T1980" s="18" t="str">
        <f>VLOOKUP(RIGHT(AUDITORIA[[#This Row],[LOTE]],4),[2]Lotes!$A$2:$E$209,4,FALSE)</f>
        <v>F4</v>
      </c>
      <c r="U19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80" s="19">
        <f>IF(AUDITORIA[[#This Row],[CAT]]="",0,1)</f>
        <v>1</v>
      </c>
      <c r="W1980" s="20">
        <v>46232</v>
      </c>
      <c r="X1980" s="21" t="s">
        <v>906</v>
      </c>
      <c r="Y1980" s="24" t="s">
        <v>901</v>
      </c>
      <c r="Z1980" s="24" t="s">
        <v>902</v>
      </c>
      <c r="AA1980" s="24" t="s">
        <v>903</v>
      </c>
    </row>
    <row r="1981" spans="1:27" ht="14.4" hidden="1" customHeight="1" x14ac:dyDescent="0.3">
      <c r="A1981" s="4" t="s">
        <v>0</v>
      </c>
      <c r="B1981" s="4" t="s">
        <v>17</v>
      </c>
      <c r="C1981" s="16" t="s">
        <v>18</v>
      </c>
      <c r="D1981" s="4">
        <v>10</v>
      </c>
      <c r="E1981" s="4" t="s">
        <v>745</v>
      </c>
      <c r="F1981" t="s">
        <v>220</v>
      </c>
      <c r="G1981" t="s">
        <v>85</v>
      </c>
      <c r="H1981" s="4" t="s">
        <v>88</v>
      </c>
      <c r="I1981" s="4" t="s">
        <v>20</v>
      </c>
      <c r="J1981" s="4" t="s">
        <v>88</v>
      </c>
      <c r="K1981" s="4" t="s">
        <v>20</v>
      </c>
      <c r="L1981" s="4" t="s">
        <v>742</v>
      </c>
      <c r="M1981" s="17">
        <v>30</v>
      </c>
      <c r="N1981" s="17">
        <v>699</v>
      </c>
      <c r="O1981" s="18" t="s">
        <v>88</v>
      </c>
      <c r="P1981" s="18">
        <v>699</v>
      </c>
      <c r="Q1981" s="18">
        <v>30</v>
      </c>
      <c r="R1981" s="18" t="s">
        <v>778</v>
      </c>
      <c r="S1981" s="28" t="s">
        <v>916</v>
      </c>
      <c r="T1981" s="28" t="s">
        <v>782</v>
      </c>
      <c r="U19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81" s="19">
        <f>IF(AUDITORIA[[#This Row],[CAT]]="",0,1)</f>
        <v>1</v>
      </c>
      <c r="W1981" s="20">
        <v>46232</v>
      </c>
      <c r="X1981" s="21" t="s">
        <v>906</v>
      </c>
      <c r="Y1981" s="24" t="s">
        <v>901</v>
      </c>
      <c r="Z1981" s="24" t="s">
        <v>902</v>
      </c>
      <c r="AA1981" s="24" t="s">
        <v>903</v>
      </c>
    </row>
    <row r="1982" spans="1:27" ht="14.4" hidden="1" customHeight="1" x14ac:dyDescent="0.3">
      <c r="A1982" s="4" t="s">
        <v>0</v>
      </c>
      <c r="B1982" s="4" t="s">
        <v>17</v>
      </c>
      <c r="C1982" s="16" t="s">
        <v>18</v>
      </c>
      <c r="D1982" s="4">
        <v>10</v>
      </c>
      <c r="E1982" s="4" t="s">
        <v>745</v>
      </c>
      <c r="F1982" t="s">
        <v>219</v>
      </c>
      <c r="G1982" t="s">
        <v>85</v>
      </c>
      <c r="H1982" s="4" t="s">
        <v>88</v>
      </c>
      <c r="I1982" s="4" t="s">
        <v>21</v>
      </c>
      <c r="J1982" s="4" t="s">
        <v>88</v>
      </c>
      <c r="K1982" s="4" t="s">
        <v>21</v>
      </c>
      <c r="L1982" s="4" t="s">
        <v>742</v>
      </c>
      <c r="M1982" s="17">
        <v>30</v>
      </c>
      <c r="N1982" s="17">
        <v>883</v>
      </c>
      <c r="O1982" s="18" t="s">
        <v>88</v>
      </c>
      <c r="P1982" s="18">
        <v>883</v>
      </c>
      <c r="Q1982" s="18">
        <v>30</v>
      </c>
      <c r="R1982" s="18" t="str">
        <f>VLOOKUP(AUDITORIA[[#This Row],[LOTE]],[1]ENDEREÇAMENTO!$C$2:$J$9999,8,FALSE)</f>
        <v>Cam.B</v>
      </c>
      <c r="S1982" s="18" t="str">
        <f>VLOOKUP(RIGHT(AUDITORIA[[#This Row],[LOTE]],4),[2]Lotes!$A$2:$E$209,2,FALSE)</f>
        <v>QD.01</v>
      </c>
      <c r="T1982" s="18" t="str">
        <f>VLOOKUP(RIGHT(AUDITORIA[[#This Row],[LOTE]],4),[2]Lotes!$A$2:$E$209,4,FALSE)</f>
        <v>F3</v>
      </c>
      <c r="U19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82" s="19">
        <f>IF(AUDITORIA[[#This Row],[CAT]]="",0,1)</f>
        <v>1</v>
      </c>
      <c r="W1982" s="20">
        <v>46232</v>
      </c>
      <c r="X1982" s="21" t="s">
        <v>906</v>
      </c>
      <c r="Y1982" s="24" t="s">
        <v>901</v>
      </c>
      <c r="Z1982" s="24" t="s">
        <v>902</v>
      </c>
      <c r="AA1982" s="24" t="s">
        <v>903</v>
      </c>
    </row>
    <row r="1983" spans="1:27" ht="14.4" hidden="1" customHeight="1" x14ac:dyDescent="0.3">
      <c r="A1983" s="4" t="s">
        <v>0</v>
      </c>
      <c r="B1983" s="4" t="s">
        <v>17</v>
      </c>
      <c r="C1983" s="16" t="s">
        <v>18</v>
      </c>
      <c r="D1983" s="4">
        <v>10</v>
      </c>
      <c r="E1983" s="4" t="s">
        <v>745</v>
      </c>
      <c r="F1983" t="s">
        <v>218</v>
      </c>
      <c r="G1983" t="s">
        <v>835</v>
      </c>
      <c r="H1983" s="4" t="s">
        <v>19</v>
      </c>
      <c r="I1983" s="4" t="s">
        <v>21</v>
      </c>
      <c r="J1983" s="4" t="s">
        <v>19</v>
      </c>
      <c r="K1983" s="4" t="s">
        <v>21</v>
      </c>
      <c r="L1983" s="4" t="s">
        <v>742</v>
      </c>
      <c r="M1983" s="17">
        <v>24</v>
      </c>
      <c r="N1983" s="17">
        <v>1033</v>
      </c>
      <c r="O1983" s="18" t="s">
        <v>19</v>
      </c>
      <c r="P1983" s="18">
        <v>1033</v>
      </c>
      <c r="Q1983" s="18">
        <v>24</v>
      </c>
      <c r="R1983" s="18" t="str">
        <f>VLOOKUP(AUDITORIA[[#This Row],[LOTE]],[1]ENDEREÇAMENTO!$C$2:$J$9999,8,FALSE)</f>
        <v>Cam.C</v>
      </c>
      <c r="S1983" s="18" t="str">
        <f>VLOOKUP(RIGHT(AUDITORIA[[#This Row],[LOTE]],4),[2]Lotes!$A$2:$E$209,2,FALSE)</f>
        <v>QD.24</v>
      </c>
      <c r="T1983" s="18" t="str">
        <f>VLOOKUP(RIGHT(AUDITORIA[[#This Row],[LOTE]],4),[2]Lotes!$A$2:$E$209,4,FALSE)</f>
        <v>F1</v>
      </c>
      <c r="U19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83" s="19">
        <f>IF(AUDITORIA[[#This Row],[CAT]]="",0,1)</f>
        <v>1</v>
      </c>
      <c r="W1983" s="20">
        <v>46232</v>
      </c>
      <c r="X1983" s="21" t="s">
        <v>906</v>
      </c>
      <c r="Y1983" s="24" t="s">
        <v>901</v>
      </c>
      <c r="Z1983" s="24" t="s">
        <v>902</v>
      </c>
      <c r="AA1983" s="24" t="s">
        <v>903</v>
      </c>
    </row>
    <row r="1984" spans="1:27" ht="14.4" hidden="1" customHeight="1" x14ac:dyDescent="0.3">
      <c r="A1984" s="4" t="s">
        <v>0</v>
      </c>
      <c r="B1984" s="4" t="s">
        <v>17</v>
      </c>
      <c r="C1984" s="16" t="s">
        <v>18</v>
      </c>
      <c r="D1984" s="4">
        <v>10</v>
      </c>
      <c r="E1984" s="4" t="s">
        <v>745</v>
      </c>
      <c r="F1984" t="s">
        <v>216</v>
      </c>
      <c r="G1984" t="s">
        <v>835</v>
      </c>
      <c r="H1984" s="4" t="s">
        <v>19</v>
      </c>
      <c r="I1984" s="4" t="s">
        <v>20</v>
      </c>
      <c r="J1984" s="4" t="s">
        <v>19</v>
      </c>
      <c r="K1984" s="4" t="s">
        <v>20</v>
      </c>
      <c r="L1984" s="4" t="s">
        <v>742</v>
      </c>
      <c r="M1984" s="17">
        <v>6</v>
      </c>
      <c r="N1984" s="17">
        <v>814</v>
      </c>
      <c r="O1984" s="18" t="s">
        <v>19</v>
      </c>
      <c r="P1984" s="18">
        <v>814</v>
      </c>
      <c r="Q1984" s="18">
        <v>6</v>
      </c>
      <c r="R1984" s="18" t="s">
        <v>778</v>
      </c>
      <c r="S1984" s="18" t="s">
        <v>820</v>
      </c>
      <c r="T1984" s="18" t="s">
        <v>780</v>
      </c>
      <c r="U19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84" s="19">
        <f>IF(AUDITORIA[[#This Row],[CAT]]="",0,1)</f>
        <v>1</v>
      </c>
      <c r="W1984" s="20">
        <v>46232</v>
      </c>
      <c r="X1984" s="21" t="s">
        <v>906</v>
      </c>
      <c r="Y1984" s="24" t="s">
        <v>901</v>
      </c>
      <c r="Z1984" s="24" t="s">
        <v>902</v>
      </c>
      <c r="AA1984" s="24" t="s">
        <v>903</v>
      </c>
    </row>
    <row r="1985" spans="1:27" ht="14.4" hidden="1" customHeight="1" x14ac:dyDescent="0.3">
      <c r="A1985" s="4" t="s">
        <v>0</v>
      </c>
      <c r="B1985" s="4" t="s">
        <v>17</v>
      </c>
      <c r="C1985" s="16" t="s">
        <v>18</v>
      </c>
      <c r="D1985" s="4">
        <v>10</v>
      </c>
      <c r="E1985" s="4" t="s">
        <v>745</v>
      </c>
      <c r="F1985" t="s">
        <v>217</v>
      </c>
      <c r="G1985" t="s">
        <v>835</v>
      </c>
      <c r="H1985" s="4" t="s">
        <v>19</v>
      </c>
      <c r="I1985" s="4" t="s">
        <v>21</v>
      </c>
      <c r="J1985" s="4" t="s">
        <v>19</v>
      </c>
      <c r="K1985" s="4" t="s">
        <v>21</v>
      </c>
      <c r="L1985" s="4" t="s">
        <v>742</v>
      </c>
      <c r="M1985" s="17">
        <v>24</v>
      </c>
      <c r="N1985" s="17">
        <v>1014</v>
      </c>
      <c r="O1985" s="18" t="s">
        <v>19</v>
      </c>
      <c r="P1985" s="18">
        <v>1014</v>
      </c>
      <c r="Q1985" s="18">
        <v>24</v>
      </c>
      <c r="R1985" s="18" t="str">
        <f>VLOOKUP(AUDITORIA[[#This Row],[LOTE]],[1]ENDEREÇAMENTO!$C$2:$J$9999,8,FALSE)</f>
        <v>Cam.C</v>
      </c>
      <c r="S1985" s="18" t="str">
        <f>VLOOKUP(RIGHT(AUDITORIA[[#This Row],[LOTE]],4),[2]Lotes!$A$2:$E$209,2,FALSE)</f>
        <v>QD.24</v>
      </c>
      <c r="T1985" s="18" t="str">
        <f>VLOOKUP(RIGHT(AUDITORIA[[#This Row],[LOTE]],4),[2]Lotes!$A$2:$E$209,4,FALSE)</f>
        <v>F3</v>
      </c>
      <c r="U19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85" s="19">
        <f>IF(AUDITORIA[[#This Row],[CAT]]="",0,1)</f>
        <v>1</v>
      </c>
      <c r="W1985" s="20">
        <v>46232</v>
      </c>
      <c r="X1985" s="21" t="s">
        <v>906</v>
      </c>
      <c r="Y1985" s="24" t="s">
        <v>901</v>
      </c>
      <c r="Z1985" s="24" t="s">
        <v>902</v>
      </c>
      <c r="AA1985" s="24" t="s">
        <v>903</v>
      </c>
    </row>
    <row r="1986" spans="1:27" ht="14.4" hidden="1" customHeight="1" x14ac:dyDescent="0.3">
      <c r="A1986" s="4" t="s">
        <v>0</v>
      </c>
      <c r="B1986" s="4" t="s">
        <v>17</v>
      </c>
      <c r="C1986" s="16" t="s">
        <v>18</v>
      </c>
      <c r="D1986" s="4">
        <v>10</v>
      </c>
      <c r="E1986" s="4" t="s">
        <v>745</v>
      </c>
      <c r="F1986" t="s">
        <v>213</v>
      </c>
      <c r="G1986" t="s">
        <v>835</v>
      </c>
      <c r="H1986" s="4" t="s">
        <v>19</v>
      </c>
      <c r="I1986" s="4" t="s">
        <v>20</v>
      </c>
      <c r="J1986" s="4" t="s">
        <v>19</v>
      </c>
      <c r="K1986" s="4" t="s">
        <v>20</v>
      </c>
      <c r="L1986" s="4" t="s">
        <v>742</v>
      </c>
      <c r="M1986" s="17">
        <v>30</v>
      </c>
      <c r="N1986" s="17">
        <v>824</v>
      </c>
      <c r="O1986" s="18" t="s">
        <v>19</v>
      </c>
      <c r="P1986" s="18">
        <v>824</v>
      </c>
      <c r="Q1986" s="18">
        <v>30</v>
      </c>
      <c r="R1986" s="18" t="str">
        <f>VLOOKUP(AUDITORIA[[#This Row],[LOTE]],[1]ENDEREÇAMENTO!$C$2:$J$9999,8,FALSE)</f>
        <v>Cam.C</v>
      </c>
      <c r="S1986" s="18" t="str">
        <f>VLOOKUP(RIGHT(AUDITORIA[[#This Row],[LOTE]],4),[2]Lotes!$A$2:$E$209,2,FALSE)</f>
        <v>QD.13</v>
      </c>
      <c r="T1986" s="18" t="str">
        <f>VLOOKUP(RIGHT(AUDITORIA[[#This Row],[LOTE]],4),[2]Lotes!$A$2:$E$209,4,FALSE)</f>
        <v>F3</v>
      </c>
      <c r="U19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86" s="19">
        <f>IF(AUDITORIA[[#This Row],[CAT]]="",0,1)</f>
        <v>1</v>
      </c>
      <c r="W1986" s="20">
        <v>46232</v>
      </c>
      <c r="X1986" s="21" t="s">
        <v>906</v>
      </c>
      <c r="Y1986" s="24" t="s">
        <v>901</v>
      </c>
      <c r="Z1986" s="24" t="s">
        <v>902</v>
      </c>
      <c r="AA1986" s="24" t="s">
        <v>903</v>
      </c>
    </row>
    <row r="1987" spans="1:27" ht="14.4" hidden="1" customHeight="1" x14ac:dyDescent="0.3">
      <c r="A1987" s="4" t="s">
        <v>0</v>
      </c>
      <c r="B1987" s="4" t="s">
        <v>17</v>
      </c>
      <c r="C1987" s="16" t="s">
        <v>18</v>
      </c>
      <c r="D1987" s="4">
        <v>10</v>
      </c>
      <c r="E1987" s="4" t="s">
        <v>745</v>
      </c>
      <c r="F1987" t="s">
        <v>215</v>
      </c>
      <c r="G1987" t="s">
        <v>835</v>
      </c>
      <c r="H1987" s="4" t="s">
        <v>19</v>
      </c>
      <c r="I1987" s="4" t="s">
        <v>21</v>
      </c>
      <c r="J1987" s="4" t="s">
        <v>19</v>
      </c>
      <c r="K1987" s="4" t="s">
        <v>21</v>
      </c>
      <c r="L1987" s="4" t="s">
        <v>742</v>
      </c>
      <c r="M1987" s="17">
        <v>24</v>
      </c>
      <c r="N1987" s="17">
        <v>1015</v>
      </c>
      <c r="O1987" s="18" t="s">
        <v>19</v>
      </c>
      <c r="P1987" s="18">
        <v>1015</v>
      </c>
      <c r="Q1987" s="18">
        <v>24</v>
      </c>
      <c r="R1987" s="18" t="str">
        <f>VLOOKUP(AUDITORIA[[#This Row],[LOTE]],[1]ENDEREÇAMENTO!$C$2:$J$9999,8,FALSE)</f>
        <v>Cam.C</v>
      </c>
      <c r="S1987" s="18" t="str">
        <f>VLOOKUP(RIGHT(AUDITORIA[[#This Row],[LOTE]],4),[2]Lotes!$A$2:$E$209,2,FALSE)</f>
        <v>QD.24</v>
      </c>
      <c r="T1987" s="18" t="str">
        <f>VLOOKUP(RIGHT(AUDITORIA[[#This Row],[LOTE]],4),[2]Lotes!$A$2:$E$209,4,FALSE)</f>
        <v>F2</v>
      </c>
      <c r="U19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87" s="19">
        <f>IF(AUDITORIA[[#This Row],[CAT]]="",0,1)</f>
        <v>1</v>
      </c>
      <c r="W1987" s="20">
        <v>46232</v>
      </c>
      <c r="X1987" s="21" t="s">
        <v>906</v>
      </c>
      <c r="Y1987" s="24" t="s">
        <v>901</v>
      </c>
      <c r="Z1987" s="24" t="s">
        <v>902</v>
      </c>
      <c r="AA1987" s="24" t="s">
        <v>903</v>
      </c>
    </row>
    <row r="1988" spans="1:27" ht="14.4" hidden="1" customHeight="1" x14ac:dyDescent="0.3">
      <c r="A1988" s="4" t="s">
        <v>0</v>
      </c>
      <c r="B1988" s="4" t="s">
        <v>17</v>
      </c>
      <c r="C1988" s="16" t="s">
        <v>18</v>
      </c>
      <c r="D1988" s="4">
        <v>10</v>
      </c>
      <c r="E1988" s="4" t="s">
        <v>745</v>
      </c>
      <c r="F1988" t="s">
        <v>214</v>
      </c>
      <c r="G1988" t="s">
        <v>835</v>
      </c>
      <c r="H1988" s="4" t="s">
        <v>19</v>
      </c>
      <c r="I1988" s="4" t="s">
        <v>21</v>
      </c>
      <c r="J1988" s="4" t="s">
        <v>19</v>
      </c>
      <c r="K1988" s="4" t="s">
        <v>21</v>
      </c>
      <c r="L1988" s="4" t="s">
        <v>742</v>
      </c>
      <c r="M1988" s="17">
        <v>27</v>
      </c>
      <c r="N1988" s="17">
        <v>1000</v>
      </c>
      <c r="O1988" s="18" t="s">
        <v>19</v>
      </c>
      <c r="P1988" s="18">
        <v>1000</v>
      </c>
      <c r="Q1988" s="18">
        <v>27</v>
      </c>
      <c r="R1988" s="18" t="str">
        <f>VLOOKUP(AUDITORIA[[#This Row],[LOTE]],[1]ENDEREÇAMENTO!$C$2:$J$9999,8,FALSE)</f>
        <v>Cam.C</v>
      </c>
      <c r="S1988" s="18" t="str">
        <f>VLOOKUP(RIGHT(AUDITORIA[[#This Row],[LOTE]],4),[2]Lotes!$A$2:$E$209,2,FALSE)</f>
        <v>QD.24</v>
      </c>
      <c r="T1988" s="18" t="str">
        <f>VLOOKUP(RIGHT(AUDITORIA[[#This Row],[LOTE]],4),[2]Lotes!$A$2:$E$209,4,FALSE)</f>
        <v>F4</v>
      </c>
      <c r="U19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88" s="19">
        <f>IF(AUDITORIA[[#This Row],[CAT]]="",0,1)</f>
        <v>1</v>
      </c>
      <c r="W1988" s="20">
        <v>46232</v>
      </c>
      <c r="X1988" s="21" t="s">
        <v>906</v>
      </c>
      <c r="Y1988" s="24" t="s">
        <v>901</v>
      </c>
      <c r="Z1988" s="24" t="s">
        <v>902</v>
      </c>
      <c r="AA1988" s="24" t="s">
        <v>903</v>
      </c>
    </row>
    <row r="1989" spans="1:27" ht="14.4" hidden="1" customHeight="1" x14ac:dyDescent="0.3">
      <c r="A1989" s="4" t="s">
        <v>0</v>
      </c>
      <c r="B1989" s="4" t="s">
        <v>17</v>
      </c>
      <c r="C1989" s="16" t="s">
        <v>18</v>
      </c>
      <c r="D1989" s="4">
        <v>10</v>
      </c>
      <c r="E1989" s="4" t="s">
        <v>745</v>
      </c>
      <c r="F1989" t="s">
        <v>212</v>
      </c>
      <c r="G1989" t="s">
        <v>835</v>
      </c>
      <c r="H1989" s="4" t="s">
        <v>19</v>
      </c>
      <c r="I1989" s="4" t="s">
        <v>21</v>
      </c>
      <c r="J1989" s="4" t="s">
        <v>19</v>
      </c>
      <c r="K1989" s="4" t="s">
        <v>21</v>
      </c>
      <c r="L1989" s="4" t="s">
        <v>742</v>
      </c>
      <c r="M1989" s="17">
        <v>27</v>
      </c>
      <c r="N1989" s="17">
        <v>992</v>
      </c>
      <c r="O1989" s="18" t="s">
        <v>19</v>
      </c>
      <c r="P1989" s="18">
        <v>992</v>
      </c>
      <c r="Q1989" s="18">
        <v>27</v>
      </c>
      <c r="R1989" s="18" t="s">
        <v>817</v>
      </c>
      <c r="S1989" s="18" t="str">
        <f>VLOOKUP(RIGHT(AUDITORIA[[#This Row],[LOTE]],4),[2]Lotes!$A$2:$E$209,2,FALSE)</f>
        <v>QD.22</v>
      </c>
      <c r="T1989" s="18" t="str">
        <f>VLOOKUP(RIGHT(AUDITORIA[[#This Row],[LOTE]],4),[2]Lotes!$A$2:$E$209,4,FALSE)</f>
        <v>F1</v>
      </c>
      <c r="U19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89" s="19">
        <f>IF(AUDITORIA[[#This Row],[CAT]]="",0,1)</f>
        <v>1</v>
      </c>
      <c r="W1989" s="20">
        <v>46232</v>
      </c>
      <c r="X1989" s="21" t="s">
        <v>906</v>
      </c>
      <c r="Y1989" s="24" t="s">
        <v>901</v>
      </c>
      <c r="Z1989" s="24" t="s">
        <v>902</v>
      </c>
      <c r="AA1989" s="24" t="s">
        <v>903</v>
      </c>
    </row>
    <row r="1990" spans="1:27" ht="14.4" hidden="1" customHeight="1" x14ac:dyDescent="0.3">
      <c r="A1990" s="4" t="s">
        <v>0</v>
      </c>
      <c r="B1990" s="4" t="s">
        <v>17</v>
      </c>
      <c r="C1990" s="16" t="s">
        <v>18</v>
      </c>
      <c r="D1990" s="4">
        <v>10</v>
      </c>
      <c r="E1990" s="4" t="s">
        <v>745</v>
      </c>
      <c r="F1990" t="s">
        <v>210</v>
      </c>
      <c r="G1990" t="s">
        <v>835</v>
      </c>
      <c r="H1990" s="4" t="s">
        <v>19</v>
      </c>
      <c r="I1990" s="4" t="s">
        <v>20</v>
      </c>
      <c r="J1990" s="4" t="s">
        <v>19</v>
      </c>
      <c r="K1990" s="4" t="s">
        <v>20</v>
      </c>
      <c r="L1990" s="4" t="s">
        <v>742</v>
      </c>
      <c r="M1990" s="17">
        <v>30</v>
      </c>
      <c r="N1990" s="17">
        <v>810</v>
      </c>
      <c r="O1990" s="18" t="s">
        <v>19</v>
      </c>
      <c r="P1990" s="18">
        <v>810</v>
      </c>
      <c r="Q1990" s="18">
        <v>30</v>
      </c>
      <c r="R1990" s="18" t="str">
        <f>VLOOKUP(AUDITORIA[[#This Row],[LOTE]],[1]ENDEREÇAMENTO!$C$2:$J$9999,8,FALSE)</f>
        <v>Cam.C</v>
      </c>
      <c r="S1990" s="18" t="str">
        <f>VLOOKUP(RIGHT(AUDITORIA[[#This Row],[LOTE]],4),[2]Lotes!$A$2:$E$209,2,FALSE)</f>
        <v>QD.13</v>
      </c>
      <c r="T1990" s="18" t="str">
        <f>VLOOKUP(RIGHT(AUDITORIA[[#This Row],[LOTE]],4),[2]Lotes!$A$2:$E$209,4,FALSE)</f>
        <v>F2</v>
      </c>
      <c r="U19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90" s="19">
        <f>IF(AUDITORIA[[#This Row],[CAT]]="",0,1)</f>
        <v>1</v>
      </c>
      <c r="W1990" s="20">
        <v>46232</v>
      </c>
      <c r="X1990" s="21" t="s">
        <v>906</v>
      </c>
      <c r="Y1990" s="24" t="s">
        <v>901</v>
      </c>
      <c r="Z1990" s="24" t="s">
        <v>902</v>
      </c>
      <c r="AA1990" s="24" t="s">
        <v>903</v>
      </c>
    </row>
    <row r="1991" spans="1:27" ht="14.4" hidden="1" customHeight="1" x14ac:dyDescent="0.3">
      <c r="A1991" s="4" t="s">
        <v>0</v>
      </c>
      <c r="B1991" s="4" t="s">
        <v>17</v>
      </c>
      <c r="C1991" s="16" t="s">
        <v>18</v>
      </c>
      <c r="D1991" s="4">
        <v>10</v>
      </c>
      <c r="E1991" s="4" t="s">
        <v>745</v>
      </c>
      <c r="F1991" t="s">
        <v>211</v>
      </c>
      <c r="G1991" t="s">
        <v>835</v>
      </c>
      <c r="H1991" s="4" t="s">
        <v>19</v>
      </c>
      <c r="I1991" s="4" t="s">
        <v>21</v>
      </c>
      <c r="J1991" s="4" t="s">
        <v>19</v>
      </c>
      <c r="K1991" s="4" t="s">
        <v>21</v>
      </c>
      <c r="L1991" s="4" t="s">
        <v>742</v>
      </c>
      <c r="M1991" s="17">
        <v>24</v>
      </c>
      <c r="N1991" s="17">
        <v>1018</v>
      </c>
      <c r="O1991" s="18" t="s">
        <v>19</v>
      </c>
      <c r="P1991" s="18">
        <v>1018</v>
      </c>
      <c r="Q1991" s="18">
        <v>24</v>
      </c>
      <c r="R1991" s="18" t="s">
        <v>817</v>
      </c>
      <c r="S1991" s="18" t="str">
        <f>VLOOKUP(RIGHT(AUDITORIA[[#This Row],[LOTE]],4),[2]Lotes!$A$2:$E$209,2,FALSE)</f>
        <v>QD.22</v>
      </c>
      <c r="T1991" s="18" t="str">
        <f>VLOOKUP(RIGHT(AUDITORIA[[#This Row],[LOTE]],4),[2]Lotes!$A$2:$E$209,4,FALSE)</f>
        <v>F3</v>
      </c>
      <c r="U19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91" s="19">
        <f>IF(AUDITORIA[[#This Row],[CAT]]="",0,1)</f>
        <v>1</v>
      </c>
      <c r="W1991" s="20">
        <v>46232</v>
      </c>
      <c r="X1991" s="21" t="s">
        <v>906</v>
      </c>
      <c r="Y1991" s="24" t="s">
        <v>901</v>
      </c>
      <c r="Z1991" s="24" t="s">
        <v>902</v>
      </c>
      <c r="AA1991" s="24" t="s">
        <v>903</v>
      </c>
    </row>
    <row r="1992" spans="1:27" ht="14.4" hidden="1" customHeight="1" x14ac:dyDescent="0.3">
      <c r="A1992" s="4" t="s">
        <v>0</v>
      </c>
      <c r="B1992" s="4" t="s">
        <v>17</v>
      </c>
      <c r="C1992" s="16" t="s">
        <v>18</v>
      </c>
      <c r="D1992" s="4">
        <v>10</v>
      </c>
      <c r="E1992" s="4" t="s">
        <v>745</v>
      </c>
      <c r="F1992" t="s">
        <v>209</v>
      </c>
      <c r="G1992" t="s">
        <v>835</v>
      </c>
      <c r="H1992" s="4" t="s">
        <v>19</v>
      </c>
      <c r="I1992" s="4" t="s">
        <v>21</v>
      </c>
      <c r="J1992" s="4" t="s">
        <v>19</v>
      </c>
      <c r="K1992" s="4" t="s">
        <v>21</v>
      </c>
      <c r="L1992" s="4" t="s">
        <v>742</v>
      </c>
      <c r="M1992" s="17">
        <v>24</v>
      </c>
      <c r="N1992" s="17">
        <v>1016</v>
      </c>
      <c r="O1992" s="18" t="s">
        <v>19</v>
      </c>
      <c r="P1992" s="18">
        <v>1016</v>
      </c>
      <c r="Q1992" s="18">
        <v>24</v>
      </c>
      <c r="R1992" s="18" t="s">
        <v>817</v>
      </c>
      <c r="S1992" s="18" t="s">
        <v>792</v>
      </c>
      <c r="T1992" s="18" t="s">
        <v>781</v>
      </c>
      <c r="U19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92" s="19">
        <f>IF(AUDITORIA[[#This Row],[CAT]]="",0,1)</f>
        <v>1</v>
      </c>
      <c r="W1992" s="20">
        <v>46232</v>
      </c>
      <c r="X1992" s="21" t="s">
        <v>906</v>
      </c>
      <c r="Y1992" s="24" t="s">
        <v>901</v>
      </c>
      <c r="Z1992" s="24" t="s">
        <v>902</v>
      </c>
      <c r="AA1992" s="24" t="s">
        <v>903</v>
      </c>
    </row>
    <row r="1993" spans="1:27" ht="14.4" hidden="1" customHeight="1" x14ac:dyDescent="0.3">
      <c r="A1993" s="4" t="s">
        <v>0</v>
      </c>
      <c r="B1993" s="4" t="s">
        <v>17</v>
      </c>
      <c r="C1993" s="16" t="s">
        <v>18</v>
      </c>
      <c r="D1993" s="4">
        <v>10</v>
      </c>
      <c r="E1993" s="4" t="s">
        <v>745</v>
      </c>
      <c r="F1993" t="s">
        <v>208</v>
      </c>
      <c r="G1993" t="s">
        <v>835</v>
      </c>
      <c r="H1993" s="4" t="s">
        <v>19</v>
      </c>
      <c r="I1993" s="4" t="s">
        <v>21</v>
      </c>
      <c r="J1993" s="4" t="s">
        <v>19</v>
      </c>
      <c r="K1993" s="4" t="s">
        <v>21</v>
      </c>
      <c r="L1993" s="4" t="s">
        <v>742</v>
      </c>
      <c r="M1993" s="17">
        <v>27</v>
      </c>
      <c r="N1993" s="17">
        <v>1002</v>
      </c>
      <c r="O1993" s="18" t="s">
        <v>19</v>
      </c>
      <c r="P1993" s="18">
        <v>1002</v>
      </c>
      <c r="Q1993" s="18">
        <v>27</v>
      </c>
      <c r="R1993" s="18" t="s">
        <v>817</v>
      </c>
      <c r="S1993" s="18" t="str">
        <f>VLOOKUP(RIGHT(AUDITORIA[[#This Row],[LOTE]],4),[2]Lotes!$A$2:$E$209,2,FALSE)</f>
        <v>QD.22</v>
      </c>
      <c r="T1993" s="18" t="str">
        <f>VLOOKUP(RIGHT(AUDITORIA[[#This Row],[LOTE]],4),[2]Lotes!$A$2:$E$209,4,FALSE)</f>
        <v>F4</v>
      </c>
      <c r="U19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93" s="19">
        <f>IF(AUDITORIA[[#This Row],[CAT]]="",0,1)</f>
        <v>1</v>
      </c>
      <c r="W1993" s="20">
        <v>46232</v>
      </c>
      <c r="X1993" s="21" t="s">
        <v>906</v>
      </c>
      <c r="Y1993" s="24" t="s">
        <v>901</v>
      </c>
      <c r="Z1993" s="24" t="s">
        <v>902</v>
      </c>
      <c r="AA1993" s="24" t="s">
        <v>903</v>
      </c>
    </row>
    <row r="1994" spans="1:27" ht="14.4" hidden="1" customHeight="1" x14ac:dyDescent="0.3">
      <c r="A1994" s="4" t="s">
        <v>0</v>
      </c>
      <c r="B1994" s="4" t="s">
        <v>17</v>
      </c>
      <c r="C1994" s="16" t="s">
        <v>18</v>
      </c>
      <c r="D1994" s="4">
        <v>10</v>
      </c>
      <c r="E1994" s="4" t="s">
        <v>745</v>
      </c>
      <c r="F1994" t="s">
        <v>207</v>
      </c>
      <c r="G1994" t="s">
        <v>835</v>
      </c>
      <c r="H1994" s="4" t="s">
        <v>19</v>
      </c>
      <c r="I1994" s="4" t="s">
        <v>20</v>
      </c>
      <c r="J1994" s="4" t="s">
        <v>19</v>
      </c>
      <c r="K1994" s="4" t="s">
        <v>20</v>
      </c>
      <c r="L1994" s="4" t="s">
        <v>742</v>
      </c>
      <c r="M1994" s="17">
        <v>30</v>
      </c>
      <c r="N1994" s="17">
        <v>819</v>
      </c>
      <c r="O1994" s="18" t="s">
        <v>19</v>
      </c>
      <c r="P1994" s="18">
        <v>819</v>
      </c>
      <c r="Q1994" s="18">
        <v>30</v>
      </c>
      <c r="R1994" s="18" t="s">
        <v>817</v>
      </c>
      <c r="S1994" s="18" t="s">
        <v>804</v>
      </c>
      <c r="T1994" s="18" t="s">
        <v>780</v>
      </c>
      <c r="U19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94" s="19">
        <f>IF(AUDITORIA[[#This Row],[CAT]]="",0,1)</f>
        <v>1</v>
      </c>
      <c r="W1994" s="20">
        <v>46232</v>
      </c>
      <c r="X1994" s="21" t="s">
        <v>906</v>
      </c>
      <c r="Y1994" s="24" t="s">
        <v>901</v>
      </c>
      <c r="Z1994" s="24" t="s">
        <v>902</v>
      </c>
      <c r="AA1994" s="24" t="s">
        <v>903</v>
      </c>
    </row>
    <row r="1995" spans="1:27" ht="14.4" hidden="1" customHeight="1" x14ac:dyDescent="0.3">
      <c r="A1995" s="4" t="s">
        <v>0</v>
      </c>
      <c r="B1995" s="4" t="s">
        <v>17</v>
      </c>
      <c r="C1995" s="16" t="s">
        <v>18</v>
      </c>
      <c r="D1995" s="4">
        <v>10</v>
      </c>
      <c r="E1995" s="4" t="s">
        <v>745</v>
      </c>
      <c r="F1995" t="s">
        <v>206</v>
      </c>
      <c r="G1995" t="s">
        <v>835</v>
      </c>
      <c r="H1995" s="4" t="s">
        <v>19</v>
      </c>
      <c r="I1995" s="4" t="s">
        <v>21</v>
      </c>
      <c r="J1995" s="4" t="s">
        <v>19</v>
      </c>
      <c r="K1995" s="4" t="s">
        <v>21</v>
      </c>
      <c r="L1995" s="4" t="s">
        <v>742</v>
      </c>
      <c r="M1995" s="17">
        <v>24</v>
      </c>
      <c r="N1995" s="17">
        <v>1028</v>
      </c>
      <c r="O1995" s="18" t="s">
        <v>19</v>
      </c>
      <c r="P1995" s="18">
        <v>1028</v>
      </c>
      <c r="Q1995" s="18">
        <v>24</v>
      </c>
      <c r="R1995" s="18" t="str">
        <f>VLOOKUP(AUDITORIA[[#This Row],[LOTE]],[1]ENDEREÇAMENTO!$C$2:$J$9999,8,FALSE)</f>
        <v>Cam.C</v>
      </c>
      <c r="S1995" s="18" t="str">
        <f>VLOOKUP(RIGHT(AUDITORIA[[#This Row],[LOTE]],4),[2]Lotes!$A$2:$E$209,2,FALSE)</f>
        <v>QD.15</v>
      </c>
      <c r="T1995" s="18" t="str">
        <f>VLOOKUP(RIGHT(AUDITORIA[[#This Row],[LOTE]],4),[2]Lotes!$A$2:$E$209,4,FALSE)</f>
        <v>F3</v>
      </c>
      <c r="U19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95" s="19">
        <f>IF(AUDITORIA[[#This Row],[CAT]]="",0,1)</f>
        <v>1</v>
      </c>
      <c r="W1995" s="20">
        <v>46232</v>
      </c>
      <c r="X1995" s="21" t="s">
        <v>906</v>
      </c>
      <c r="Y1995" s="24" t="s">
        <v>901</v>
      </c>
      <c r="Z1995" s="24" t="s">
        <v>902</v>
      </c>
      <c r="AA1995" s="24" t="s">
        <v>903</v>
      </c>
    </row>
    <row r="1996" spans="1:27" ht="14.4" hidden="1" customHeight="1" x14ac:dyDescent="0.3">
      <c r="A1996" s="4" t="s">
        <v>0</v>
      </c>
      <c r="B1996" s="4" t="s">
        <v>17</v>
      </c>
      <c r="C1996" s="16" t="s">
        <v>18</v>
      </c>
      <c r="D1996" s="4">
        <v>10</v>
      </c>
      <c r="E1996" s="4" t="s">
        <v>745</v>
      </c>
      <c r="F1996" t="s">
        <v>204</v>
      </c>
      <c r="G1996" t="s">
        <v>835</v>
      </c>
      <c r="H1996" s="4" t="s">
        <v>19</v>
      </c>
      <c r="I1996" s="4" t="s">
        <v>20</v>
      </c>
      <c r="J1996" s="4" t="s">
        <v>19</v>
      </c>
      <c r="K1996" s="4" t="s">
        <v>20</v>
      </c>
      <c r="L1996" s="4" t="s">
        <v>742</v>
      </c>
      <c r="M1996" s="17">
        <v>30</v>
      </c>
      <c r="N1996" s="17">
        <v>823</v>
      </c>
      <c r="O1996" s="18" t="s">
        <v>19</v>
      </c>
      <c r="P1996" s="18">
        <v>823</v>
      </c>
      <c r="Q1996" s="18">
        <v>30</v>
      </c>
      <c r="R1996" s="18" t="str">
        <f>VLOOKUP(AUDITORIA[[#This Row],[LOTE]],[1]ENDEREÇAMENTO!$C$2:$J$9999,8,FALSE)</f>
        <v>Cam.C</v>
      </c>
      <c r="S1996" s="18" t="str">
        <f>VLOOKUP(RIGHT(AUDITORIA[[#This Row],[LOTE]],4),[2]Lotes!$A$2:$E$209,2,FALSE)</f>
        <v>QD.15</v>
      </c>
      <c r="T1996" s="18" t="str">
        <f>VLOOKUP(RIGHT(AUDITORIA[[#This Row],[LOTE]],4),[2]Lotes!$A$2:$E$209,4,FALSE)</f>
        <v>F1</v>
      </c>
      <c r="U19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96" s="19">
        <f>IF(AUDITORIA[[#This Row],[CAT]]="",0,1)</f>
        <v>1</v>
      </c>
      <c r="W1996" s="20">
        <v>46232</v>
      </c>
      <c r="X1996" s="21" t="s">
        <v>906</v>
      </c>
      <c r="Y1996" s="24" t="s">
        <v>901</v>
      </c>
      <c r="Z1996" s="24" t="s">
        <v>902</v>
      </c>
      <c r="AA1996" s="24" t="s">
        <v>903</v>
      </c>
    </row>
    <row r="1997" spans="1:27" ht="14.4" hidden="1" customHeight="1" x14ac:dyDescent="0.3">
      <c r="A1997" s="4" t="s">
        <v>0</v>
      </c>
      <c r="B1997" s="4" t="s">
        <v>17</v>
      </c>
      <c r="C1997" s="16" t="s">
        <v>18</v>
      </c>
      <c r="D1997" s="4">
        <v>10</v>
      </c>
      <c r="E1997" s="4" t="s">
        <v>745</v>
      </c>
      <c r="F1997" t="s">
        <v>205</v>
      </c>
      <c r="G1997" t="s">
        <v>835</v>
      </c>
      <c r="H1997" s="4" t="s">
        <v>19</v>
      </c>
      <c r="I1997" s="4" t="s">
        <v>21</v>
      </c>
      <c r="J1997" s="4" t="s">
        <v>19</v>
      </c>
      <c r="K1997" s="4" t="s">
        <v>21</v>
      </c>
      <c r="L1997" s="4" t="s">
        <v>742</v>
      </c>
      <c r="M1997" s="17">
        <v>27</v>
      </c>
      <c r="N1997" s="17">
        <v>998</v>
      </c>
      <c r="O1997" s="18" t="s">
        <v>19</v>
      </c>
      <c r="P1997" s="18">
        <v>998</v>
      </c>
      <c r="Q1997" s="18">
        <v>27</v>
      </c>
      <c r="R1997" s="18" t="str">
        <f>VLOOKUP(AUDITORIA[[#This Row],[LOTE]],[1]ENDEREÇAMENTO!$C$2:$J$9999,8,FALSE)</f>
        <v>Cam.C</v>
      </c>
      <c r="S1997" s="18" t="str">
        <f>VLOOKUP(RIGHT(AUDITORIA[[#This Row],[LOTE]],4),[2]Lotes!$A$2:$E$209,2,FALSE)</f>
        <v>QD.15</v>
      </c>
      <c r="T1997" s="18" t="str">
        <f>VLOOKUP(RIGHT(AUDITORIA[[#This Row],[LOTE]],4),[2]Lotes!$A$2:$E$209,4,FALSE)</f>
        <v>F5</v>
      </c>
      <c r="U19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97" s="19">
        <f>IF(AUDITORIA[[#This Row],[CAT]]="",0,1)</f>
        <v>1</v>
      </c>
      <c r="W1997" s="20">
        <v>46232</v>
      </c>
      <c r="X1997" s="21" t="s">
        <v>906</v>
      </c>
      <c r="Y1997" s="24" t="s">
        <v>901</v>
      </c>
      <c r="Z1997" s="24" t="s">
        <v>902</v>
      </c>
      <c r="AA1997" s="24" t="s">
        <v>903</v>
      </c>
    </row>
    <row r="1998" spans="1:27" ht="14.4" hidden="1" customHeight="1" x14ac:dyDescent="0.3">
      <c r="A1998" s="4" t="s">
        <v>0</v>
      </c>
      <c r="B1998" s="4" t="s">
        <v>17</v>
      </c>
      <c r="C1998" s="16" t="s">
        <v>18</v>
      </c>
      <c r="D1998" s="4">
        <v>10</v>
      </c>
      <c r="E1998" s="4" t="s">
        <v>745</v>
      </c>
      <c r="F1998" t="s">
        <v>203</v>
      </c>
      <c r="G1998" t="s">
        <v>835</v>
      </c>
      <c r="H1998" s="4" t="s">
        <v>19</v>
      </c>
      <c r="I1998" s="4" t="s">
        <v>21</v>
      </c>
      <c r="J1998" s="4" t="s">
        <v>19</v>
      </c>
      <c r="K1998" s="4" t="s">
        <v>21</v>
      </c>
      <c r="L1998" s="4" t="s">
        <v>742</v>
      </c>
      <c r="M1998" s="17">
        <v>27</v>
      </c>
      <c r="N1998" s="17">
        <v>993</v>
      </c>
      <c r="O1998" s="18" t="s">
        <v>19</v>
      </c>
      <c r="P1998" s="18">
        <v>993</v>
      </c>
      <c r="Q1998" s="18">
        <v>27</v>
      </c>
      <c r="R1998" s="18" t="str">
        <f>VLOOKUP(AUDITORIA[[#This Row],[LOTE]],[1]ENDEREÇAMENTO!$C$2:$J$9999,8,FALSE)</f>
        <v>Cam.C</v>
      </c>
      <c r="S1998" s="18" t="str">
        <f>VLOOKUP(RIGHT(AUDITORIA[[#This Row],[LOTE]],4),[2]Lotes!$A$2:$E$209,2,FALSE)</f>
        <v>QD.15</v>
      </c>
      <c r="T1998" s="18" t="str">
        <f>VLOOKUP(RIGHT(AUDITORIA[[#This Row],[LOTE]],4),[2]Lotes!$A$2:$E$209,4,FALSE)</f>
        <v>F4</v>
      </c>
      <c r="U19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98" s="19">
        <f>IF(AUDITORIA[[#This Row],[CAT]]="",0,1)</f>
        <v>1</v>
      </c>
      <c r="W1998" s="20">
        <v>46232</v>
      </c>
      <c r="X1998" s="21" t="s">
        <v>906</v>
      </c>
      <c r="Y1998" s="24" t="s">
        <v>901</v>
      </c>
      <c r="Z1998" s="24" t="s">
        <v>902</v>
      </c>
      <c r="AA1998" s="24" t="s">
        <v>903</v>
      </c>
    </row>
    <row r="1999" spans="1:27" ht="14.4" hidden="1" customHeight="1" x14ac:dyDescent="0.3">
      <c r="A1999" s="4" t="s">
        <v>0</v>
      </c>
      <c r="B1999" s="4" t="s">
        <v>17</v>
      </c>
      <c r="C1999" s="16" t="s">
        <v>18</v>
      </c>
      <c r="D1999" s="4">
        <v>10</v>
      </c>
      <c r="E1999" s="4" t="s">
        <v>745</v>
      </c>
      <c r="F1999" t="s">
        <v>201</v>
      </c>
      <c r="G1999" t="s">
        <v>835</v>
      </c>
      <c r="H1999" s="4" t="s">
        <v>19</v>
      </c>
      <c r="I1999" s="4" t="s">
        <v>20</v>
      </c>
      <c r="J1999" s="4" t="s">
        <v>19</v>
      </c>
      <c r="K1999" s="4" t="s">
        <v>20</v>
      </c>
      <c r="L1999" s="4" t="s">
        <v>742</v>
      </c>
      <c r="M1999" s="17">
        <v>30</v>
      </c>
      <c r="N1999" s="17">
        <v>804</v>
      </c>
      <c r="O1999" s="18" t="s">
        <v>19</v>
      </c>
      <c r="P1999" s="18">
        <v>804</v>
      </c>
      <c r="Q1999" s="18">
        <v>30</v>
      </c>
      <c r="R1999" s="18" t="str">
        <f>VLOOKUP(AUDITORIA[[#This Row],[LOTE]],[1]ENDEREÇAMENTO!$C$2:$J$9999,8,FALSE)</f>
        <v>Cam.C</v>
      </c>
      <c r="S1999" s="18" t="str">
        <f>VLOOKUP(RIGHT(AUDITORIA[[#This Row],[LOTE]],4),[2]Lotes!$A$2:$E$209,2,FALSE)</f>
        <v>QD.15</v>
      </c>
      <c r="T1999" s="18" t="str">
        <f>VLOOKUP(RIGHT(AUDITORIA[[#This Row],[LOTE]],4),[2]Lotes!$A$2:$E$209,4,FALSE)</f>
        <v>F2</v>
      </c>
      <c r="U19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1999" s="19">
        <f>IF(AUDITORIA[[#This Row],[CAT]]="",0,1)</f>
        <v>1</v>
      </c>
      <c r="W1999" s="20">
        <v>46232</v>
      </c>
      <c r="X1999" s="21" t="s">
        <v>906</v>
      </c>
      <c r="Y1999" s="24" t="s">
        <v>901</v>
      </c>
      <c r="Z1999" s="24" t="s">
        <v>902</v>
      </c>
      <c r="AA1999" s="24" t="s">
        <v>903</v>
      </c>
    </row>
    <row r="2000" spans="1:27" ht="14.4" hidden="1" customHeight="1" x14ac:dyDescent="0.3">
      <c r="A2000" s="4" t="s">
        <v>0</v>
      </c>
      <c r="B2000" s="4" t="s">
        <v>17</v>
      </c>
      <c r="C2000" s="16" t="s">
        <v>18</v>
      </c>
      <c r="D2000" s="4">
        <v>10</v>
      </c>
      <c r="E2000" s="4" t="s">
        <v>745</v>
      </c>
      <c r="F2000" t="s">
        <v>202</v>
      </c>
      <c r="G2000" t="s">
        <v>835</v>
      </c>
      <c r="H2000" s="4" t="s">
        <v>19</v>
      </c>
      <c r="I2000" s="4" t="s">
        <v>21</v>
      </c>
      <c r="J2000" s="4" t="s">
        <v>19</v>
      </c>
      <c r="K2000" s="4" t="s">
        <v>21</v>
      </c>
      <c r="L2000" s="4" t="s">
        <v>742</v>
      </c>
      <c r="M2000" s="17">
        <v>27</v>
      </c>
      <c r="N2000" s="17">
        <v>999</v>
      </c>
      <c r="O2000" s="18" t="s">
        <v>19</v>
      </c>
      <c r="P2000" s="18">
        <v>999</v>
      </c>
      <c r="Q2000" s="18">
        <v>27</v>
      </c>
      <c r="R2000" s="18" t="str">
        <f>VLOOKUP(AUDITORIA[[#This Row],[LOTE]],[1]ENDEREÇAMENTO!$C$2:$J$9999,8,FALSE)</f>
        <v>Cam.C</v>
      </c>
      <c r="S2000" s="18" t="str">
        <f>VLOOKUP(RIGHT(AUDITORIA[[#This Row],[LOTE]],4),[2]Lotes!$A$2:$E$209,2,FALSE)</f>
        <v>QD.15</v>
      </c>
      <c r="T2000" s="18" t="str">
        <f>VLOOKUP(RIGHT(AUDITORIA[[#This Row],[LOTE]],4),[2]Lotes!$A$2:$E$209,4,FALSE)</f>
        <v>F6</v>
      </c>
      <c r="U20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00" s="19">
        <f>IF(AUDITORIA[[#This Row],[CAT]]="",0,1)</f>
        <v>1</v>
      </c>
      <c r="W2000" s="20">
        <v>46232</v>
      </c>
      <c r="X2000" s="21" t="s">
        <v>906</v>
      </c>
      <c r="Y2000" s="24" t="s">
        <v>901</v>
      </c>
      <c r="Z2000" s="24" t="s">
        <v>902</v>
      </c>
      <c r="AA2000" s="24" t="s">
        <v>903</v>
      </c>
    </row>
    <row r="2001" spans="1:27" ht="14.4" hidden="1" customHeight="1" x14ac:dyDescent="0.3">
      <c r="A2001" s="4" t="s">
        <v>0</v>
      </c>
      <c r="B2001" s="4" t="s">
        <v>17</v>
      </c>
      <c r="C2001" s="16" t="s">
        <v>18</v>
      </c>
      <c r="D2001" s="4">
        <v>10</v>
      </c>
      <c r="E2001" s="4" t="s">
        <v>745</v>
      </c>
      <c r="F2001" t="s">
        <v>200</v>
      </c>
      <c r="G2001" t="s">
        <v>835</v>
      </c>
      <c r="H2001" s="4" t="s">
        <v>19</v>
      </c>
      <c r="I2001" s="4" t="s">
        <v>21</v>
      </c>
      <c r="J2001" s="4" t="s">
        <v>19</v>
      </c>
      <c r="K2001" s="4" t="s">
        <v>21</v>
      </c>
      <c r="L2001" s="4" t="s">
        <v>742</v>
      </c>
      <c r="M2001" s="17">
        <v>24</v>
      </c>
      <c r="N2001" s="17">
        <v>1023</v>
      </c>
      <c r="O2001" s="18" t="s">
        <v>19</v>
      </c>
      <c r="P2001" s="18">
        <v>1023</v>
      </c>
      <c r="Q2001" s="18">
        <v>24</v>
      </c>
      <c r="R2001" s="18" t="str">
        <f>VLOOKUP(AUDITORIA[[#This Row],[LOTE]],[1]ENDEREÇAMENTO!$C$2:$J$9999,8,FALSE)</f>
        <v>Cam.C</v>
      </c>
      <c r="S2001" s="18" t="str">
        <f>VLOOKUP(RIGHT(AUDITORIA[[#This Row],[LOTE]],4),[2]Lotes!$A$2:$E$209,2,FALSE)</f>
        <v>QD.08</v>
      </c>
      <c r="T2001" s="18" t="str">
        <f>VLOOKUP(RIGHT(AUDITORIA[[#This Row],[LOTE]],4),[2]Lotes!$A$2:$E$209,4,FALSE)</f>
        <v>F1</v>
      </c>
      <c r="U20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01" s="19">
        <f>IF(AUDITORIA[[#This Row],[CAT]]="",0,1)</f>
        <v>1</v>
      </c>
      <c r="W2001" s="20">
        <v>46232</v>
      </c>
      <c r="X2001" s="21" t="s">
        <v>906</v>
      </c>
      <c r="Y2001" s="24" t="s">
        <v>901</v>
      </c>
      <c r="Z2001" s="24" t="s">
        <v>902</v>
      </c>
      <c r="AA2001" s="24" t="s">
        <v>903</v>
      </c>
    </row>
    <row r="2002" spans="1:27" ht="14.4" hidden="1" customHeight="1" x14ac:dyDescent="0.3">
      <c r="A2002" s="4" t="s">
        <v>0</v>
      </c>
      <c r="B2002" s="4" t="s">
        <v>17</v>
      </c>
      <c r="C2002" s="16" t="s">
        <v>18</v>
      </c>
      <c r="D2002" s="4">
        <v>10</v>
      </c>
      <c r="E2002" s="4" t="s">
        <v>745</v>
      </c>
      <c r="F2002" t="s">
        <v>197</v>
      </c>
      <c r="G2002" t="s">
        <v>835</v>
      </c>
      <c r="H2002" s="4" t="s">
        <v>19</v>
      </c>
      <c r="I2002" s="4" t="s">
        <v>20</v>
      </c>
      <c r="J2002" s="4" t="s">
        <v>19</v>
      </c>
      <c r="K2002" s="4" t="s">
        <v>20</v>
      </c>
      <c r="L2002" s="4" t="s">
        <v>742</v>
      </c>
      <c r="M2002" s="17">
        <v>30</v>
      </c>
      <c r="N2002" s="17">
        <v>814</v>
      </c>
      <c r="O2002" s="18" t="s">
        <v>19</v>
      </c>
      <c r="P2002" s="18">
        <v>814</v>
      </c>
      <c r="Q2002" s="18">
        <v>30</v>
      </c>
      <c r="R2002" s="18" t="str">
        <f>VLOOKUP(AUDITORIA[[#This Row],[LOTE]],[1]ENDEREÇAMENTO!$C$2:$J$9999,8,FALSE)</f>
        <v>Cam.C</v>
      </c>
      <c r="S2002" s="18" t="str">
        <f>VLOOKUP(RIGHT(AUDITORIA[[#This Row],[LOTE]],4),[2]Lotes!$A$2:$E$209,2,FALSE)</f>
        <v>QD.09</v>
      </c>
      <c r="T2002" s="18" t="str">
        <f>VLOOKUP(RIGHT(AUDITORIA[[#This Row],[LOTE]],4),[2]Lotes!$A$2:$E$209,4,FALSE)</f>
        <v>F2</v>
      </c>
      <c r="U20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02" s="19">
        <f>IF(AUDITORIA[[#This Row],[CAT]]="",0,1)</f>
        <v>1</v>
      </c>
      <c r="W2002" s="20">
        <v>46232</v>
      </c>
      <c r="X2002" s="21" t="s">
        <v>906</v>
      </c>
      <c r="Y2002" s="24" t="s">
        <v>901</v>
      </c>
      <c r="Z2002" s="24" t="s">
        <v>902</v>
      </c>
      <c r="AA2002" s="24" t="s">
        <v>903</v>
      </c>
    </row>
    <row r="2003" spans="1:27" ht="14.4" hidden="1" customHeight="1" x14ac:dyDescent="0.3">
      <c r="A2003" s="4" t="s">
        <v>0</v>
      </c>
      <c r="B2003" s="4" t="s">
        <v>17</v>
      </c>
      <c r="C2003" s="16" t="s">
        <v>18</v>
      </c>
      <c r="D2003" s="4">
        <v>10</v>
      </c>
      <c r="E2003" s="4" t="s">
        <v>745</v>
      </c>
      <c r="F2003" t="s">
        <v>199</v>
      </c>
      <c r="G2003" t="s">
        <v>835</v>
      </c>
      <c r="H2003" s="4" t="s">
        <v>19</v>
      </c>
      <c r="I2003" s="4" t="s">
        <v>21</v>
      </c>
      <c r="J2003" s="4" t="s">
        <v>19</v>
      </c>
      <c r="K2003" s="4" t="s">
        <v>21</v>
      </c>
      <c r="L2003" s="4" t="s">
        <v>742</v>
      </c>
      <c r="M2003" s="17">
        <v>24</v>
      </c>
      <c r="N2003" s="17">
        <v>1021</v>
      </c>
      <c r="O2003" s="18" t="s">
        <v>19</v>
      </c>
      <c r="P2003" s="18">
        <v>1021</v>
      </c>
      <c r="Q2003" s="18">
        <v>24</v>
      </c>
      <c r="R2003" s="18" t="str">
        <f>VLOOKUP(AUDITORIA[[#This Row],[LOTE]],[1]ENDEREÇAMENTO!$C$2:$J$9999,8,FALSE)</f>
        <v>Cam.C</v>
      </c>
      <c r="S2003" s="18" t="str">
        <f>VLOOKUP(RIGHT(AUDITORIA[[#This Row],[LOTE]],4),[2]Lotes!$A$2:$E$209,2,FALSE)</f>
        <v>QD.09</v>
      </c>
      <c r="T2003" s="18" t="str">
        <f>VLOOKUP(RIGHT(AUDITORIA[[#This Row],[LOTE]],4),[2]Lotes!$A$2:$E$209,4,FALSE)</f>
        <v>F1</v>
      </c>
      <c r="U20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03" s="19">
        <f>IF(AUDITORIA[[#This Row],[CAT]]="",0,1)</f>
        <v>1</v>
      </c>
      <c r="W2003" s="20">
        <v>46232</v>
      </c>
      <c r="X2003" s="21" t="s">
        <v>906</v>
      </c>
      <c r="Y2003" s="24" t="s">
        <v>901</v>
      </c>
      <c r="Z2003" s="24" t="s">
        <v>902</v>
      </c>
      <c r="AA2003" s="24" t="s">
        <v>903</v>
      </c>
    </row>
    <row r="2004" spans="1:27" ht="14.4" hidden="1" customHeight="1" x14ac:dyDescent="0.3">
      <c r="A2004" s="4" t="s">
        <v>0</v>
      </c>
      <c r="B2004" s="4" t="s">
        <v>17</v>
      </c>
      <c r="C2004" s="16" t="s">
        <v>18</v>
      </c>
      <c r="D2004" s="4">
        <v>10</v>
      </c>
      <c r="E2004" s="4" t="s">
        <v>745</v>
      </c>
      <c r="F2004" t="s">
        <v>198</v>
      </c>
      <c r="G2004" t="s">
        <v>835</v>
      </c>
      <c r="H2004" s="4" t="s">
        <v>19</v>
      </c>
      <c r="I2004" s="4" t="s">
        <v>21</v>
      </c>
      <c r="J2004" s="4" t="s">
        <v>19</v>
      </c>
      <c r="K2004" s="4" t="s">
        <v>21</v>
      </c>
      <c r="L2004" s="4" t="s">
        <v>742</v>
      </c>
      <c r="M2004" s="17">
        <v>27</v>
      </c>
      <c r="N2004" s="17">
        <v>977</v>
      </c>
      <c r="O2004" s="18" t="s">
        <v>19</v>
      </c>
      <c r="P2004" s="18">
        <v>977</v>
      </c>
      <c r="Q2004" s="18">
        <v>27</v>
      </c>
      <c r="R2004" s="18" t="str">
        <f>VLOOKUP(AUDITORIA[[#This Row],[LOTE]],[1]ENDEREÇAMENTO!$C$2:$J$9999,8,FALSE)</f>
        <v>Cam.C</v>
      </c>
      <c r="S2004" s="18" t="str">
        <f>VLOOKUP(RIGHT(AUDITORIA[[#This Row],[LOTE]],4),[2]Lotes!$A$2:$E$209,2,FALSE)</f>
        <v>QD.01</v>
      </c>
      <c r="T2004" s="18" t="str">
        <f>VLOOKUP(RIGHT(AUDITORIA[[#This Row],[LOTE]],4),[2]Lotes!$A$2:$E$209,4,FALSE)</f>
        <v>F1</v>
      </c>
      <c r="U20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04" s="19">
        <f>IF(AUDITORIA[[#This Row],[CAT]]="",0,1)</f>
        <v>1</v>
      </c>
      <c r="W2004" s="20">
        <v>46232</v>
      </c>
      <c r="X2004" s="21" t="s">
        <v>906</v>
      </c>
      <c r="Y2004" s="24" t="s">
        <v>901</v>
      </c>
      <c r="Z2004" s="24" t="s">
        <v>902</v>
      </c>
      <c r="AA2004" s="24" t="s">
        <v>903</v>
      </c>
    </row>
    <row r="2005" spans="1:27" ht="14.4" hidden="1" customHeight="1" x14ac:dyDescent="0.3">
      <c r="A2005" s="4" t="s">
        <v>0</v>
      </c>
      <c r="B2005" s="4" t="s">
        <v>17</v>
      </c>
      <c r="C2005" s="16" t="s">
        <v>18</v>
      </c>
      <c r="D2005" s="4">
        <v>10</v>
      </c>
      <c r="E2005" s="4" t="s">
        <v>745</v>
      </c>
      <c r="F2005" t="s">
        <v>196</v>
      </c>
      <c r="G2005" t="s">
        <v>835</v>
      </c>
      <c r="H2005" s="4" t="s">
        <v>19</v>
      </c>
      <c r="I2005" s="4" t="s">
        <v>21</v>
      </c>
      <c r="J2005" s="4" t="s">
        <v>19</v>
      </c>
      <c r="K2005" s="4" t="s">
        <v>21</v>
      </c>
      <c r="L2005" s="4" t="s">
        <v>742</v>
      </c>
      <c r="M2005" s="17">
        <v>27</v>
      </c>
      <c r="N2005" s="17">
        <v>981</v>
      </c>
      <c r="O2005" s="18" t="s">
        <v>19</v>
      </c>
      <c r="P2005" s="18">
        <v>981</v>
      </c>
      <c r="Q2005" s="18">
        <v>27</v>
      </c>
      <c r="R2005" s="18" t="str">
        <f>VLOOKUP(AUDITORIA[[#This Row],[LOTE]],[1]ENDEREÇAMENTO!$C$2:$J$9999,8,FALSE)</f>
        <v>Cam.C</v>
      </c>
      <c r="S2005" s="18" t="str">
        <f>VLOOKUP(RIGHT(AUDITORIA[[#This Row],[LOTE]],4),[2]Lotes!$A$2:$E$209,2,FALSE)</f>
        <v>QD.01</v>
      </c>
      <c r="T2005" s="18" t="str">
        <f>VLOOKUP(RIGHT(AUDITORIA[[#This Row],[LOTE]],4),[2]Lotes!$A$2:$E$209,4,FALSE)</f>
        <v>F2</v>
      </c>
      <c r="U20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05" s="19">
        <f>IF(AUDITORIA[[#This Row],[CAT]]="",0,1)</f>
        <v>1</v>
      </c>
      <c r="W2005" s="20">
        <v>46232</v>
      </c>
      <c r="X2005" s="21" t="s">
        <v>906</v>
      </c>
      <c r="Y2005" s="24" t="s">
        <v>901</v>
      </c>
      <c r="Z2005" s="24" t="s">
        <v>902</v>
      </c>
      <c r="AA2005" s="24" t="s">
        <v>903</v>
      </c>
    </row>
    <row r="2006" spans="1:27" ht="14.4" hidden="1" customHeight="1" x14ac:dyDescent="0.3">
      <c r="A2006" s="4" t="s">
        <v>0</v>
      </c>
      <c r="B2006" s="4" t="s">
        <v>17</v>
      </c>
      <c r="C2006" s="16" t="s">
        <v>18</v>
      </c>
      <c r="D2006" s="4">
        <v>10</v>
      </c>
      <c r="E2006" s="4" t="s">
        <v>745</v>
      </c>
      <c r="F2006" t="s">
        <v>195</v>
      </c>
      <c r="G2006" t="s">
        <v>835</v>
      </c>
      <c r="H2006" s="4" t="s">
        <v>19</v>
      </c>
      <c r="I2006" s="4" t="s">
        <v>21</v>
      </c>
      <c r="J2006" s="4" t="s">
        <v>19</v>
      </c>
      <c r="K2006" s="4" t="s">
        <v>21</v>
      </c>
      <c r="L2006" s="4" t="s">
        <v>742</v>
      </c>
      <c r="M2006" s="17">
        <v>27</v>
      </c>
      <c r="N2006" s="17">
        <v>996</v>
      </c>
      <c r="O2006" s="18" t="s">
        <v>19</v>
      </c>
      <c r="P2006" s="18">
        <v>996</v>
      </c>
      <c r="Q2006" s="18">
        <v>27</v>
      </c>
      <c r="R2006" s="18" t="str">
        <f>VLOOKUP(AUDITORIA[[#This Row],[LOTE]],[1]ENDEREÇAMENTO!$C$2:$J$9999,8,FALSE)</f>
        <v>Cam.C</v>
      </c>
      <c r="S2006" s="18" t="str">
        <f>VLOOKUP(RIGHT(AUDITORIA[[#This Row],[LOTE]],4),[2]Lotes!$A$2:$E$209,2,FALSE)</f>
        <v>QD.08</v>
      </c>
      <c r="T2006" s="18" t="str">
        <f>VLOOKUP(RIGHT(AUDITORIA[[#This Row],[LOTE]],4),[2]Lotes!$A$2:$E$209,4,FALSE)</f>
        <v>F2</v>
      </c>
      <c r="U20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06" s="19">
        <f>IF(AUDITORIA[[#This Row],[CAT]]="",0,1)</f>
        <v>1</v>
      </c>
      <c r="W2006" s="20">
        <v>46232</v>
      </c>
      <c r="X2006" s="21" t="s">
        <v>906</v>
      </c>
      <c r="Y2006" s="24" t="s">
        <v>901</v>
      </c>
      <c r="Z2006" s="24" t="s">
        <v>902</v>
      </c>
      <c r="AA2006" s="24" t="s">
        <v>903</v>
      </c>
    </row>
    <row r="2007" spans="1:27" ht="14.4" hidden="1" customHeight="1" x14ac:dyDescent="0.3">
      <c r="A2007" s="4" t="s">
        <v>0</v>
      </c>
      <c r="B2007" s="4" t="s">
        <v>17</v>
      </c>
      <c r="C2007" s="16" t="s">
        <v>18</v>
      </c>
      <c r="D2007" s="4">
        <v>10</v>
      </c>
      <c r="E2007" s="4" t="s">
        <v>745</v>
      </c>
      <c r="F2007" t="s">
        <v>194</v>
      </c>
      <c r="G2007" t="s">
        <v>835</v>
      </c>
      <c r="H2007" s="4" t="s">
        <v>19</v>
      </c>
      <c r="I2007" s="4" t="s">
        <v>21</v>
      </c>
      <c r="J2007" s="4" t="s">
        <v>19</v>
      </c>
      <c r="K2007" s="4" t="s">
        <v>21</v>
      </c>
      <c r="L2007" s="4" t="s">
        <v>742</v>
      </c>
      <c r="M2007" s="17">
        <v>27</v>
      </c>
      <c r="N2007" s="17">
        <v>995</v>
      </c>
      <c r="O2007" s="18" t="s">
        <v>19</v>
      </c>
      <c r="P2007" s="18">
        <v>995</v>
      </c>
      <c r="Q2007" s="18">
        <v>27</v>
      </c>
      <c r="R2007" s="18" t="str">
        <f>VLOOKUP(AUDITORIA[[#This Row],[LOTE]],[1]ENDEREÇAMENTO!$C$2:$J$9999,8,FALSE)</f>
        <v>Cam.C</v>
      </c>
      <c r="S2007" s="18" t="str">
        <f>VLOOKUP(RIGHT(AUDITORIA[[#This Row],[LOTE]],4),[2]Lotes!$A$2:$E$209,2,FALSE)</f>
        <v>QD.09</v>
      </c>
      <c r="T2007" s="18" t="str">
        <f>VLOOKUP(RIGHT(AUDITORIA[[#This Row],[LOTE]],4),[2]Lotes!$A$2:$E$209,4,FALSE)</f>
        <v>F2</v>
      </c>
      <c r="U20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07" s="19">
        <f>IF(AUDITORIA[[#This Row],[CAT]]="",0,1)</f>
        <v>1</v>
      </c>
      <c r="W2007" s="20">
        <v>46232</v>
      </c>
      <c r="X2007" s="21" t="s">
        <v>906</v>
      </c>
      <c r="Y2007" s="24" t="s">
        <v>901</v>
      </c>
      <c r="Z2007" s="24" t="s">
        <v>902</v>
      </c>
      <c r="AA2007" s="24" t="s">
        <v>903</v>
      </c>
    </row>
    <row r="2008" spans="1:27" ht="14.4" hidden="1" customHeight="1" x14ac:dyDescent="0.3">
      <c r="A2008" s="4" t="s">
        <v>0</v>
      </c>
      <c r="B2008" s="4" t="s">
        <v>17</v>
      </c>
      <c r="C2008" s="16" t="s">
        <v>18</v>
      </c>
      <c r="D2008" s="4">
        <v>10</v>
      </c>
      <c r="E2008" s="4" t="s">
        <v>745</v>
      </c>
      <c r="F2008" t="s">
        <v>193</v>
      </c>
      <c r="G2008" t="s">
        <v>835</v>
      </c>
      <c r="H2008" s="4" t="s">
        <v>19</v>
      </c>
      <c r="I2008" s="4" t="s">
        <v>20</v>
      </c>
      <c r="J2008" s="4" t="s">
        <v>19</v>
      </c>
      <c r="K2008" s="4" t="s">
        <v>20</v>
      </c>
      <c r="L2008" s="4" t="s">
        <v>742</v>
      </c>
      <c r="M2008" s="17">
        <v>30</v>
      </c>
      <c r="N2008" s="17">
        <v>793</v>
      </c>
      <c r="O2008" s="18" t="s">
        <v>19</v>
      </c>
      <c r="P2008" s="18">
        <v>793</v>
      </c>
      <c r="Q2008" s="18">
        <v>30</v>
      </c>
      <c r="R2008" s="18" t="str">
        <f>VLOOKUP(AUDITORIA[[#This Row],[LOTE]],[1]ENDEREÇAMENTO!$C$2:$J$9999,8,FALSE)</f>
        <v>Cam.C</v>
      </c>
      <c r="S2008" s="18" t="str">
        <f>VLOOKUP(RIGHT(AUDITORIA[[#This Row],[LOTE]],4),[2]Lotes!$A$2:$E$209,2,FALSE)</f>
        <v>QD.09</v>
      </c>
      <c r="T2008" s="18" t="str">
        <f>VLOOKUP(RIGHT(AUDITORIA[[#This Row],[LOTE]],4),[2]Lotes!$A$2:$E$209,4,FALSE)</f>
        <v>F1</v>
      </c>
      <c r="U20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08" s="19">
        <f>IF(AUDITORIA[[#This Row],[CAT]]="",0,1)</f>
        <v>1</v>
      </c>
      <c r="W2008" s="20">
        <v>46232</v>
      </c>
      <c r="X2008" s="21" t="s">
        <v>906</v>
      </c>
      <c r="Y2008" s="24" t="s">
        <v>901</v>
      </c>
      <c r="Z2008" s="24" t="s">
        <v>902</v>
      </c>
      <c r="AA2008" s="24" t="s">
        <v>903</v>
      </c>
    </row>
    <row r="2009" spans="1:27" ht="14.4" hidden="1" customHeight="1" x14ac:dyDescent="0.3">
      <c r="A2009" s="4" t="s">
        <v>0</v>
      </c>
      <c r="B2009" s="4" t="s">
        <v>17</v>
      </c>
      <c r="C2009" s="16" t="s">
        <v>18</v>
      </c>
      <c r="D2009" s="4">
        <v>10</v>
      </c>
      <c r="E2009" s="4" t="s">
        <v>745</v>
      </c>
      <c r="F2009" t="s">
        <v>192</v>
      </c>
      <c r="G2009" t="s">
        <v>835</v>
      </c>
      <c r="H2009" s="4" t="s">
        <v>31</v>
      </c>
      <c r="I2009" s="4" t="s">
        <v>21</v>
      </c>
      <c r="J2009" s="4" t="s">
        <v>31</v>
      </c>
      <c r="K2009" s="4" t="s">
        <v>21</v>
      </c>
      <c r="L2009" s="4" t="s">
        <v>742</v>
      </c>
      <c r="M2009" s="17">
        <v>24</v>
      </c>
      <c r="N2009" s="17">
        <v>1037</v>
      </c>
      <c r="O2009" s="18" t="s">
        <v>31</v>
      </c>
      <c r="P2009" s="18">
        <v>1037</v>
      </c>
      <c r="Q2009" s="18">
        <v>24</v>
      </c>
      <c r="R2009" s="18" t="str">
        <f>VLOOKUP(AUDITORIA[[#This Row],[LOTE]],[1]ENDEREÇAMENTO!$C$2:$J$9999,8,FALSE)</f>
        <v>Cam.C</v>
      </c>
      <c r="S2009" s="18" t="str">
        <f>VLOOKUP(RIGHT(AUDITORIA[[#This Row],[LOTE]],4),[2]Lotes!$A$2:$E$209,2,FALSE)</f>
        <v>QD.09</v>
      </c>
      <c r="T2009" s="18" t="str">
        <f>VLOOKUP(RIGHT(AUDITORIA[[#This Row],[LOTE]],4),[2]Lotes!$A$2:$E$209,4,FALSE)</f>
        <v>F3</v>
      </c>
      <c r="U20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09" s="19">
        <f>IF(AUDITORIA[[#This Row],[CAT]]="",0,1)</f>
        <v>1</v>
      </c>
      <c r="W2009" s="20">
        <v>46232</v>
      </c>
      <c r="X2009" s="21" t="s">
        <v>906</v>
      </c>
      <c r="Y2009" s="24" t="s">
        <v>901</v>
      </c>
      <c r="Z2009" s="24" t="s">
        <v>902</v>
      </c>
      <c r="AA2009" s="24" t="s">
        <v>903</v>
      </c>
    </row>
    <row r="2010" spans="1:27" ht="14.4" hidden="1" customHeight="1" x14ac:dyDescent="0.3">
      <c r="A2010" s="4" t="s">
        <v>0</v>
      </c>
      <c r="B2010" s="4" t="s">
        <v>17</v>
      </c>
      <c r="C2010" s="16" t="s">
        <v>18</v>
      </c>
      <c r="D2010" s="4">
        <v>10</v>
      </c>
      <c r="E2010" s="4" t="s">
        <v>745</v>
      </c>
      <c r="F2010" t="s">
        <v>190</v>
      </c>
      <c r="G2010" t="s">
        <v>835</v>
      </c>
      <c r="H2010" s="4" t="s">
        <v>31</v>
      </c>
      <c r="I2010" s="4" t="s">
        <v>20</v>
      </c>
      <c r="J2010" s="4" t="s">
        <v>31</v>
      </c>
      <c r="K2010" s="4" t="s">
        <v>20</v>
      </c>
      <c r="L2010" s="4" t="s">
        <v>742</v>
      </c>
      <c r="M2010" s="17">
        <v>30</v>
      </c>
      <c r="N2010" s="17">
        <v>825</v>
      </c>
      <c r="O2010" s="18" t="s">
        <v>31</v>
      </c>
      <c r="P2010" s="18">
        <v>825</v>
      </c>
      <c r="Q2010" s="18">
        <v>30</v>
      </c>
      <c r="R2010" s="18" t="str">
        <f>VLOOKUP(AUDITORIA[[#This Row],[LOTE]],[1]ENDEREÇAMENTO!$C$2:$J$9999,8,FALSE)</f>
        <v>Cam.C</v>
      </c>
      <c r="S2010" s="18" t="str">
        <f>VLOOKUP(RIGHT(AUDITORIA[[#This Row],[LOTE]],4),[2]Lotes!$A$2:$E$209,2,FALSE)</f>
        <v>QD.06</v>
      </c>
      <c r="T2010" s="18" t="str">
        <f>VLOOKUP(RIGHT(AUDITORIA[[#This Row],[LOTE]],4),[2]Lotes!$A$2:$E$209,4,FALSE)</f>
        <v>F1</v>
      </c>
      <c r="U20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10" s="19">
        <f>IF(AUDITORIA[[#This Row],[CAT]]="",0,1)</f>
        <v>1</v>
      </c>
      <c r="W2010" s="20">
        <v>46232</v>
      </c>
      <c r="X2010" s="21" t="s">
        <v>906</v>
      </c>
      <c r="Y2010" s="24" t="s">
        <v>901</v>
      </c>
      <c r="Z2010" s="24" t="s">
        <v>902</v>
      </c>
      <c r="AA2010" s="24" t="s">
        <v>903</v>
      </c>
    </row>
    <row r="2011" spans="1:27" ht="14.4" hidden="1" customHeight="1" x14ac:dyDescent="0.3">
      <c r="A2011" s="4" t="s">
        <v>0</v>
      </c>
      <c r="B2011" s="4" t="s">
        <v>17</v>
      </c>
      <c r="C2011" s="16" t="s">
        <v>18</v>
      </c>
      <c r="D2011" s="4">
        <v>10</v>
      </c>
      <c r="E2011" s="4" t="s">
        <v>745</v>
      </c>
      <c r="F2011" t="s">
        <v>191</v>
      </c>
      <c r="G2011" t="s">
        <v>835</v>
      </c>
      <c r="H2011" s="4" t="s">
        <v>31</v>
      </c>
      <c r="I2011" s="4" t="s">
        <v>21</v>
      </c>
      <c r="J2011" s="4" t="s">
        <v>31</v>
      </c>
      <c r="K2011" s="4" t="s">
        <v>21</v>
      </c>
      <c r="L2011" s="4" t="s">
        <v>742</v>
      </c>
      <c r="M2011" s="17">
        <v>24</v>
      </c>
      <c r="N2011" s="17">
        <v>1024</v>
      </c>
      <c r="O2011" s="18" t="s">
        <v>31</v>
      </c>
      <c r="P2011" s="18">
        <v>1024</v>
      </c>
      <c r="Q2011" s="18">
        <v>24</v>
      </c>
      <c r="R2011" s="18" t="str">
        <f>VLOOKUP(AUDITORIA[[#This Row],[LOTE]],[1]ENDEREÇAMENTO!$C$2:$J$9999,8,FALSE)</f>
        <v>Cam.C</v>
      </c>
      <c r="S2011" s="18" t="str">
        <f>VLOOKUP(RIGHT(AUDITORIA[[#This Row],[LOTE]],4),[2]Lotes!$A$2:$E$209,2,FALSE)</f>
        <v>QD.08</v>
      </c>
      <c r="T2011" s="18" t="str">
        <f>VLOOKUP(RIGHT(AUDITORIA[[#This Row],[LOTE]],4),[2]Lotes!$A$2:$E$209,4,FALSE)</f>
        <v>F3</v>
      </c>
      <c r="U20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11" s="19">
        <f>IF(AUDITORIA[[#This Row],[CAT]]="",0,1)</f>
        <v>1</v>
      </c>
      <c r="W2011" s="20">
        <v>46232</v>
      </c>
      <c r="X2011" s="21" t="s">
        <v>906</v>
      </c>
      <c r="Y2011" s="24" t="s">
        <v>901</v>
      </c>
      <c r="Z2011" s="24" t="s">
        <v>902</v>
      </c>
      <c r="AA2011" s="24" t="s">
        <v>903</v>
      </c>
    </row>
    <row r="2012" spans="1:27" ht="14.4" hidden="1" customHeight="1" x14ac:dyDescent="0.3">
      <c r="A2012" s="4" t="s">
        <v>0</v>
      </c>
      <c r="B2012" s="4" t="s">
        <v>17</v>
      </c>
      <c r="C2012" s="16" t="s">
        <v>18</v>
      </c>
      <c r="D2012" s="4">
        <v>10</v>
      </c>
      <c r="E2012" s="4" t="s">
        <v>745</v>
      </c>
      <c r="F2012" t="s">
        <v>189</v>
      </c>
      <c r="G2012" t="s">
        <v>835</v>
      </c>
      <c r="H2012" s="4" t="s">
        <v>31</v>
      </c>
      <c r="I2012" s="4" t="s">
        <v>21</v>
      </c>
      <c r="J2012" s="4" t="s">
        <v>31</v>
      </c>
      <c r="K2012" s="4" t="s">
        <v>21</v>
      </c>
      <c r="L2012" s="4" t="s">
        <v>742</v>
      </c>
      <c r="M2012" s="17">
        <v>24</v>
      </c>
      <c r="N2012" s="17">
        <v>1009</v>
      </c>
      <c r="O2012" s="18" t="s">
        <v>31</v>
      </c>
      <c r="P2012" s="18">
        <v>1009</v>
      </c>
      <c r="Q2012" s="18">
        <v>24</v>
      </c>
      <c r="R2012" s="18" t="str">
        <f>VLOOKUP(AUDITORIA[[#This Row],[LOTE]],[1]ENDEREÇAMENTO!$C$2:$J$9999,8,FALSE)</f>
        <v>Cam.C</v>
      </c>
      <c r="S2012" s="18" t="str">
        <f>VLOOKUP(RIGHT(AUDITORIA[[#This Row],[LOTE]],4),[2]Lotes!$A$2:$E$209,2,FALSE)</f>
        <v>QD.01</v>
      </c>
      <c r="T2012" s="18" t="str">
        <f>VLOOKUP(RIGHT(AUDITORIA[[#This Row],[LOTE]],4),[2]Lotes!$A$2:$E$209,4,FALSE)</f>
        <v>F3</v>
      </c>
      <c r="U20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12" s="19">
        <f>IF(AUDITORIA[[#This Row],[CAT]]="",0,1)</f>
        <v>1</v>
      </c>
      <c r="W2012" s="20">
        <v>46232</v>
      </c>
      <c r="X2012" s="21" t="s">
        <v>906</v>
      </c>
      <c r="Y2012" s="24" t="s">
        <v>901</v>
      </c>
      <c r="Z2012" s="24" t="s">
        <v>902</v>
      </c>
      <c r="AA2012" s="24" t="s">
        <v>903</v>
      </c>
    </row>
    <row r="2013" spans="1:27" ht="14.4" hidden="1" customHeight="1" x14ac:dyDescent="0.3">
      <c r="A2013" s="4" t="s">
        <v>0</v>
      </c>
      <c r="B2013" s="4" t="s">
        <v>17</v>
      </c>
      <c r="C2013" s="16" t="s">
        <v>18</v>
      </c>
      <c r="D2013" s="4">
        <v>10</v>
      </c>
      <c r="E2013" s="4" t="s">
        <v>745</v>
      </c>
      <c r="F2013" t="s">
        <v>188</v>
      </c>
      <c r="G2013" t="s">
        <v>835</v>
      </c>
      <c r="H2013" s="4" t="s">
        <v>31</v>
      </c>
      <c r="I2013" s="4" t="s">
        <v>20</v>
      </c>
      <c r="J2013" s="4" t="s">
        <v>31</v>
      </c>
      <c r="K2013" s="4" t="s">
        <v>20</v>
      </c>
      <c r="L2013" s="4" t="s">
        <v>742</v>
      </c>
      <c r="M2013" s="17">
        <v>12</v>
      </c>
      <c r="N2013" s="17">
        <v>804</v>
      </c>
      <c r="O2013" s="18" t="s">
        <v>31</v>
      </c>
      <c r="P2013" s="18">
        <v>804</v>
      </c>
      <c r="Q2013" s="18">
        <v>12</v>
      </c>
      <c r="R2013" s="18" t="str">
        <f>VLOOKUP(AUDITORIA[[#This Row],[LOTE]],[1]ENDEREÇAMENTO!$C$2:$J$9999,8,FALSE)</f>
        <v>Cam.C</v>
      </c>
      <c r="S2013" s="18" t="str">
        <f>VLOOKUP(RIGHT(AUDITORIA[[#This Row],[LOTE]],4),[2]Lotes!$A$2:$E$209,2,FALSE)</f>
        <v>QD.06</v>
      </c>
      <c r="T2013" s="18" t="str">
        <f>VLOOKUP(RIGHT(AUDITORIA[[#This Row],[LOTE]],4),[2]Lotes!$A$2:$E$209,4,FALSE)</f>
        <v>F2</v>
      </c>
      <c r="U20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13" s="19">
        <f>IF(AUDITORIA[[#This Row],[CAT]]="",0,1)</f>
        <v>1</v>
      </c>
      <c r="W2013" s="20">
        <v>46232</v>
      </c>
      <c r="X2013" s="21" t="s">
        <v>906</v>
      </c>
      <c r="Y2013" s="24" t="s">
        <v>901</v>
      </c>
      <c r="Z2013" s="24" t="s">
        <v>902</v>
      </c>
      <c r="AA2013" s="24" t="s">
        <v>903</v>
      </c>
    </row>
    <row r="2014" spans="1:27" ht="14.4" hidden="1" customHeight="1" x14ac:dyDescent="0.3">
      <c r="A2014" s="4" t="s">
        <v>0</v>
      </c>
      <c r="B2014" s="4" t="s">
        <v>17</v>
      </c>
      <c r="C2014" s="16" t="s">
        <v>18</v>
      </c>
      <c r="D2014" s="4">
        <v>10</v>
      </c>
      <c r="E2014" s="4" t="s">
        <v>745</v>
      </c>
      <c r="F2014" t="s">
        <v>187</v>
      </c>
      <c r="G2014" t="s">
        <v>835</v>
      </c>
      <c r="H2014" s="4" t="s">
        <v>31</v>
      </c>
      <c r="I2014" s="4" t="s">
        <v>21</v>
      </c>
      <c r="J2014" s="4" t="s">
        <v>31</v>
      </c>
      <c r="K2014" s="4" t="s">
        <v>21</v>
      </c>
      <c r="L2014" s="4" t="s">
        <v>742</v>
      </c>
      <c r="M2014" s="17">
        <v>12</v>
      </c>
      <c r="N2014" s="17">
        <v>1006</v>
      </c>
      <c r="O2014" s="18" t="s">
        <v>31</v>
      </c>
      <c r="P2014" s="18">
        <v>1006</v>
      </c>
      <c r="Q2014" s="18">
        <v>12</v>
      </c>
      <c r="R2014" s="18" t="str">
        <f>VLOOKUP(AUDITORIA[[#This Row],[LOTE]],[1]ENDEREÇAMENTO!$C$2:$J$9999,8,FALSE)</f>
        <v>Cam.C</v>
      </c>
      <c r="S2014" s="18" t="str">
        <f>VLOOKUP(RIGHT(AUDITORIA[[#This Row],[LOTE]],4),[2]Lotes!$A$2:$E$209,2,FALSE)</f>
        <v>QD.06</v>
      </c>
      <c r="T2014" s="18" t="str">
        <f>VLOOKUP(RIGHT(AUDITORIA[[#This Row],[LOTE]],4),[2]Lotes!$A$2:$E$209,4,FALSE)</f>
        <v>F3</v>
      </c>
      <c r="U20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14" s="19">
        <f>IF(AUDITORIA[[#This Row],[CAT]]="",0,1)</f>
        <v>1</v>
      </c>
      <c r="W2014" s="20">
        <v>46232</v>
      </c>
      <c r="X2014" s="21" t="s">
        <v>906</v>
      </c>
      <c r="Y2014" s="24" t="s">
        <v>901</v>
      </c>
      <c r="Z2014" s="24" t="s">
        <v>902</v>
      </c>
      <c r="AA2014" s="24" t="s">
        <v>903</v>
      </c>
    </row>
    <row r="2015" spans="1:27" ht="14.4" hidden="1" customHeight="1" x14ac:dyDescent="0.3">
      <c r="A2015" s="4" t="s">
        <v>0</v>
      </c>
      <c r="B2015" s="4" t="s">
        <v>17</v>
      </c>
      <c r="C2015" s="16" t="s">
        <v>18</v>
      </c>
      <c r="D2015" s="4">
        <v>10</v>
      </c>
      <c r="E2015" s="4" t="s">
        <v>745</v>
      </c>
      <c r="F2015" t="s">
        <v>185</v>
      </c>
      <c r="G2015" t="s">
        <v>85</v>
      </c>
      <c r="H2015" s="4" t="s">
        <v>88</v>
      </c>
      <c r="I2015" s="4" t="s">
        <v>21</v>
      </c>
      <c r="J2015" s="4" t="s">
        <v>88</v>
      </c>
      <c r="K2015" s="4" t="s">
        <v>21</v>
      </c>
      <c r="L2015" s="4" t="s">
        <v>742</v>
      </c>
      <c r="M2015" s="17">
        <v>30</v>
      </c>
      <c r="N2015" s="17">
        <v>881</v>
      </c>
      <c r="O2015" s="18" t="s">
        <v>88</v>
      </c>
      <c r="P2015" s="18">
        <v>881</v>
      </c>
      <c r="Q2015" s="18">
        <v>30</v>
      </c>
      <c r="R2015" s="18" t="s">
        <v>778</v>
      </c>
      <c r="S2015" s="18" t="s">
        <v>808</v>
      </c>
      <c r="T2015" s="18" t="s">
        <v>782</v>
      </c>
      <c r="U20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15" s="19">
        <f>IF(AUDITORIA[[#This Row],[CAT]]="",0,1)</f>
        <v>1</v>
      </c>
      <c r="W2015" s="20">
        <v>46232</v>
      </c>
      <c r="X2015" s="21" t="s">
        <v>906</v>
      </c>
      <c r="Y2015" s="24" t="s">
        <v>901</v>
      </c>
      <c r="Z2015" s="24" t="s">
        <v>902</v>
      </c>
      <c r="AA2015" s="24" t="s">
        <v>903</v>
      </c>
    </row>
    <row r="2016" spans="1:27" ht="14.4" hidden="1" customHeight="1" x14ac:dyDescent="0.3">
      <c r="A2016" s="4" t="s">
        <v>0</v>
      </c>
      <c r="B2016" s="4" t="s">
        <v>17</v>
      </c>
      <c r="C2016" s="16" t="s">
        <v>18</v>
      </c>
      <c r="D2016" s="4">
        <v>10</v>
      </c>
      <c r="E2016" s="4" t="s">
        <v>745</v>
      </c>
      <c r="F2016" t="s">
        <v>184</v>
      </c>
      <c r="G2016" t="s">
        <v>85</v>
      </c>
      <c r="H2016" s="4" t="s">
        <v>88</v>
      </c>
      <c r="I2016" s="4" t="s">
        <v>20</v>
      </c>
      <c r="J2016" s="4" t="s">
        <v>88</v>
      </c>
      <c r="K2016" s="4" t="s">
        <v>20</v>
      </c>
      <c r="L2016" s="4" t="s">
        <v>742</v>
      </c>
      <c r="M2016" s="17">
        <v>30</v>
      </c>
      <c r="N2016" s="17">
        <v>708</v>
      </c>
      <c r="O2016" s="18" t="s">
        <v>88</v>
      </c>
      <c r="P2016" s="18">
        <v>708</v>
      </c>
      <c r="Q2016" s="18">
        <v>30</v>
      </c>
      <c r="R2016" s="18" t="s">
        <v>778</v>
      </c>
      <c r="S2016" s="28" t="s">
        <v>917</v>
      </c>
      <c r="T2016" s="28" t="s">
        <v>782</v>
      </c>
      <c r="U20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16" s="19">
        <f>IF(AUDITORIA[[#This Row],[CAT]]="",0,1)</f>
        <v>1</v>
      </c>
      <c r="W2016" s="20">
        <v>46232</v>
      </c>
      <c r="X2016" s="21" t="s">
        <v>906</v>
      </c>
      <c r="Y2016" s="24" t="s">
        <v>901</v>
      </c>
      <c r="Z2016" s="24" t="s">
        <v>902</v>
      </c>
      <c r="AA2016" s="24" t="s">
        <v>903</v>
      </c>
    </row>
    <row r="2017" spans="1:27" ht="14.4" hidden="1" customHeight="1" x14ac:dyDescent="0.3">
      <c r="A2017" s="4" t="s">
        <v>0</v>
      </c>
      <c r="B2017" s="4" t="s">
        <v>17</v>
      </c>
      <c r="C2017" s="16" t="s">
        <v>18</v>
      </c>
      <c r="D2017" s="4">
        <v>10</v>
      </c>
      <c r="E2017" s="4" t="s">
        <v>745</v>
      </c>
      <c r="F2017" t="s">
        <v>182</v>
      </c>
      <c r="G2017" t="s">
        <v>85</v>
      </c>
      <c r="H2017" s="4" t="s">
        <v>88</v>
      </c>
      <c r="I2017" s="4" t="s">
        <v>20</v>
      </c>
      <c r="J2017" s="4" t="s">
        <v>88</v>
      </c>
      <c r="K2017" s="4" t="s">
        <v>20</v>
      </c>
      <c r="L2017" s="4" t="s">
        <v>742</v>
      </c>
      <c r="M2017" s="17">
        <v>30</v>
      </c>
      <c r="N2017" s="17">
        <v>715</v>
      </c>
      <c r="O2017" s="18" t="s">
        <v>88</v>
      </c>
      <c r="P2017" s="18">
        <v>715</v>
      </c>
      <c r="Q2017" s="18">
        <v>30</v>
      </c>
      <c r="R2017" s="18" t="s">
        <v>778</v>
      </c>
      <c r="S2017" s="18" t="s">
        <v>796</v>
      </c>
      <c r="T2017" s="18" t="s">
        <v>782</v>
      </c>
      <c r="U20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17" s="19">
        <f>IF(AUDITORIA[[#This Row],[CAT]]="",0,1)</f>
        <v>1</v>
      </c>
      <c r="W2017" s="20">
        <v>46232</v>
      </c>
      <c r="X2017" s="21" t="s">
        <v>906</v>
      </c>
      <c r="Y2017" s="24" t="s">
        <v>901</v>
      </c>
      <c r="Z2017" s="24" t="s">
        <v>902</v>
      </c>
      <c r="AA2017" s="24" t="s">
        <v>903</v>
      </c>
    </row>
    <row r="2018" spans="1:27" ht="14.4" hidden="1" customHeight="1" x14ac:dyDescent="0.3">
      <c r="A2018" s="4" t="s">
        <v>0</v>
      </c>
      <c r="B2018" s="4" t="s">
        <v>17</v>
      </c>
      <c r="C2018" s="16" t="s">
        <v>18</v>
      </c>
      <c r="D2018" s="4">
        <v>10</v>
      </c>
      <c r="E2018" s="4" t="s">
        <v>745</v>
      </c>
      <c r="F2018" t="s">
        <v>186</v>
      </c>
      <c r="G2018" t="s">
        <v>85</v>
      </c>
      <c r="H2018" s="4" t="s">
        <v>88</v>
      </c>
      <c r="I2018" s="4" t="s">
        <v>20</v>
      </c>
      <c r="J2018" s="4" t="s">
        <v>88</v>
      </c>
      <c r="K2018" s="4" t="s">
        <v>20</v>
      </c>
      <c r="L2018" s="4" t="s">
        <v>742</v>
      </c>
      <c r="M2018" s="17">
        <v>30</v>
      </c>
      <c r="N2018" s="17">
        <v>696</v>
      </c>
      <c r="O2018" s="18" t="s">
        <v>88</v>
      </c>
      <c r="P2018" s="18">
        <v>696</v>
      </c>
      <c r="Q2018" s="18">
        <v>30</v>
      </c>
      <c r="R2018" s="18" t="s">
        <v>778</v>
      </c>
      <c r="S2018" s="18" t="s">
        <v>786</v>
      </c>
      <c r="T2018" s="18" t="s">
        <v>782</v>
      </c>
      <c r="U20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18" s="19">
        <f>IF(AUDITORIA[[#This Row],[CAT]]="",0,1)</f>
        <v>1</v>
      </c>
      <c r="W2018" s="20">
        <v>46232</v>
      </c>
      <c r="X2018" s="21" t="s">
        <v>906</v>
      </c>
      <c r="Y2018" s="24" t="s">
        <v>901</v>
      </c>
      <c r="Z2018" s="24" t="s">
        <v>902</v>
      </c>
      <c r="AA2018" s="24" t="s">
        <v>903</v>
      </c>
    </row>
    <row r="2019" spans="1:27" ht="14.4" hidden="1" customHeight="1" x14ac:dyDescent="0.3">
      <c r="A2019" s="4" t="s">
        <v>0</v>
      </c>
      <c r="B2019" s="4" t="s">
        <v>17</v>
      </c>
      <c r="C2019" s="16" t="s">
        <v>18</v>
      </c>
      <c r="D2019" s="4">
        <v>10</v>
      </c>
      <c r="E2019" s="4" t="s">
        <v>745</v>
      </c>
      <c r="F2019" t="s">
        <v>183</v>
      </c>
      <c r="G2019" t="s">
        <v>85</v>
      </c>
      <c r="H2019" s="4" t="s">
        <v>88</v>
      </c>
      <c r="I2019" s="4" t="s">
        <v>21</v>
      </c>
      <c r="J2019" s="4" t="s">
        <v>88</v>
      </c>
      <c r="K2019" s="4" t="s">
        <v>21</v>
      </c>
      <c r="L2019" s="4" t="s">
        <v>742</v>
      </c>
      <c r="M2019" s="17">
        <v>30</v>
      </c>
      <c r="N2019" s="17">
        <v>868</v>
      </c>
      <c r="O2019" s="18" t="s">
        <v>88</v>
      </c>
      <c r="P2019" s="18">
        <v>868</v>
      </c>
      <c r="Q2019" s="18">
        <v>30</v>
      </c>
      <c r="R2019" s="18" t="s">
        <v>778</v>
      </c>
      <c r="S2019" s="28" t="s">
        <v>798</v>
      </c>
      <c r="T2019" s="28" t="s">
        <v>780</v>
      </c>
      <c r="U20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19" s="19">
        <f>IF(AUDITORIA[[#This Row],[CAT]]="",0,1)</f>
        <v>1</v>
      </c>
      <c r="W2019" s="20">
        <v>46232</v>
      </c>
      <c r="X2019" s="21" t="s">
        <v>906</v>
      </c>
      <c r="Y2019" s="24" t="s">
        <v>901</v>
      </c>
      <c r="Z2019" s="24" t="s">
        <v>902</v>
      </c>
      <c r="AA2019" s="24" t="s">
        <v>903</v>
      </c>
    </row>
    <row r="2020" spans="1:27" ht="14.4" hidden="1" customHeight="1" x14ac:dyDescent="0.3">
      <c r="A2020" s="4" t="s">
        <v>0</v>
      </c>
      <c r="B2020" s="4" t="s">
        <v>17</v>
      </c>
      <c r="C2020" s="16" t="s">
        <v>18</v>
      </c>
      <c r="D2020" s="4">
        <v>10</v>
      </c>
      <c r="E2020" s="4" t="s">
        <v>745</v>
      </c>
      <c r="F2020" t="s">
        <v>181</v>
      </c>
      <c r="G2020" t="s">
        <v>85</v>
      </c>
      <c r="H2020" s="4" t="s">
        <v>88</v>
      </c>
      <c r="I2020" s="4" t="s">
        <v>21</v>
      </c>
      <c r="J2020" s="4" t="s">
        <v>88</v>
      </c>
      <c r="K2020" s="4" t="s">
        <v>21</v>
      </c>
      <c r="L2020" s="4" t="s">
        <v>742</v>
      </c>
      <c r="M2020" s="17">
        <v>30</v>
      </c>
      <c r="N2020" s="17">
        <v>862</v>
      </c>
      <c r="O2020" s="18" t="s">
        <v>88</v>
      </c>
      <c r="P2020" s="18">
        <v>862</v>
      </c>
      <c r="Q2020" s="18">
        <v>30</v>
      </c>
      <c r="R2020" s="18" t="s">
        <v>778</v>
      </c>
      <c r="S2020" s="28" t="s">
        <v>798</v>
      </c>
      <c r="T2020" s="28" t="s">
        <v>781</v>
      </c>
      <c r="U20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20" s="19">
        <f>IF(AUDITORIA[[#This Row],[CAT]]="",0,1)</f>
        <v>1</v>
      </c>
      <c r="W2020" s="20">
        <v>46232</v>
      </c>
      <c r="X2020" s="21" t="s">
        <v>906</v>
      </c>
      <c r="Y2020" s="24" t="s">
        <v>901</v>
      </c>
      <c r="Z2020" s="24" t="s">
        <v>902</v>
      </c>
      <c r="AA2020" s="24" t="s">
        <v>903</v>
      </c>
    </row>
    <row r="2021" spans="1:27" ht="14.4" hidden="1" customHeight="1" x14ac:dyDescent="0.3">
      <c r="A2021" s="4" t="s">
        <v>0</v>
      </c>
      <c r="B2021" s="4" t="s">
        <v>17</v>
      </c>
      <c r="C2021" s="16" t="s">
        <v>18</v>
      </c>
      <c r="D2021" s="4">
        <v>10</v>
      </c>
      <c r="E2021" s="4" t="s">
        <v>745</v>
      </c>
      <c r="F2021" t="s">
        <v>180</v>
      </c>
      <c r="G2021" t="s">
        <v>85</v>
      </c>
      <c r="H2021" s="4" t="s">
        <v>88</v>
      </c>
      <c r="I2021" s="4" t="s">
        <v>20</v>
      </c>
      <c r="J2021" s="4" t="s">
        <v>88</v>
      </c>
      <c r="K2021" s="4" t="s">
        <v>20</v>
      </c>
      <c r="L2021" s="4" t="s">
        <v>742</v>
      </c>
      <c r="M2021" s="17">
        <v>30</v>
      </c>
      <c r="N2021" s="17">
        <v>699</v>
      </c>
      <c r="O2021" s="18" t="s">
        <v>88</v>
      </c>
      <c r="P2021" s="18">
        <v>699</v>
      </c>
      <c r="Q2021" s="18">
        <v>30</v>
      </c>
      <c r="R2021" s="18" t="s">
        <v>778</v>
      </c>
      <c r="S2021" s="18" t="s">
        <v>799</v>
      </c>
      <c r="T2021" s="18" t="s">
        <v>781</v>
      </c>
      <c r="U20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21" s="19">
        <f>IF(AUDITORIA[[#This Row],[CAT]]="",0,1)</f>
        <v>1</v>
      </c>
      <c r="W2021" s="20">
        <v>46232</v>
      </c>
      <c r="X2021" s="21" t="s">
        <v>906</v>
      </c>
      <c r="Y2021" s="24" t="s">
        <v>901</v>
      </c>
      <c r="Z2021" s="24" t="s">
        <v>902</v>
      </c>
      <c r="AA2021" s="24" t="s">
        <v>903</v>
      </c>
    </row>
    <row r="2022" spans="1:27" ht="14.4" hidden="1" customHeight="1" x14ac:dyDescent="0.3">
      <c r="A2022" s="4" t="s">
        <v>0</v>
      </c>
      <c r="B2022" s="4" t="s">
        <v>17</v>
      </c>
      <c r="C2022" s="16" t="s">
        <v>18</v>
      </c>
      <c r="D2022" s="4">
        <v>10</v>
      </c>
      <c r="E2022" s="4" t="s">
        <v>745</v>
      </c>
      <c r="F2022" t="s">
        <v>179</v>
      </c>
      <c r="G2022" t="s">
        <v>85</v>
      </c>
      <c r="H2022" s="4" t="s">
        <v>88</v>
      </c>
      <c r="I2022" s="4" t="s">
        <v>21</v>
      </c>
      <c r="J2022" s="4" t="s">
        <v>88</v>
      </c>
      <c r="K2022" s="4" t="s">
        <v>21</v>
      </c>
      <c r="L2022" s="4" t="s">
        <v>742</v>
      </c>
      <c r="M2022" s="17">
        <v>30</v>
      </c>
      <c r="N2022" s="17">
        <v>896</v>
      </c>
      <c r="O2022" s="18" t="s">
        <v>88</v>
      </c>
      <c r="P2022" s="18">
        <v>896</v>
      </c>
      <c r="Q2022" s="18">
        <v>30</v>
      </c>
      <c r="R2022" s="18" t="s">
        <v>778</v>
      </c>
      <c r="S2022" s="28" t="s">
        <v>914</v>
      </c>
      <c r="T2022" s="28" t="s">
        <v>794</v>
      </c>
      <c r="U20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22" s="19">
        <f>IF(AUDITORIA[[#This Row],[CAT]]="",0,1)</f>
        <v>1</v>
      </c>
      <c r="W2022" s="20">
        <v>46232</v>
      </c>
      <c r="X2022" s="21" t="s">
        <v>906</v>
      </c>
      <c r="Y2022" s="24" t="s">
        <v>901</v>
      </c>
      <c r="Z2022" s="24" t="s">
        <v>902</v>
      </c>
      <c r="AA2022" s="24" t="s">
        <v>903</v>
      </c>
    </row>
    <row r="2023" spans="1:27" ht="14.4" hidden="1" customHeight="1" x14ac:dyDescent="0.3">
      <c r="A2023" s="4" t="s">
        <v>0</v>
      </c>
      <c r="B2023" s="4" t="s">
        <v>17</v>
      </c>
      <c r="C2023" s="16" t="s">
        <v>18</v>
      </c>
      <c r="D2023" s="4">
        <v>10</v>
      </c>
      <c r="E2023" s="4" t="s">
        <v>745</v>
      </c>
      <c r="F2023" t="s">
        <v>178</v>
      </c>
      <c r="G2023" t="s">
        <v>85</v>
      </c>
      <c r="H2023" s="4" t="s">
        <v>88</v>
      </c>
      <c r="I2023" s="4" t="s">
        <v>20</v>
      </c>
      <c r="J2023" s="4" t="s">
        <v>88</v>
      </c>
      <c r="K2023" s="4" t="s">
        <v>20</v>
      </c>
      <c r="L2023" s="4" t="s">
        <v>742</v>
      </c>
      <c r="M2023" s="17">
        <v>30</v>
      </c>
      <c r="N2023" s="17">
        <v>712</v>
      </c>
      <c r="O2023" s="18" t="s">
        <v>88</v>
      </c>
      <c r="P2023" s="18">
        <v>712</v>
      </c>
      <c r="Q2023" s="18">
        <v>30</v>
      </c>
      <c r="R2023" s="18" t="s">
        <v>778</v>
      </c>
      <c r="S2023" s="28" t="s">
        <v>915</v>
      </c>
      <c r="T2023" s="28" t="s">
        <v>781</v>
      </c>
      <c r="U20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23" s="19">
        <f>IF(AUDITORIA[[#This Row],[CAT]]="",0,1)</f>
        <v>1</v>
      </c>
      <c r="W2023" s="20">
        <v>46232</v>
      </c>
      <c r="X2023" s="21" t="s">
        <v>906</v>
      </c>
      <c r="Y2023" s="24" t="s">
        <v>901</v>
      </c>
      <c r="Z2023" s="24" t="s">
        <v>902</v>
      </c>
      <c r="AA2023" s="24" t="s">
        <v>903</v>
      </c>
    </row>
    <row r="2024" spans="1:27" ht="14.4" hidden="1" customHeight="1" x14ac:dyDescent="0.3">
      <c r="A2024" s="4" t="s">
        <v>0</v>
      </c>
      <c r="B2024" s="4" t="s">
        <v>17</v>
      </c>
      <c r="C2024" s="16" t="s">
        <v>18</v>
      </c>
      <c r="D2024" s="4">
        <v>10</v>
      </c>
      <c r="E2024" s="4" t="s">
        <v>745</v>
      </c>
      <c r="F2024" t="s">
        <v>176</v>
      </c>
      <c r="G2024" t="s">
        <v>85</v>
      </c>
      <c r="H2024" s="4" t="s">
        <v>88</v>
      </c>
      <c r="I2024" s="4" t="s">
        <v>21</v>
      </c>
      <c r="J2024" s="4" t="s">
        <v>88</v>
      </c>
      <c r="K2024" s="4" t="s">
        <v>21</v>
      </c>
      <c r="L2024" s="4" t="s">
        <v>742</v>
      </c>
      <c r="M2024" s="17">
        <v>30</v>
      </c>
      <c r="N2024" s="17">
        <v>904</v>
      </c>
      <c r="O2024" s="18" t="s">
        <v>88</v>
      </c>
      <c r="P2024" s="18">
        <v>904</v>
      </c>
      <c r="Q2024" s="18">
        <v>30</v>
      </c>
      <c r="R2024" s="18" t="s">
        <v>778</v>
      </c>
      <c r="S2024" s="18" t="s">
        <v>826</v>
      </c>
      <c r="T2024" s="18" t="s">
        <v>782</v>
      </c>
      <c r="U20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24" s="19">
        <f>IF(AUDITORIA[[#This Row],[CAT]]="",0,1)</f>
        <v>1</v>
      </c>
      <c r="W2024" s="20">
        <v>46232</v>
      </c>
      <c r="X2024" s="21" t="s">
        <v>906</v>
      </c>
      <c r="Y2024" s="24" t="s">
        <v>901</v>
      </c>
      <c r="Z2024" s="24" t="s">
        <v>902</v>
      </c>
      <c r="AA2024" s="24" t="s">
        <v>903</v>
      </c>
    </row>
    <row r="2025" spans="1:27" ht="14.4" hidden="1" customHeight="1" x14ac:dyDescent="0.3">
      <c r="A2025" s="4" t="s">
        <v>0</v>
      </c>
      <c r="B2025" s="4" t="s">
        <v>17</v>
      </c>
      <c r="C2025" s="16" t="s">
        <v>18</v>
      </c>
      <c r="D2025" s="4">
        <v>10</v>
      </c>
      <c r="E2025" s="4" t="s">
        <v>745</v>
      </c>
      <c r="F2025" t="s">
        <v>177</v>
      </c>
      <c r="G2025" t="s">
        <v>85</v>
      </c>
      <c r="H2025" s="4" t="s">
        <v>88</v>
      </c>
      <c r="I2025" s="4" t="s">
        <v>20</v>
      </c>
      <c r="J2025" s="4" t="s">
        <v>88</v>
      </c>
      <c r="K2025" s="4" t="s">
        <v>20</v>
      </c>
      <c r="L2025" s="4" t="s">
        <v>742</v>
      </c>
      <c r="M2025" s="17">
        <v>30</v>
      </c>
      <c r="N2025" s="17">
        <v>712</v>
      </c>
      <c r="O2025" s="18" t="s">
        <v>88</v>
      </c>
      <c r="P2025" s="18">
        <v>712</v>
      </c>
      <c r="Q2025" s="18">
        <v>30</v>
      </c>
      <c r="R2025" s="18" t="str">
        <f>VLOOKUP(AUDITORIA[[#This Row],[LOTE]],[1]ENDEREÇAMENTO!$C$2:$J$9999,8,FALSE)</f>
        <v>Cam.B</v>
      </c>
      <c r="S2025" s="18" t="str">
        <f>VLOOKUP(RIGHT(AUDITORIA[[#This Row],[LOTE]],4),[2]Lotes!$A$2:$E$209,2,FALSE)</f>
        <v>QD.03</v>
      </c>
      <c r="T2025" s="18" t="str">
        <f>VLOOKUP(RIGHT(AUDITORIA[[#This Row],[LOTE]],4),[2]Lotes!$A$2:$E$209,4,FALSE)</f>
        <v>F3</v>
      </c>
      <c r="U20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25" s="19">
        <f>IF(AUDITORIA[[#This Row],[CAT]]="",0,1)</f>
        <v>1</v>
      </c>
      <c r="W2025" s="20">
        <v>46232</v>
      </c>
      <c r="X2025" s="21" t="s">
        <v>906</v>
      </c>
      <c r="Y2025" s="24" t="s">
        <v>901</v>
      </c>
      <c r="Z2025" s="24" t="s">
        <v>902</v>
      </c>
      <c r="AA2025" s="24" t="s">
        <v>903</v>
      </c>
    </row>
    <row r="2026" spans="1:27" ht="14.4" hidden="1" customHeight="1" x14ac:dyDescent="0.3">
      <c r="A2026" s="4" t="s">
        <v>0</v>
      </c>
      <c r="B2026" s="4" t="s">
        <v>17</v>
      </c>
      <c r="C2026" s="16" t="s">
        <v>18</v>
      </c>
      <c r="D2026" s="4">
        <v>10</v>
      </c>
      <c r="E2026" s="4" t="s">
        <v>745</v>
      </c>
      <c r="F2026" t="s">
        <v>175</v>
      </c>
      <c r="G2026" t="s">
        <v>85</v>
      </c>
      <c r="H2026" s="4" t="s">
        <v>88</v>
      </c>
      <c r="I2026" s="4" t="s">
        <v>20</v>
      </c>
      <c r="J2026" s="4" t="s">
        <v>88</v>
      </c>
      <c r="K2026" s="4" t="s">
        <v>20</v>
      </c>
      <c r="L2026" s="4" t="s">
        <v>742</v>
      </c>
      <c r="M2026" s="17">
        <v>30</v>
      </c>
      <c r="N2026" s="17">
        <v>714</v>
      </c>
      <c r="O2026" s="18" t="s">
        <v>88</v>
      </c>
      <c r="P2026" s="18">
        <v>714</v>
      </c>
      <c r="Q2026" s="18">
        <v>30</v>
      </c>
      <c r="R2026" s="18" t="s">
        <v>778</v>
      </c>
      <c r="S2026" s="28" t="s">
        <v>797</v>
      </c>
      <c r="T2026" s="28" t="s">
        <v>909</v>
      </c>
      <c r="U20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26" s="19">
        <f>IF(AUDITORIA[[#This Row],[CAT]]="",0,1)</f>
        <v>1</v>
      </c>
      <c r="W2026" s="20">
        <v>46232</v>
      </c>
      <c r="X2026" s="21" t="s">
        <v>906</v>
      </c>
      <c r="Y2026" s="24" t="s">
        <v>901</v>
      </c>
      <c r="Z2026" s="24" t="s">
        <v>902</v>
      </c>
      <c r="AA2026" s="24" t="s">
        <v>903</v>
      </c>
    </row>
    <row r="2027" spans="1:27" ht="14.4" hidden="1" customHeight="1" x14ac:dyDescent="0.3">
      <c r="A2027" s="4" t="s">
        <v>0</v>
      </c>
      <c r="B2027" s="4" t="s">
        <v>17</v>
      </c>
      <c r="C2027" s="16" t="s">
        <v>18</v>
      </c>
      <c r="D2027" s="4">
        <v>10</v>
      </c>
      <c r="E2027" s="4" t="s">
        <v>745</v>
      </c>
      <c r="F2027" t="s">
        <v>174</v>
      </c>
      <c r="G2027" t="s">
        <v>85</v>
      </c>
      <c r="H2027" s="4" t="s">
        <v>88</v>
      </c>
      <c r="I2027" s="4" t="s">
        <v>21</v>
      </c>
      <c r="J2027" s="4" t="s">
        <v>88</v>
      </c>
      <c r="K2027" s="4" t="s">
        <v>21</v>
      </c>
      <c r="L2027" s="4" t="s">
        <v>742</v>
      </c>
      <c r="M2027" s="17">
        <v>30</v>
      </c>
      <c r="N2027" s="17">
        <v>882</v>
      </c>
      <c r="O2027" s="18" t="s">
        <v>88</v>
      </c>
      <c r="P2027" s="18">
        <v>882</v>
      </c>
      <c r="Q2027" s="18">
        <v>30</v>
      </c>
      <c r="R2027" s="18" t="s">
        <v>778</v>
      </c>
      <c r="S2027" s="28" t="s">
        <v>798</v>
      </c>
      <c r="T2027" s="28" t="s">
        <v>794</v>
      </c>
      <c r="U20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27" s="19">
        <f>IF(AUDITORIA[[#This Row],[CAT]]="",0,1)</f>
        <v>1</v>
      </c>
      <c r="W2027" s="20">
        <v>46232</v>
      </c>
      <c r="X2027" s="21" t="s">
        <v>906</v>
      </c>
      <c r="Y2027" s="24" t="s">
        <v>901</v>
      </c>
      <c r="Z2027" s="24" t="s">
        <v>902</v>
      </c>
      <c r="AA2027" s="24" t="s">
        <v>903</v>
      </c>
    </row>
    <row r="2028" spans="1:27" ht="14.4" hidden="1" customHeight="1" x14ac:dyDescent="0.3">
      <c r="A2028" s="4" t="s">
        <v>0</v>
      </c>
      <c r="B2028" s="4" t="s">
        <v>17</v>
      </c>
      <c r="C2028" s="16" t="s">
        <v>18</v>
      </c>
      <c r="D2028" s="4">
        <v>10</v>
      </c>
      <c r="E2028" s="4" t="s">
        <v>745</v>
      </c>
      <c r="F2028" t="s">
        <v>173</v>
      </c>
      <c r="G2028" t="s">
        <v>85</v>
      </c>
      <c r="H2028" s="4" t="s">
        <v>88</v>
      </c>
      <c r="I2028" s="4" t="s">
        <v>20</v>
      </c>
      <c r="J2028" s="4" t="s">
        <v>88</v>
      </c>
      <c r="K2028" s="4" t="s">
        <v>20</v>
      </c>
      <c r="L2028" s="4" t="s">
        <v>742</v>
      </c>
      <c r="M2028" s="17">
        <v>30</v>
      </c>
      <c r="N2028" s="17">
        <v>718</v>
      </c>
      <c r="O2028" s="18" t="s">
        <v>88</v>
      </c>
      <c r="P2028" s="18">
        <v>718</v>
      </c>
      <c r="Q2028" s="18">
        <v>30</v>
      </c>
      <c r="R2028" s="18" t="s">
        <v>778</v>
      </c>
      <c r="S2028" s="28" t="s">
        <v>917</v>
      </c>
      <c r="T2028" s="28" t="s">
        <v>782</v>
      </c>
      <c r="U20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28" s="19">
        <f>IF(AUDITORIA[[#This Row],[CAT]]="",0,1)</f>
        <v>1</v>
      </c>
      <c r="W2028" s="20">
        <v>46232</v>
      </c>
      <c r="X2028" s="21" t="s">
        <v>906</v>
      </c>
      <c r="Y2028" s="24" t="s">
        <v>901</v>
      </c>
      <c r="Z2028" s="24" t="s">
        <v>902</v>
      </c>
      <c r="AA2028" s="24" t="s">
        <v>903</v>
      </c>
    </row>
    <row r="2029" spans="1:27" ht="14.4" hidden="1" customHeight="1" x14ac:dyDescent="0.3">
      <c r="A2029" s="4" t="s">
        <v>0</v>
      </c>
      <c r="B2029" s="4" t="s">
        <v>17</v>
      </c>
      <c r="C2029" s="16" t="s">
        <v>18</v>
      </c>
      <c r="D2029" s="4">
        <v>10</v>
      </c>
      <c r="E2029" s="4" t="s">
        <v>745</v>
      </c>
      <c r="F2029" t="s">
        <v>172</v>
      </c>
      <c r="G2029" t="s">
        <v>85</v>
      </c>
      <c r="H2029" s="4" t="s">
        <v>88</v>
      </c>
      <c r="I2029" s="4" t="s">
        <v>21</v>
      </c>
      <c r="J2029" s="4" t="s">
        <v>88</v>
      </c>
      <c r="K2029" s="4" t="s">
        <v>21</v>
      </c>
      <c r="L2029" s="4" t="s">
        <v>742</v>
      </c>
      <c r="M2029" s="17">
        <v>30</v>
      </c>
      <c r="N2029" s="17">
        <v>882</v>
      </c>
      <c r="O2029" s="18" t="s">
        <v>88</v>
      </c>
      <c r="P2029" s="18">
        <v>882</v>
      </c>
      <c r="Q2029" s="18">
        <v>30</v>
      </c>
      <c r="R2029" s="18" t="s">
        <v>778</v>
      </c>
      <c r="S2029" s="18" t="s">
        <v>785</v>
      </c>
      <c r="T2029" s="18" t="s">
        <v>782</v>
      </c>
      <c r="U20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29" s="19">
        <f>IF(AUDITORIA[[#This Row],[CAT]]="",0,1)</f>
        <v>1</v>
      </c>
      <c r="W2029" s="20">
        <v>46232</v>
      </c>
      <c r="X2029" s="21" t="s">
        <v>906</v>
      </c>
      <c r="Y2029" s="24" t="s">
        <v>901</v>
      </c>
      <c r="Z2029" s="24" t="s">
        <v>902</v>
      </c>
      <c r="AA2029" s="24" t="s">
        <v>903</v>
      </c>
    </row>
    <row r="2030" spans="1:27" ht="14.4" hidden="1" customHeight="1" x14ac:dyDescent="0.3">
      <c r="A2030" s="4" t="s">
        <v>0</v>
      </c>
      <c r="B2030" s="4" t="s">
        <v>17</v>
      </c>
      <c r="C2030" s="16" t="s">
        <v>18</v>
      </c>
      <c r="D2030" s="4">
        <v>10</v>
      </c>
      <c r="E2030" s="4" t="s">
        <v>745</v>
      </c>
      <c r="F2030" t="s">
        <v>170</v>
      </c>
      <c r="G2030" t="s">
        <v>85</v>
      </c>
      <c r="H2030" s="4" t="s">
        <v>88</v>
      </c>
      <c r="I2030" s="4" t="s">
        <v>20</v>
      </c>
      <c r="J2030" s="4" t="s">
        <v>88</v>
      </c>
      <c r="K2030" s="4" t="s">
        <v>20</v>
      </c>
      <c r="L2030" s="4" t="s">
        <v>742</v>
      </c>
      <c r="M2030" s="17">
        <v>30</v>
      </c>
      <c r="N2030" s="17">
        <v>721</v>
      </c>
      <c r="O2030" s="18" t="s">
        <v>88</v>
      </c>
      <c r="P2030" s="18">
        <v>721</v>
      </c>
      <c r="Q2030" s="18">
        <v>30</v>
      </c>
      <c r="R2030" s="18" t="s">
        <v>778</v>
      </c>
      <c r="S2030" s="28" t="s">
        <v>917</v>
      </c>
      <c r="T2030" s="28" t="s">
        <v>781</v>
      </c>
      <c r="U20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30" s="19">
        <f>IF(AUDITORIA[[#This Row],[CAT]]="",0,1)</f>
        <v>1</v>
      </c>
      <c r="W2030" s="20">
        <v>46232</v>
      </c>
      <c r="X2030" s="21" t="s">
        <v>906</v>
      </c>
      <c r="Y2030" s="24" t="s">
        <v>901</v>
      </c>
      <c r="Z2030" s="24" t="s">
        <v>902</v>
      </c>
      <c r="AA2030" s="24" t="s">
        <v>903</v>
      </c>
    </row>
    <row r="2031" spans="1:27" ht="14.4" hidden="1" customHeight="1" x14ac:dyDescent="0.3">
      <c r="A2031" s="4" t="s">
        <v>0</v>
      </c>
      <c r="B2031" s="4" t="s">
        <v>17</v>
      </c>
      <c r="C2031" s="16" t="s">
        <v>18</v>
      </c>
      <c r="D2031" s="4">
        <v>10</v>
      </c>
      <c r="E2031" s="4" t="s">
        <v>745</v>
      </c>
      <c r="F2031" t="s">
        <v>171</v>
      </c>
      <c r="G2031" t="s">
        <v>85</v>
      </c>
      <c r="H2031" s="4" t="s">
        <v>88</v>
      </c>
      <c r="I2031" s="4" t="s">
        <v>21</v>
      </c>
      <c r="J2031" s="4" t="s">
        <v>88</v>
      </c>
      <c r="K2031" s="4" t="s">
        <v>21</v>
      </c>
      <c r="L2031" s="4" t="s">
        <v>742</v>
      </c>
      <c r="M2031" s="17">
        <v>30</v>
      </c>
      <c r="N2031" s="17">
        <v>904</v>
      </c>
      <c r="O2031" s="18" t="s">
        <v>88</v>
      </c>
      <c r="P2031" s="18">
        <v>904</v>
      </c>
      <c r="Q2031" s="18">
        <v>30</v>
      </c>
      <c r="R2031" s="18" t="s">
        <v>778</v>
      </c>
      <c r="S2031" s="18" t="s">
        <v>787</v>
      </c>
      <c r="T2031" s="18" t="s">
        <v>782</v>
      </c>
      <c r="U20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31" s="19">
        <f>IF(AUDITORIA[[#This Row],[CAT]]="",0,1)</f>
        <v>1</v>
      </c>
      <c r="W2031" s="20">
        <v>46232</v>
      </c>
      <c r="X2031" s="21" t="s">
        <v>906</v>
      </c>
      <c r="Y2031" s="24" t="s">
        <v>901</v>
      </c>
      <c r="Z2031" s="24" t="s">
        <v>902</v>
      </c>
      <c r="AA2031" s="24" t="s">
        <v>903</v>
      </c>
    </row>
    <row r="2032" spans="1:27" ht="14.4" hidden="1" customHeight="1" x14ac:dyDescent="0.3">
      <c r="A2032" s="4" t="s">
        <v>0</v>
      </c>
      <c r="B2032" s="4" t="s">
        <v>17</v>
      </c>
      <c r="C2032" s="16" t="s">
        <v>18</v>
      </c>
      <c r="D2032" s="4">
        <v>10</v>
      </c>
      <c r="E2032" s="4" t="s">
        <v>745</v>
      </c>
      <c r="F2032" t="s">
        <v>169</v>
      </c>
      <c r="G2032" t="s">
        <v>85</v>
      </c>
      <c r="H2032" s="4" t="s">
        <v>88</v>
      </c>
      <c r="I2032" s="4" t="s">
        <v>20</v>
      </c>
      <c r="J2032" s="4" t="s">
        <v>88</v>
      </c>
      <c r="K2032" s="4" t="s">
        <v>20</v>
      </c>
      <c r="L2032" s="4" t="s">
        <v>742</v>
      </c>
      <c r="M2032" s="17">
        <v>30</v>
      </c>
      <c r="N2032" s="17">
        <v>718</v>
      </c>
      <c r="O2032" s="18" t="s">
        <v>88</v>
      </c>
      <c r="P2032" s="18">
        <v>718</v>
      </c>
      <c r="Q2032" s="18">
        <v>30</v>
      </c>
      <c r="R2032" s="18" t="s">
        <v>778</v>
      </c>
      <c r="S2032" s="28" t="s">
        <v>796</v>
      </c>
      <c r="T2032" s="28" t="s">
        <v>913</v>
      </c>
      <c r="U20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32" s="19">
        <f>IF(AUDITORIA[[#This Row],[CAT]]="",0,1)</f>
        <v>1</v>
      </c>
      <c r="W2032" s="20">
        <v>46232</v>
      </c>
      <c r="X2032" s="21" t="s">
        <v>906</v>
      </c>
      <c r="Y2032" s="24" t="s">
        <v>901</v>
      </c>
      <c r="Z2032" s="24" t="s">
        <v>902</v>
      </c>
      <c r="AA2032" s="24" t="s">
        <v>903</v>
      </c>
    </row>
    <row r="2033" spans="1:27" ht="14.4" hidden="1" customHeight="1" x14ac:dyDescent="0.3">
      <c r="A2033" s="4" t="s">
        <v>0</v>
      </c>
      <c r="B2033" s="4" t="s">
        <v>17</v>
      </c>
      <c r="C2033" s="16" t="s">
        <v>18</v>
      </c>
      <c r="D2033" s="4">
        <v>10</v>
      </c>
      <c r="E2033" s="4" t="s">
        <v>745</v>
      </c>
      <c r="F2033" t="s">
        <v>168</v>
      </c>
      <c r="G2033" t="s">
        <v>85</v>
      </c>
      <c r="H2033" s="4" t="s">
        <v>88</v>
      </c>
      <c r="I2033" s="4" t="s">
        <v>21</v>
      </c>
      <c r="J2033" s="4" t="s">
        <v>88</v>
      </c>
      <c r="K2033" s="4" t="s">
        <v>21</v>
      </c>
      <c r="L2033" s="4" t="s">
        <v>742</v>
      </c>
      <c r="M2033" s="17">
        <v>30</v>
      </c>
      <c r="N2033" s="17">
        <v>897</v>
      </c>
      <c r="O2033" s="18" t="s">
        <v>88</v>
      </c>
      <c r="P2033" s="18">
        <v>897</v>
      </c>
      <c r="Q2033" s="18">
        <v>30</v>
      </c>
      <c r="R2033" s="18" t="s">
        <v>778</v>
      </c>
      <c r="S2033" s="18" t="s">
        <v>787</v>
      </c>
      <c r="T2033" s="18" t="s">
        <v>781</v>
      </c>
      <c r="U20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33" s="19">
        <f>IF(AUDITORIA[[#This Row],[CAT]]="",0,1)</f>
        <v>1</v>
      </c>
      <c r="W2033" s="20">
        <v>46232</v>
      </c>
      <c r="X2033" s="21" t="s">
        <v>906</v>
      </c>
      <c r="Y2033" s="24" t="s">
        <v>901</v>
      </c>
      <c r="Z2033" s="24" t="s">
        <v>902</v>
      </c>
      <c r="AA2033" s="24" t="s">
        <v>903</v>
      </c>
    </row>
    <row r="2034" spans="1:27" ht="14.4" hidden="1" customHeight="1" x14ac:dyDescent="0.3">
      <c r="A2034" s="4" t="s">
        <v>0</v>
      </c>
      <c r="B2034" s="4" t="s">
        <v>17</v>
      </c>
      <c r="C2034" s="16" t="s">
        <v>18</v>
      </c>
      <c r="D2034" s="4">
        <v>10</v>
      </c>
      <c r="E2034" s="4" t="s">
        <v>745</v>
      </c>
      <c r="F2034" t="s">
        <v>167</v>
      </c>
      <c r="G2034" t="s">
        <v>85</v>
      </c>
      <c r="H2034" s="4" t="s">
        <v>88</v>
      </c>
      <c r="I2034" s="4" t="s">
        <v>20</v>
      </c>
      <c r="J2034" s="4" t="s">
        <v>88</v>
      </c>
      <c r="K2034" s="4" t="s">
        <v>20</v>
      </c>
      <c r="L2034" s="4" t="s">
        <v>742</v>
      </c>
      <c r="M2034" s="17">
        <v>30</v>
      </c>
      <c r="N2034" s="17">
        <v>721</v>
      </c>
      <c r="O2034" s="18" t="s">
        <v>88</v>
      </c>
      <c r="P2034" s="18">
        <v>721</v>
      </c>
      <c r="Q2034" s="18">
        <v>30</v>
      </c>
      <c r="R2034" s="18" t="s">
        <v>778</v>
      </c>
      <c r="S2034" s="18" t="s">
        <v>795</v>
      </c>
      <c r="T2034" s="18" t="s">
        <v>780</v>
      </c>
      <c r="U20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34" s="19">
        <f>IF(AUDITORIA[[#This Row],[CAT]]="",0,1)</f>
        <v>1</v>
      </c>
      <c r="W2034" s="20">
        <v>46232</v>
      </c>
      <c r="X2034" s="21" t="s">
        <v>906</v>
      </c>
      <c r="Y2034" s="24" t="s">
        <v>901</v>
      </c>
      <c r="Z2034" s="24" t="s">
        <v>902</v>
      </c>
      <c r="AA2034" s="24" t="s">
        <v>903</v>
      </c>
    </row>
    <row r="2035" spans="1:27" ht="14.4" hidden="1" customHeight="1" x14ac:dyDescent="0.3">
      <c r="A2035" s="4" t="s">
        <v>0</v>
      </c>
      <c r="B2035" s="4" t="s">
        <v>17</v>
      </c>
      <c r="C2035" s="16" t="s">
        <v>18</v>
      </c>
      <c r="D2035" s="4">
        <v>10</v>
      </c>
      <c r="E2035" s="4" t="s">
        <v>745</v>
      </c>
      <c r="F2035" t="s">
        <v>166</v>
      </c>
      <c r="G2035" t="s">
        <v>85</v>
      </c>
      <c r="H2035" s="4" t="s">
        <v>88</v>
      </c>
      <c r="I2035" s="4" t="s">
        <v>21</v>
      </c>
      <c r="J2035" s="4" t="s">
        <v>88</v>
      </c>
      <c r="K2035" s="4" t="s">
        <v>21</v>
      </c>
      <c r="L2035" s="4" t="s">
        <v>742</v>
      </c>
      <c r="M2035" s="17">
        <v>30</v>
      </c>
      <c r="N2035" s="17">
        <v>876</v>
      </c>
      <c r="O2035" s="18" t="s">
        <v>88</v>
      </c>
      <c r="P2035" s="18">
        <v>876</v>
      </c>
      <c r="Q2035" s="18">
        <v>30</v>
      </c>
      <c r="R2035" s="18" t="s">
        <v>778</v>
      </c>
      <c r="S2035" s="28" t="s">
        <v>784</v>
      </c>
      <c r="T2035" s="28" t="s">
        <v>909</v>
      </c>
      <c r="U20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35" s="19">
        <f>IF(AUDITORIA[[#This Row],[CAT]]="",0,1)</f>
        <v>1</v>
      </c>
      <c r="W2035" s="20">
        <v>46232</v>
      </c>
      <c r="X2035" s="21" t="s">
        <v>906</v>
      </c>
      <c r="Y2035" s="24" t="s">
        <v>901</v>
      </c>
      <c r="Z2035" s="24" t="s">
        <v>902</v>
      </c>
      <c r="AA2035" s="24" t="s">
        <v>903</v>
      </c>
    </row>
    <row r="2036" spans="1:27" ht="14.4" hidden="1" customHeight="1" x14ac:dyDescent="0.3">
      <c r="A2036" s="4" t="s">
        <v>0</v>
      </c>
      <c r="B2036" s="4" t="s">
        <v>17</v>
      </c>
      <c r="C2036" s="16" t="s">
        <v>18</v>
      </c>
      <c r="D2036" s="4">
        <v>10</v>
      </c>
      <c r="E2036" s="4" t="s">
        <v>745</v>
      </c>
      <c r="F2036" t="s">
        <v>165</v>
      </c>
      <c r="G2036" t="s">
        <v>85</v>
      </c>
      <c r="H2036" s="4" t="s">
        <v>88</v>
      </c>
      <c r="I2036" s="4" t="s">
        <v>20</v>
      </c>
      <c r="J2036" s="4" t="s">
        <v>88</v>
      </c>
      <c r="K2036" s="4" t="s">
        <v>20</v>
      </c>
      <c r="L2036" s="4" t="s">
        <v>742</v>
      </c>
      <c r="M2036" s="17">
        <v>30</v>
      </c>
      <c r="N2036" s="17">
        <v>728</v>
      </c>
      <c r="O2036" s="18" t="s">
        <v>88</v>
      </c>
      <c r="P2036" s="18">
        <v>728</v>
      </c>
      <c r="Q2036" s="18">
        <v>30</v>
      </c>
      <c r="R2036" s="18" t="s">
        <v>778</v>
      </c>
      <c r="S2036" s="18" t="s">
        <v>795</v>
      </c>
      <c r="T2036" s="18" t="s">
        <v>781</v>
      </c>
      <c r="U20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36" s="19">
        <f>IF(AUDITORIA[[#This Row],[CAT]]="",0,1)</f>
        <v>1</v>
      </c>
      <c r="W2036" s="20">
        <v>46232</v>
      </c>
      <c r="X2036" s="21" t="s">
        <v>906</v>
      </c>
      <c r="Y2036" s="24" t="s">
        <v>901</v>
      </c>
      <c r="Z2036" s="24" t="s">
        <v>902</v>
      </c>
      <c r="AA2036" s="24" t="s">
        <v>903</v>
      </c>
    </row>
    <row r="2037" spans="1:27" ht="14.4" hidden="1" customHeight="1" x14ac:dyDescent="0.3">
      <c r="A2037" s="4" t="s">
        <v>0</v>
      </c>
      <c r="B2037" s="4" t="s">
        <v>17</v>
      </c>
      <c r="C2037" s="16" t="s">
        <v>18</v>
      </c>
      <c r="D2037" s="4">
        <v>10</v>
      </c>
      <c r="E2037" s="4" t="s">
        <v>745</v>
      </c>
      <c r="F2037" t="s">
        <v>163</v>
      </c>
      <c r="G2037" t="s">
        <v>85</v>
      </c>
      <c r="H2037" s="4" t="s">
        <v>88</v>
      </c>
      <c r="I2037" s="4" t="s">
        <v>21</v>
      </c>
      <c r="J2037" s="4" t="s">
        <v>88</v>
      </c>
      <c r="K2037" s="4" t="s">
        <v>21</v>
      </c>
      <c r="L2037" s="4" t="s">
        <v>742</v>
      </c>
      <c r="M2037" s="17">
        <v>30</v>
      </c>
      <c r="N2037" s="17">
        <v>866</v>
      </c>
      <c r="O2037" s="18" t="s">
        <v>88</v>
      </c>
      <c r="P2037" s="18">
        <v>866</v>
      </c>
      <c r="Q2037" s="18">
        <v>30</v>
      </c>
      <c r="R2037" s="18" t="s">
        <v>778</v>
      </c>
      <c r="S2037" s="28" t="s">
        <v>919</v>
      </c>
      <c r="T2037" s="28" t="s">
        <v>781</v>
      </c>
      <c r="U20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37" s="19">
        <f>IF(AUDITORIA[[#This Row],[CAT]]="",0,1)</f>
        <v>1</v>
      </c>
      <c r="W2037" s="20">
        <v>46232</v>
      </c>
      <c r="X2037" s="21" t="s">
        <v>906</v>
      </c>
      <c r="Y2037" s="24" t="s">
        <v>901</v>
      </c>
      <c r="Z2037" s="24" t="s">
        <v>902</v>
      </c>
      <c r="AA2037" s="24" t="s">
        <v>903</v>
      </c>
    </row>
    <row r="2038" spans="1:27" ht="14.4" hidden="1" customHeight="1" x14ac:dyDescent="0.3">
      <c r="A2038" s="4" t="s">
        <v>0</v>
      </c>
      <c r="B2038" s="4" t="s">
        <v>17</v>
      </c>
      <c r="C2038" s="16" t="s">
        <v>18</v>
      </c>
      <c r="D2038" s="4">
        <v>10</v>
      </c>
      <c r="E2038" s="4" t="s">
        <v>745</v>
      </c>
      <c r="F2038" t="s">
        <v>164</v>
      </c>
      <c r="G2038" t="s">
        <v>85</v>
      </c>
      <c r="H2038" s="4" t="s">
        <v>88</v>
      </c>
      <c r="I2038" s="4" t="s">
        <v>20</v>
      </c>
      <c r="J2038" s="4" t="s">
        <v>88</v>
      </c>
      <c r="K2038" s="4" t="s">
        <v>20</v>
      </c>
      <c r="L2038" s="4" t="s">
        <v>742</v>
      </c>
      <c r="M2038" s="17">
        <v>30</v>
      </c>
      <c r="N2038" s="17">
        <v>710</v>
      </c>
      <c r="O2038" s="18" t="s">
        <v>88</v>
      </c>
      <c r="P2038" s="18">
        <v>710</v>
      </c>
      <c r="Q2038" s="18">
        <v>30</v>
      </c>
      <c r="R2038" s="18" t="s">
        <v>778</v>
      </c>
      <c r="S2038" s="28" t="s">
        <v>918</v>
      </c>
      <c r="T2038" s="28" t="s">
        <v>782</v>
      </c>
      <c r="U20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38" s="19">
        <f>IF(AUDITORIA[[#This Row],[CAT]]="",0,1)</f>
        <v>1</v>
      </c>
      <c r="W2038" s="20">
        <v>46232</v>
      </c>
      <c r="X2038" s="21" t="s">
        <v>906</v>
      </c>
      <c r="Y2038" s="24" t="s">
        <v>901</v>
      </c>
      <c r="Z2038" s="24" t="s">
        <v>902</v>
      </c>
      <c r="AA2038" s="24" t="s">
        <v>903</v>
      </c>
    </row>
    <row r="2039" spans="1:27" ht="14.4" hidden="1" customHeight="1" x14ac:dyDescent="0.3">
      <c r="A2039" s="4" t="s">
        <v>0</v>
      </c>
      <c r="B2039" s="4" t="s">
        <v>17</v>
      </c>
      <c r="C2039" s="16" t="s">
        <v>18</v>
      </c>
      <c r="D2039" s="4">
        <v>10</v>
      </c>
      <c r="E2039" s="4" t="s">
        <v>745</v>
      </c>
      <c r="F2039" t="s">
        <v>162</v>
      </c>
      <c r="G2039" t="s">
        <v>85</v>
      </c>
      <c r="H2039" s="4" t="s">
        <v>88</v>
      </c>
      <c r="I2039" s="4" t="s">
        <v>20</v>
      </c>
      <c r="J2039" s="4" t="s">
        <v>88</v>
      </c>
      <c r="K2039" s="4" t="s">
        <v>20</v>
      </c>
      <c r="L2039" s="4" t="s">
        <v>742</v>
      </c>
      <c r="M2039" s="17">
        <v>30</v>
      </c>
      <c r="N2039" s="17">
        <v>715</v>
      </c>
      <c r="O2039" s="18" t="s">
        <v>88</v>
      </c>
      <c r="P2039" s="18">
        <v>715</v>
      </c>
      <c r="Q2039" s="18">
        <v>30</v>
      </c>
      <c r="R2039" s="18" t="s">
        <v>778</v>
      </c>
      <c r="S2039" s="28" t="s">
        <v>918</v>
      </c>
      <c r="T2039" s="28" t="s">
        <v>794</v>
      </c>
      <c r="U20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39" s="19">
        <f>IF(AUDITORIA[[#This Row],[CAT]]="",0,1)</f>
        <v>1</v>
      </c>
      <c r="W2039" s="20">
        <v>46232</v>
      </c>
      <c r="X2039" s="21" t="s">
        <v>906</v>
      </c>
      <c r="Y2039" s="24" t="s">
        <v>901</v>
      </c>
      <c r="Z2039" s="24" t="s">
        <v>902</v>
      </c>
      <c r="AA2039" s="24" t="s">
        <v>903</v>
      </c>
    </row>
    <row r="2040" spans="1:27" ht="14.4" hidden="1" customHeight="1" x14ac:dyDescent="0.3">
      <c r="A2040" s="4" t="s">
        <v>0</v>
      </c>
      <c r="B2040" s="4" t="s">
        <v>17</v>
      </c>
      <c r="C2040" s="16" t="s">
        <v>18</v>
      </c>
      <c r="D2040" s="4">
        <v>10</v>
      </c>
      <c r="E2040" s="4" t="s">
        <v>745</v>
      </c>
      <c r="F2040" t="s">
        <v>161</v>
      </c>
      <c r="G2040" t="s">
        <v>85</v>
      </c>
      <c r="H2040" s="4" t="s">
        <v>88</v>
      </c>
      <c r="I2040" s="4" t="s">
        <v>21</v>
      </c>
      <c r="J2040" s="4" t="s">
        <v>88</v>
      </c>
      <c r="K2040" s="4" t="s">
        <v>21</v>
      </c>
      <c r="L2040" s="4" t="s">
        <v>742</v>
      </c>
      <c r="M2040" s="17">
        <v>30</v>
      </c>
      <c r="N2040" s="17">
        <v>876</v>
      </c>
      <c r="O2040" s="18" t="s">
        <v>88</v>
      </c>
      <c r="P2040" s="18">
        <v>876</v>
      </c>
      <c r="Q2040" s="18">
        <v>30</v>
      </c>
      <c r="R2040" s="18" t="s">
        <v>778</v>
      </c>
      <c r="S2040" s="28" t="s">
        <v>919</v>
      </c>
      <c r="T2040" s="28" t="s">
        <v>782</v>
      </c>
      <c r="U20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40" s="19">
        <f>IF(AUDITORIA[[#This Row],[CAT]]="",0,1)</f>
        <v>1</v>
      </c>
      <c r="W2040" s="20">
        <v>46232</v>
      </c>
      <c r="X2040" s="21" t="s">
        <v>906</v>
      </c>
      <c r="Y2040" s="24" t="s">
        <v>901</v>
      </c>
      <c r="Z2040" s="24" t="s">
        <v>902</v>
      </c>
      <c r="AA2040" s="24" t="s">
        <v>903</v>
      </c>
    </row>
    <row r="2041" spans="1:27" ht="14.4" hidden="1" customHeight="1" x14ac:dyDescent="0.3">
      <c r="A2041" s="4" t="s">
        <v>0</v>
      </c>
      <c r="B2041" s="4" t="s">
        <v>17</v>
      </c>
      <c r="C2041" s="16" t="s">
        <v>18</v>
      </c>
      <c r="D2041" s="4">
        <v>10</v>
      </c>
      <c r="E2041" s="4" t="s">
        <v>745</v>
      </c>
      <c r="F2041" t="s">
        <v>160</v>
      </c>
      <c r="G2041" t="s">
        <v>85</v>
      </c>
      <c r="H2041" s="4" t="s">
        <v>88</v>
      </c>
      <c r="I2041" s="4" t="s">
        <v>20</v>
      </c>
      <c r="J2041" s="4" t="s">
        <v>88</v>
      </c>
      <c r="K2041" s="4" t="s">
        <v>20</v>
      </c>
      <c r="L2041" s="4" t="s">
        <v>742</v>
      </c>
      <c r="M2041" s="17">
        <v>30</v>
      </c>
      <c r="N2041" s="17">
        <v>709</v>
      </c>
      <c r="O2041" s="18" t="s">
        <v>88</v>
      </c>
      <c r="P2041" s="18">
        <v>709</v>
      </c>
      <c r="Q2041" s="18">
        <v>30</v>
      </c>
      <c r="R2041" s="18" t="s">
        <v>778</v>
      </c>
      <c r="S2041" s="28" t="s">
        <v>793</v>
      </c>
      <c r="T2041" s="28" t="s">
        <v>913</v>
      </c>
      <c r="U20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41" s="19">
        <f>IF(AUDITORIA[[#This Row],[CAT]]="",0,1)</f>
        <v>1</v>
      </c>
      <c r="W2041" s="20">
        <v>46232</v>
      </c>
      <c r="X2041" s="21" t="s">
        <v>906</v>
      </c>
      <c r="Y2041" s="24" t="s">
        <v>901</v>
      </c>
      <c r="Z2041" s="24" t="s">
        <v>902</v>
      </c>
      <c r="AA2041" s="24" t="s">
        <v>903</v>
      </c>
    </row>
    <row r="2042" spans="1:27" ht="14.4" hidden="1" customHeight="1" x14ac:dyDescent="0.3">
      <c r="A2042" s="4" t="s">
        <v>0</v>
      </c>
      <c r="B2042" s="4" t="s">
        <v>17</v>
      </c>
      <c r="C2042" s="16" t="s">
        <v>18</v>
      </c>
      <c r="D2042" s="4">
        <v>10</v>
      </c>
      <c r="E2042" s="4" t="s">
        <v>745</v>
      </c>
      <c r="F2042" t="s">
        <v>158</v>
      </c>
      <c r="G2042" t="s">
        <v>85</v>
      </c>
      <c r="H2042" s="4" t="s">
        <v>88</v>
      </c>
      <c r="I2042" s="4" t="s">
        <v>21</v>
      </c>
      <c r="J2042" s="4" t="s">
        <v>88</v>
      </c>
      <c r="K2042" s="4" t="s">
        <v>21</v>
      </c>
      <c r="L2042" s="4" t="s">
        <v>742</v>
      </c>
      <c r="M2042" s="17">
        <v>30</v>
      </c>
      <c r="N2042" s="17">
        <v>884</v>
      </c>
      <c r="O2042" s="18" t="s">
        <v>88</v>
      </c>
      <c r="P2042" s="18">
        <v>884</v>
      </c>
      <c r="Q2042" s="18">
        <v>30</v>
      </c>
      <c r="R2042" s="18" t="s">
        <v>778</v>
      </c>
      <c r="S2042" s="18" t="s">
        <v>805</v>
      </c>
      <c r="T2042" s="18" t="s">
        <v>782</v>
      </c>
      <c r="U20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42" s="19">
        <f>IF(AUDITORIA[[#This Row],[CAT]]="",0,1)</f>
        <v>1</v>
      </c>
      <c r="W2042" s="20">
        <v>46232</v>
      </c>
      <c r="X2042" s="21" t="s">
        <v>906</v>
      </c>
      <c r="Y2042" s="24" t="s">
        <v>901</v>
      </c>
      <c r="Z2042" s="24" t="s">
        <v>902</v>
      </c>
      <c r="AA2042" s="24" t="s">
        <v>903</v>
      </c>
    </row>
    <row r="2043" spans="1:27" ht="14.4" hidden="1" customHeight="1" x14ac:dyDescent="0.3">
      <c r="A2043" s="4" t="s">
        <v>0</v>
      </c>
      <c r="B2043" s="4" t="s">
        <v>17</v>
      </c>
      <c r="C2043" s="16" t="s">
        <v>18</v>
      </c>
      <c r="D2043" s="4">
        <v>10</v>
      </c>
      <c r="E2043" s="4" t="s">
        <v>745</v>
      </c>
      <c r="F2043" t="s">
        <v>159</v>
      </c>
      <c r="G2043" t="s">
        <v>85</v>
      </c>
      <c r="H2043" s="4" t="s">
        <v>88</v>
      </c>
      <c r="I2043" s="4" t="s">
        <v>20</v>
      </c>
      <c r="J2043" s="4" t="s">
        <v>88</v>
      </c>
      <c r="K2043" s="4" t="s">
        <v>20</v>
      </c>
      <c r="L2043" s="4" t="s">
        <v>742</v>
      </c>
      <c r="M2043" s="17">
        <v>30</v>
      </c>
      <c r="N2043" s="17">
        <v>705</v>
      </c>
      <c r="O2043" s="18" t="s">
        <v>88</v>
      </c>
      <c r="P2043" s="18">
        <v>705</v>
      </c>
      <c r="Q2043" s="18">
        <v>30</v>
      </c>
      <c r="R2043" s="18" t="s">
        <v>778</v>
      </c>
      <c r="S2043" s="28" t="s">
        <v>793</v>
      </c>
      <c r="T2043" s="28" t="s">
        <v>781</v>
      </c>
      <c r="U20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43" s="19">
        <f>IF(AUDITORIA[[#This Row],[CAT]]="",0,1)</f>
        <v>1</v>
      </c>
      <c r="W2043" s="20">
        <v>46232</v>
      </c>
      <c r="X2043" s="21" t="s">
        <v>906</v>
      </c>
      <c r="Y2043" s="24" t="s">
        <v>901</v>
      </c>
      <c r="Z2043" s="24" t="s">
        <v>902</v>
      </c>
      <c r="AA2043" s="24" t="s">
        <v>903</v>
      </c>
    </row>
    <row r="2044" spans="1:27" ht="14.4" hidden="1" customHeight="1" x14ac:dyDescent="0.3">
      <c r="A2044" s="4" t="s">
        <v>0</v>
      </c>
      <c r="B2044" s="4" t="s">
        <v>17</v>
      </c>
      <c r="C2044" s="16" t="s">
        <v>18</v>
      </c>
      <c r="D2044" s="4">
        <v>10</v>
      </c>
      <c r="E2044" s="4" t="s">
        <v>745</v>
      </c>
      <c r="F2044" t="s">
        <v>157</v>
      </c>
      <c r="G2044" t="s">
        <v>85</v>
      </c>
      <c r="H2044" s="4" t="s">
        <v>88</v>
      </c>
      <c r="I2044" s="4" t="s">
        <v>20</v>
      </c>
      <c r="J2044" s="4" t="s">
        <v>88</v>
      </c>
      <c r="K2044" s="4" t="s">
        <v>20</v>
      </c>
      <c r="L2044" s="4" t="s">
        <v>742</v>
      </c>
      <c r="M2044" s="17">
        <v>30</v>
      </c>
      <c r="N2044" s="17">
        <v>702</v>
      </c>
      <c r="O2044" s="18" t="s">
        <v>88</v>
      </c>
      <c r="P2044" s="18">
        <v>702</v>
      </c>
      <c r="Q2044" s="18">
        <v>30</v>
      </c>
      <c r="R2044" s="18" t="s">
        <v>778</v>
      </c>
      <c r="S2044" s="28" t="s">
        <v>793</v>
      </c>
      <c r="T2044" s="28" t="s">
        <v>782</v>
      </c>
      <c r="U20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44" s="19">
        <f>IF(AUDITORIA[[#This Row],[CAT]]="",0,1)</f>
        <v>1</v>
      </c>
      <c r="W2044" s="20">
        <v>46232</v>
      </c>
      <c r="X2044" s="21" t="s">
        <v>906</v>
      </c>
      <c r="Y2044" s="24" t="s">
        <v>901</v>
      </c>
      <c r="Z2044" s="24" t="s">
        <v>902</v>
      </c>
      <c r="AA2044" s="24" t="s">
        <v>903</v>
      </c>
    </row>
    <row r="2045" spans="1:27" ht="14.4" hidden="1" customHeight="1" x14ac:dyDescent="0.3">
      <c r="A2045" s="4" t="s">
        <v>0</v>
      </c>
      <c r="B2045" s="4" t="s">
        <v>17</v>
      </c>
      <c r="C2045" s="16" t="s">
        <v>18</v>
      </c>
      <c r="D2045" s="4">
        <v>10</v>
      </c>
      <c r="E2045" s="4" t="s">
        <v>745</v>
      </c>
      <c r="F2045" t="s">
        <v>156</v>
      </c>
      <c r="G2045" t="s">
        <v>85</v>
      </c>
      <c r="H2045" s="4" t="s">
        <v>88</v>
      </c>
      <c r="I2045" s="4" t="s">
        <v>21</v>
      </c>
      <c r="J2045" s="4" t="s">
        <v>88</v>
      </c>
      <c r="K2045" s="4" t="s">
        <v>21</v>
      </c>
      <c r="L2045" s="4" t="s">
        <v>742</v>
      </c>
      <c r="M2045" s="17">
        <v>30</v>
      </c>
      <c r="N2045" s="17">
        <v>832</v>
      </c>
      <c r="O2045" s="18" t="s">
        <v>88</v>
      </c>
      <c r="P2045" s="18">
        <v>832</v>
      </c>
      <c r="Q2045" s="18">
        <v>30</v>
      </c>
      <c r="R2045" s="18" t="s">
        <v>778</v>
      </c>
      <c r="S2045" s="18" t="s">
        <v>805</v>
      </c>
      <c r="T2045" s="18" t="s">
        <v>780</v>
      </c>
      <c r="U20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45" s="19">
        <f>IF(AUDITORIA[[#This Row],[CAT]]="",0,1)</f>
        <v>1</v>
      </c>
      <c r="W2045" s="20">
        <v>46232</v>
      </c>
      <c r="X2045" s="21" t="s">
        <v>906</v>
      </c>
      <c r="Y2045" s="24" t="s">
        <v>901</v>
      </c>
      <c r="Z2045" s="24" t="s">
        <v>902</v>
      </c>
      <c r="AA2045" s="24" t="s">
        <v>903</v>
      </c>
    </row>
    <row r="2046" spans="1:27" ht="14.4" hidden="1" customHeight="1" x14ac:dyDescent="0.3">
      <c r="A2046" s="4" t="s">
        <v>0</v>
      </c>
      <c r="B2046" s="4" t="s">
        <v>17</v>
      </c>
      <c r="C2046" s="16" t="s">
        <v>18</v>
      </c>
      <c r="D2046" s="4">
        <v>10</v>
      </c>
      <c r="E2046" s="4" t="s">
        <v>745</v>
      </c>
      <c r="F2046" t="s">
        <v>155</v>
      </c>
      <c r="G2046" t="s">
        <v>85</v>
      </c>
      <c r="H2046" s="4" t="s">
        <v>88</v>
      </c>
      <c r="I2046" s="4" t="s">
        <v>20</v>
      </c>
      <c r="J2046" s="4" t="s">
        <v>88</v>
      </c>
      <c r="K2046" s="4" t="s">
        <v>20</v>
      </c>
      <c r="L2046" s="4" t="s">
        <v>742</v>
      </c>
      <c r="M2046" s="17">
        <v>30</v>
      </c>
      <c r="N2046" s="17">
        <v>694</v>
      </c>
      <c r="O2046" s="18" t="s">
        <v>88</v>
      </c>
      <c r="P2046" s="18">
        <v>694</v>
      </c>
      <c r="Q2046" s="18">
        <v>30</v>
      </c>
      <c r="R2046" s="18" t="s">
        <v>778</v>
      </c>
      <c r="S2046" s="28" t="s">
        <v>920</v>
      </c>
      <c r="T2046" s="28" t="s">
        <v>794</v>
      </c>
      <c r="U20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46" s="19">
        <f>IF(AUDITORIA[[#This Row],[CAT]]="",0,1)</f>
        <v>1</v>
      </c>
      <c r="W2046" s="20">
        <v>46232</v>
      </c>
      <c r="X2046" s="21" t="s">
        <v>906</v>
      </c>
      <c r="Y2046" s="24" t="s">
        <v>901</v>
      </c>
      <c r="Z2046" s="24" t="s">
        <v>902</v>
      </c>
      <c r="AA2046" s="24" t="s">
        <v>903</v>
      </c>
    </row>
    <row r="2047" spans="1:27" ht="14.4" hidden="1" customHeight="1" x14ac:dyDescent="0.3">
      <c r="A2047" s="4" t="s">
        <v>0</v>
      </c>
      <c r="B2047" s="4" t="s">
        <v>17</v>
      </c>
      <c r="C2047" s="16" t="s">
        <v>18</v>
      </c>
      <c r="D2047" s="4">
        <v>10</v>
      </c>
      <c r="E2047" s="4" t="s">
        <v>745</v>
      </c>
      <c r="F2047" t="s">
        <v>154</v>
      </c>
      <c r="G2047" t="s">
        <v>85</v>
      </c>
      <c r="H2047" s="4" t="s">
        <v>88</v>
      </c>
      <c r="I2047" s="4" t="s">
        <v>20</v>
      </c>
      <c r="J2047" s="4" t="s">
        <v>88</v>
      </c>
      <c r="K2047" s="4" t="s">
        <v>20</v>
      </c>
      <c r="L2047" s="4" t="s">
        <v>742</v>
      </c>
      <c r="M2047" s="17">
        <v>30</v>
      </c>
      <c r="N2047" s="17">
        <v>705</v>
      </c>
      <c r="O2047" s="18" t="s">
        <v>88</v>
      </c>
      <c r="P2047" s="18">
        <v>705</v>
      </c>
      <c r="Q2047" s="18">
        <v>30</v>
      </c>
      <c r="R2047" s="18" t="s">
        <v>778</v>
      </c>
      <c r="S2047" s="18" t="s">
        <v>805</v>
      </c>
      <c r="T2047" s="18" t="s">
        <v>781</v>
      </c>
      <c r="U20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47" s="19">
        <f>IF(AUDITORIA[[#This Row],[CAT]]="",0,1)</f>
        <v>1</v>
      </c>
      <c r="W2047" s="20">
        <v>46232</v>
      </c>
      <c r="X2047" s="21" t="s">
        <v>906</v>
      </c>
      <c r="Y2047" s="24" t="s">
        <v>901</v>
      </c>
      <c r="Z2047" s="24" t="s">
        <v>902</v>
      </c>
      <c r="AA2047" s="24" t="s">
        <v>903</v>
      </c>
    </row>
    <row r="2048" spans="1:27" ht="14.4" hidden="1" customHeight="1" x14ac:dyDescent="0.3">
      <c r="A2048" s="4" t="s">
        <v>0</v>
      </c>
      <c r="B2048" s="4" t="s">
        <v>17</v>
      </c>
      <c r="C2048" s="16" t="s">
        <v>18</v>
      </c>
      <c r="D2048" s="4">
        <v>10</v>
      </c>
      <c r="E2048" s="4" t="s">
        <v>745</v>
      </c>
      <c r="F2048" t="s">
        <v>152</v>
      </c>
      <c r="G2048" t="s">
        <v>85</v>
      </c>
      <c r="H2048" s="4" t="s">
        <v>88</v>
      </c>
      <c r="I2048" s="4" t="s">
        <v>20</v>
      </c>
      <c r="J2048" s="4" t="s">
        <v>88</v>
      </c>
      <c r="K2048" s="4" t="s">
        <v>20</v>
      </c>
      <c r="L2048" s="4" t="s">
        <v>742</v>
      </c>
      <c r="M2048" s="17">
        <v>30</v>
      </c>
      <c r="N2048" s="17">
        <v>708</v>
      </c>
      <c r="O2048" s="18" t="s">
        <v>88</v>
      </c>
      <c r="P2048" s="18">
        <v>708</v>
      </c>
      <c r="Q2048" s="18">
        <v>30</v>
      </c>
      <c r="R2048" s="18" t="s">
        <v>778</v>
      </c>
      <c r="S2048" s="18" t="s">
        <v>805</v>
      </c>
      <c r="T2048" s="18" t="s">
        <v>780</v>
      </c>
      <c r="U20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48" s="19">
        <f>IF(AUDITORIA[[#This Row],[CAT]]="",0,1)</f>
        <v>1</v>
      </c>
      <c r="W2048" s="20">
        <v>46232</v>
      </c>
      <c r="X2048" s="21" t="s">
        <v>906</v>
      </c>
      <c r="Y2048" s="24" t="s">
        <v>901</v>
      </c>
      <c r="Z2048" s="24" t="s">
        <v>902</v>
      </c>
      <c r="AA2048" s="24" t="s">
        <v>903</v>
      </c>
    </row>
    <row r="2049" spans="1:27" ht="14.4" hidden="1" customHeight="1" x14ac:dyDescent="0.3">
      <c r="A2049" s="4" t="s">
        <v>0</v>
      </c>
      <c r="B2049" s="4" t="s">
        <v>17</v>
      </c>
      <c r="C2049" s="16" t="s">
        <v>18</v>
      </c>
      <c r="D2049" s="4">
        <v>10</v>
      </c>
      <c r="E2049" s="4" t="s">
        <v>745</v>
      </c>
      <c r="F2049" t="s">
        <v>151</v>
      </c>
      <c r="G2049" t="s">
        <v>85</v>
      </c>
      <c r="H2049" s="4" t="s">
        <v>88</v>
      </c>
      <c r="I2049" s="4" t="s">
        <v>21</v>
      </c>
      <c r="J2049" s="4" t="s">
        <v>88</v>
      </c>
      <c r="K2049" s="4" t="s">
        <v>21</v>
      </c>
      <c r="L2049" s="4" t="s">
        <v>742</v>
      </c>
      <c r="M2049" s="17">
        <v>30</v>
      </c>
      <c r="N2049" s="17">
        <v>877</v>
      </c>
      <c r="O2049" s="18" t="s">
        <v>88</v>
      </c>
      <c r="P2049" s="18">
        <v>877</v>
      </c>
      <c r="Q2049" s="18">
        <v>30</v>
      </c>
      <c r="R2049" s="18" t="s">
        <v>778</v>
      </c>
      <c r="S2049" s="18" t="s">
        <v>805</v>
      </c>
      <c r="T2049" s="18" t="s">
        <v>782</v>
      </c>
      <c r="U20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49" s="19">
        <f>IF(AUDITORIA[[#This Row],[CAT]]="",0,1)</f>
        <v>1</v>
      </c>
      <c r="W2049" s="20">
        <v>46232</v>
      </c>
      <c r="X2049" s="21" t="s">
        <v>906</v>
      </c>
      <c r="Y2049" s="24" t="s">
        <v>901</v>
      </c>
      <c r="Z2049" s="24" t="s">
        <v>902</v>
      </c>
      <c r="AA2049" s="24" t="s">
        <v>903</v>
      </c>
    </row>
    <row r="2050" spans="1:27" ht="14.4" hidden="1" customHeight="1" x14ac:dyDescent="0.3">
      <c r="A2050" s="4" t="s">
        <v>0</v>
      </c>
      <c r="B2050" s="4" t="s">
        <v>17</v>
      </c>
      <c r="C2050" s="16" t="s">
        <v>18</v>
      </c>
      <c r="D2050" s="4">
        <v>10</v>
      </c>
      <c r="E2050" s="4" t="s">
        <v>745</v>
      </c>
      <c r="F2050" t="s">
        <v>150</v>
      </c>
      <c r="G2050" t="s">
        <v>85</v>
      </c>
      <c r="H2050" s="4" t="s">
        <v>88</v>
      </c>
      <c r="I2050" s="4" t="s">
        <v>20</v>
      </c>
      <c r="J2050" s="4" t="s">
        <v>88</v>
      </c>
      <c r="K2050" s="4" t="s">
        <v>20</v>
      </c>
      <c r="L2050" s="4" t="s">
        <v>742</v>
      </c>
      <c r="M2050" s="17">
        <v>30</v>
      </c>
      <c r="N2050" s="17">
        <v>713</v>
      </c>
      <c r="O2050" s="18" t="s">
        <v>88</v>
      </c>
      <c r="P2050" s="18">
        <v>713</v>
      </c>
      <c r="Q2050" s="18">
        <v>30</v>
      </c>
      <c r="R2050" s="18" t="s">
        <v>778</v>
      </c>
      <c r="S2050" s="18" t="s">
        <v>805</v>
      </c>
      <c r="T2050" s="18" t="s">
        <v>782</v>
      </c>
      <c r="U20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50" s="19">
        <f>IF(AUDITORIA[[#This Row],[CAT]]="",0,1)</f>
        <v>1</v>
      </c>
      <c r="W2050" s="20">
        <v>46232</v>
      </c>
      <c r="X2050" s="21" t="s">
        <v>906</v>
      </c>
      <c r="Y2050" s="24" t="s">
        <v>901</v>
      </c>
      <c r="Z2050" s="24" t="s">
        <v>902</v>
      </c>
      <c r="AA2050" s="24" t="s">
        <v>903</v>
      </c>
    </row>
    <row r="2051" spans="1:27" ht="14.4" hidden="1" customHeight="1" x14ac:dyDescent="0.3">
      <c r="A2051" s="4" t="s">
        <v>0</v>
      </c>
      <c r="B2051" s="4" t="s">
        <v>17</v>
      </c>
      <c r="C2051" s="16" t="s">
        <v>18</v>
      </c>
      <c r="D2051" s="4">
        <v>10</v>
      </c>
      <c r="E2051" s="4" t="s">
        <v>745</v>
      </c>
      <c r="F2051" t="s">
        <v>149</v>
      </c>
      <c r="G2051" t="s">
        <v>85</v>
      </c>
      <c r="H2051" s="4" t="s">
        <v>88</v>
      </c>
      <c r="I2051" s="4" t="s">
        <v>21</v>
      </c>
      <c r="J2051" s="4" t="s">
        <v>88</v>
      </c>
      <c r="K2051" s="4" t="s">
        <v>21</v>
      </c>
      <c r="L2051" s="4" t="s">
        <v>742</v>
      </c>
      <c r="M2051" s="17">
        <v>30</v>
      </c>
      <c r="N2051" s="17">
        <v>892</v>
      </c>
      <c r="O2051" s="18" t="s">
        <v>88</v>
      </c>
      <c r="P2051" s="18">
        <v>892</v>
      </c>
      <c r="Q2051" s="18">
        <v>30</v>
      </c>
      <c r="R2051" s="18" t="s">
        <v>778</v>
      </c>
      <c r="S2051" s="18" t="s">
        <v>808</v>
      </c>
      <c r="T2051" s="18" t="s">
        <v>780</v>
      </c>
      <c r="U20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51" s="19">
        <f>IF(AUDITORIA[[#This Row],[CAT]]="",0,1)</f>
        <v>1</v>
      </c>
      <c r="W2051" s="20">
        <v>46232</v>
      </c>
      <c r="X2051" s="21" t="s">
        <v>906</v>
      </c>
      <c r="Y2051" s="24" t="s">
        <v>901</v>
      </c>
      <c r="Z2051" s="24" t="s">
        <v>902</v>
      </c>
      <c r="AA2051" s="24" t="s">
        <v>903</v>
      </c>
    </row>
    <row r="2052" spans="1:27" ht="14.4" hidden="1" customHeight="1" x14ac:dyDescent="0.3">
      <c r="A2052" s="4" t="s">
        <v>0</v>
      </c>
      <c r="B2052" s="4" t="s">
        <v>17</v>
      </c>
      <c r="C2052" s="16" t="s">
        <v>18</v>
      </c>
      <c r="D2052" s="4">
        <v>10</v>
      </c>
      <c r="E2052" s="4" t="s">
        <v>745</v>
      </c>
      <c r="F2052" t="s">
        <v>148</v>
      </c>
      <c r="G2052" t="s">
        <v>85</v>
      </c>
      <c r="H2052" s="4" t="s">
        <v>88</v>
      </c>
      <c r="I2052" s="4" t="s">
        <v>20</v>
      </c>
      <c r="J2052" s="4" t="s">
        <v>88</v>
      </c>
      <c r="K2052" s="4" t="s">
        <v>20</v>
      </c>
      <c r="L2052" s="4" t="s">
        <v>742</v>
      </c>
      <c r="M2052" s="17">
        <v>30</v>
      </c>
      <c r="N2052" s="17">
        <v>718</v>
      </c>
      <c r="O2052" s="18" t="s">
        <v>88</v>
      </c>
      <c r="P2052" s="18">
        <v>718</v>
      </c>
      <c r="Q2052" s="18">
        <v>30</v>
      </c>
      <c r="R2052" s="18" t="s">
        <v>778</v>
      </c>
      <c r="S2052" s="18" t="s">
        <v>809</v>
      </c>
      <c r="T2052" s="18" t="s">
        <v>780</v>
      </c>
      <c r="U20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52" s="19">
        <f>IF(AUDITORIA[[#This Row],[CAT]]="",0,1)</f>
        <v>1</v>
      </c>
      <c r="W2052" s="20">
        <v>46232</v>
      </c>
      <c r="X2052" s="21" t="s">
        <v>906</v>
      </c>
      <c r="Y2052" s="24" t="s">
        <v>901</v>
      </c>
      <c r="Z2052" s="24" t="s">
        <v>902</v>
      </c>
      <c r="AA2052" s="24" t="s">
        <v>903</v>
      </c>
    </row>
    <row r="2053" spans="1:27" ht="14.4" hidden="1" customHeight="1" x14ac:dyDescent="0.3">
      <c r="A2053" s="4" t="s">
        <v>0</v>
      </c>
      <c r="B2053" s="4" t="s">
        <v>17</v>
      </c>
      <c r="C2053" s="16" t="s">
        <v>18</v>
      </c>
      <c r="D2053" s="4">
        <v>10</v>
      </c>
      <c r="E2053" s="4" t="s">
        <v>745</v>
      </c>
      <c r="F2053" t="s">
        <v>146</v>
      </c>
      <c r="G2053" t="s">
        <v>85</v>
      </c>
      <c r="H2053" s="4" t="s">
        <v>88</v>
      </c>
      <c r="I2053" s="4" t="s">
        <v>21</v>
      </c>
      <c r="J2053" s="4" t="s">
        <v>88</v>
      </c>
      <c r="K2053" s="4" t="s">
        <v>21</v>
      </c>
      <c r="L2053" s="4" t="s">
        <v>742</v>
      </c>
      <c r="M2053" s="17">
        <v>30</v>
      </c>
      <c r="N2053" s="17">
        <v>883</v>
      </c>
      <c r="O2053" s="18" t="s">
        <v>88</v>
      </c>
      <c r="P2053" s="18">
        <v>883</v>
      </c>
      <c r="Q2053" s="18">
        <v>30</v>
      </c>
      <c r="R2053" s="18" t="s">
        <v>778</v>
      </c>
      <c r="S2053" s="18" t="s">
        <v>808</v>
      </c>
      <c r="T2053" s="18"/>
      <c r="U20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53" s="19">
        <f>IF(AUDITORIA[[#This Row],[CAT]]="",0,1)</f>
        <v>1</v>
      </c>
      <c r="W2053" s="20">
        <v>46232</v>
      </c>
      <c r="X2053" s="21" t="s">
        <v>906</v>
      </c>
      <c r="Y2053" s="24" t="s">
        <v>901</v>
      </c>
      <c r="Z2053" s="24" t="s">
        <v>902</v>
      </c>
      <c r="AA2053" s="24" t="s">
        <v>903</v>
      </c>
    </row>
    <row r="2054" spans="1:27" ht="14.4" hidden="1" customHeight="1" x14ac:dyDescent="0.3">
      <c r="A2054" s="4" t="s">
        <v>0</v>
      </c>
      <c r="B2054" s="4" t="s">
        <v>17</v>
      </c>
      <c r="C2054" s="16" t="s">
        <v>18</v>
      </c>
      <c r="D2054" s="4">
        <v>10</v>
      </c>
      <c r="E2054" s="4" t="s">
        <v>745</v>
      </c>
      <c r="F2054" t="s">
        <v>147</v>
      </c>
      <c r="G2054" t="s">
        <v>85</v>
      </c>
      <c r="H2054" s="4" t="s">
        <v>88</v>
      </c>
      <c r="I2054" s="4" t="s">
        <v>20</v>
      </c>
      <c r="J2054" s="4" t="s">
        <v>88</v>
      </c>
      <c r="K2054" s="4" t="s">
        <v>20</v>
      </c>
      <c r="L2054" s="4" t="s">
        <v>742</v>
      </c>
      <c r="M2054" s="17">
        <v>30</v>
      </c>
      <c r="N2054" s="17">
        <v>710</v>
      </c>
      <c r="O2054" s="18" t="s">
        <v>88</v>
      </c>
      <c r="P2054" s="18">
        <v>710</v>
      </c>
      <c r="Q2054" s="18">
        <v>30</v>
      </c>
      <c r="R2054" s="18" t="s">
        <v>778</v>
      </c>
      <c r="S2054" s="18" t="s">
        <v>809</v>
      </c>
      <c r="T2054" s="18" t="s">
        <v>781</v>
      </c>
      <c r="U20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54" s="19">
        <f>IF(AUDITORIA[[#This Row],[CAT]]="",0,1)</f>
        <v>1</v>
      </c>
      <c r="W2054" s="20">
        <v>46232</v>
      </c>
      <c r="X2054" s="21" t="s">
        <v>906</v>
      </c>
      <c r="Y2054" s="24" t="s">
        <v>901</v>
      </c>
      <c r="Z2054" s="24" t="s">
        <v>902</v>
      </c>
      <c r="AA2054" s="24" t="s">
        <v>903</v>
      </c>
    </row>
    <row r="2055" spans="1:27" ht="14.4" hidden="1" customHeight="1" x14ac:dyDescent="0.3">
      <c r="A2055" s="4" t="s">
        <v>0</v>
      </c>
      <c r="B2055" s="4" t="s">
        <v>17</v>
      </c>
      <c r="C2055" s="16" t="s">
        <v>18</v>
      </c>
      <c r="D2055" s="4">
        <v>10</v>
      </c>
      <c r="E2055" s="4" t="s">
        <v>745</v>
      </c>
      <c r="F2055" t="s">
        <v>145</v>
      </c>
      <c r="G2055" t="s">
        <v>85</v>
      </c>
      <c r="H2055" s="4" t="s">
        <v>88</v>
      </c>
      <c r="I2055" s="4" t="s">
        <v>20</v>
      </c>
      <c r="J2055" s="4" t="s">
        <v>88</v>
      </c>
      <c r="K2055" s="4" t="s">
        <v>20</v>
      </c>
      <c r="L2055" s="4" t="s">
        <v>742</v>
      </c>
      <c r="M2055" s="17">
        <v>30</v>
      </c>
      <c r="N2055" s="17">
        <v>712</v>
      </c>
      <c r="O2055" s="18" t="s">
        <v>88</v>
      </c>
      <c r="P2055" s="18">
        <v>712</v>
      </c>
      <c r="Q2055" s="18">
        <v>30</v>
      </c>
      <c r="R2055" s="18" t="s">
        <v>778</v>
      </c>
      <c r="S2055" s="18" t="s">
        <v>809</v>
      </c>
      <c r="T2055" s="18" t="s">
        <v>782</v>
      </c>
      <c r="U20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55" s="19">
        <f>IF(AUDITORIA[[#This Row],[CAT]]="",0,1)</f>
        <v>1</v>
      </c>
      <c r="W2055" s="20">
        <v>46232</v>
      </c>
      <c r="X2055" s="21" t="s">
        <v>906</v>
      </c>
      <c r="Y2055" s="24" t="s">
        <v>901</v>
      </c>
      <c r="Z2055" s="24" t="s">
        <v>902</v>
      </c>
      <c r="AA2055" s="24" t="s">
        <v>903</v>
      </c>
    </row>
    <row r="2056" spans="1:27" ht="14.4" hidden="1" customHeight="1" x14ac:dyDescent="0.3">
      <c r="A2056" s="4" t="s">
        <v>0</v>
      </c>
      <c r="B2056" s="4" t="s">
        <v>17</v>
      </c>
      <c r="C2056" s="16" t="s">
        <v>18</v>
      </c>
      <c r="D2056" s="4">
        <v>10</v>
      </c>
      <c r="E2056" s="4" t="s">
        <v>745</v>
      </c>
      <c r="F2056" t="s">
        <v>144</v>
      </c>
      <c r="G2056" t="s">
        <v>85</v>
      </c>
      <c r="H2056" s="4" t="s">
        <v>88</v>
      </c>
      <c r="I2056" s="4" t="s">
        <v>21</v>
      </c>
      <c r="J2056" s="4" t="s">
        <v>88</v>
      </c>
      <c r="K2056" s="4" t="s">
        <v>21</v>
      </c>
      <c r="L2056" s="4" t="s">
        <v>742</v>
      </c>
      <c r="M2056" s="17">
        <v>30</v>
      </c>
      <c r="N2056" s="17">
        <v>883</v>
      </c>
      <c r="O2056" s="18" t="s">
        <v>88</v>
      </c>
      <c r="P2056" s="18">
        <v>883</v>
      </c>
      <c r="Q2056" s="18">
        <v>30</v>
      </c>
      <c r="R2056" s="18" t="str">
        <f>VLOOKUP(AUDITORIA[[#This Row],[LOTE]],[1]ENDEREÇAMENTO!$C$2:$J$9999,8,FALSE)</f>
        <v>Cam.B</v>
      </c>
      <c r="S2056" s="18" t="str">
        <f>VLOOKUP(RIGHT(AUDITORIA[[#This Row],[LOTE]],4),[2]Lotes!$A$2:$E$209,2,FALSE)</f>
        <v>QD.01</v>
      </c>
      <c r="T2056" s="18" t="str">
        <f>VLOOKUP(RIGHT(AUDITORIA[[#This Row],[LOTE]],4),[2]Lotes!$A$2:$E$209,4,FALSE)</f>
        <v>F2</v>
      </c>
      <c r="U20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56" s="19">
        <f>IF(AUDITORIA[[#This Row],[CAT]]="",0,1)</f>
        <v>1</v>
      </c>
      <c r="W2056" s="20">
        <v>46232</v>
      </c>
      <c r="X2056" s="21" t="s">
        <v>906</v>
      </c>
      <c r="Y2056" s="24" t="s">
        <v>901</v>
      </c>
      <c r="Z2056" s="24" t="s">
        <v>902</v>
      </c>
      <c r="AA2056" s="24" t="s">
        <v>903</v>
      </c>
    </row>
    <row r="2057" spans="1:27" ht="14.4" hidden="1" customHeight="1" x14ac:dyDescent="0.3">
      <c r="A2057" s="4" t="s">
        <v>0</v>
      </c>
      <c r="B2057" s="4" t="s">
        <v>17</v>
      </c>
      <c r="C2057" s="16" t="s">
        <v>18</v>
      </c>
      <c r="D2057" s="4">
        <v>10</v>
      </c>
      <c r="E2057" s="4" t="s">
        <v>745</v>
      </c>
      <c r="F2057" t="s">
        <v>153</v>
      </c>
      <c r="G2057" t="s">
        <v>85</v>
      </c>
      <c r="H2057" s="4" t="s">
        <v>88</v>
      </c>
      <c r="I2057" s="4" t="s">
        <v>21</v>
      </c>
      <c r="J2057" s="4" t="s">
        <v>88</v>
      </c>
      <c r="K2057" s="4" t="s">
        <v>21</v>
      </c>
      <c r="L2057" s="4" t="s">
        <v>742</v>
      </c>
      <c r="M2057" s="17">
        <v>30</v>
      </c>
      <c r="N2057" s="17">
        <v>848</v>
      </c>
      <c r="O2057" s="18" t="s">
        <v>88</v>
      </c>
      <c r="P2057" s="18">
        <v>848</v>
      </c>
      <c r="Q2057" s="18">
        <v>30</v>
      </c>
      <c r="R2057" s="18" t="s">
        <v>778</v>
      </c>
      <c r="S2057" s="18" t="s">
        <v>826</v>
      </c>
      <c r="T2057" s="18" t="s">
        <v>794</v>
      </c>
      <c r="U20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57" s="19">
        <f>IF(AUDITORIA[[#This Row],[CAT]]="",0,1)</f>
        <v>1</v>
      </c>
      <c r="W2057" s="20">
        <v>46232</v>
      </c>
      <c r="X2057" s="21" t="s">
        <v>906</v>
      </c>
      <c r="Y2057" s="24" t="s">
        <v>901</v>
      </c>
      <c r="Z2057" s="24" t="s">
        <v>902</v>
      </c>
      <c r="AA2057" s="24" t="s">
        <v>903</v>
      </c>
    </row>
    <row r="2058" spans="1:27" ht="14.4" hidden="1" customHeight="1" x14ac:dyDescent="0.3">
      <c r="A2058" s="4" t="s">
        <v>0</v>
      </c>
      <c r="B2058" s="4" t="s">
        <v>17</v>
      </c>
      <c r="C2058" s="16" t="s">
        <v>18</v>
      </c>
      <c r="D2058" s="4">
        <v>10</v>
      </c>
      <c r="E2058" s="4" t="s">
        <v>745</v>
      </c>
      <c r="F2058" t="s">
        <v>143</v>
      </c>
      <c r="G2058" t="s">
        <v>85</v>
      </c>
      <c r="H2058" s="4" t="s">
        <v>88</v>
      </c>
      <c r="I2058" s="4" t="s">
        <v>20</v>
      </c>
      <c r="J2058" s="4" t="s">
        <v>88</v>
      </c>
      <c r="K2058" s="4" t="s">
        <v>20</v>
      </c>
      <c r="L2058" s="4" t="s">
        <v>742</v>
      </c>
      <c r="M2058" s="17">
        <v>30</v>
      </c>
      <c r="N2058" s="17">
        <v>713</v>
      </c>
      <c r="O2058" s="18" t="s">
        <v>88</v>
      </c>
      <c r="P2058" s="18">
        <v>713</v>
      </c>
      <c r="Q2058" s="18">
        <v>30</v>
      </c>
      <c r="R2058" s="18" t="s">
        <v>778</v>
      </c>
      <c r="S2058" s="18" t="s">
        <v>807</v>
      </c>
      <c r="T2058" s="18" t="s">
        <v>781</v>
      </c>
      <c r="U20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58" s="19">
        <f>IF(AUDITORIA[[#This Row],[CAT]]="",0,1)</f>
        <v>1</v>
      </c>
      <c r="W2058" s="20">
        <v>46232</v>
      </c>
      <c r="X2058" s="21" t="s">
        <v>906</v>
      </c>
      <c r="Y2058" s="24" t="s">
        <v>901</v>
      </c>
      <c r="Z2058" s="24" t="s">
        <v>902</v>
      </c>
      <c r="AA2058" s="24" t="s">
        <v>903</v>
      </c>
    </row>
    <row r="2059" spans="1:27" ht="14.4" hidden="1" customHeight="1" x14ac:dyDescent="0.3">
      <c r="A2059" s="4" t="s">
        <v>0</v>
      </c>
      <c r="B2059" s="4" t="s">
        <v>17</v>
      </c>
      <c r="C2059" s="16" t="s">
        <v>18</v>
      </c>
      <c r="D2059" s="4">
        <v>10</v>
      </c>
      <c r="E2059" s="4" t="s">
        <v>745</v>
      </c>
      <c r="F2059" t="s">
        <v>142</v>
      </c>
      <c r="G2059" t="s">
        <v>85</v>
      </c>
      <c r="H2059" s="4" t="s">
        <v>88</v>
      </c>
      <c r="I2059" s="4" t="s">
        <v>21</v>
      </c>
      <c r="J2059" s="4" t="s">
        <v>88</v>
      </c>
      <c r="K2059" s="4" t="s">
        <v>21</v>
      </c>
      <c r="L2059" s="4" t="s">
        <v>742</v>
      </c>
      <c r="M2059" s="17">
        <v>30</v>
      </c>
      <c r="N2059" s="17">
        <v>867</v>
      </c>
      <c r="O2059" s="18" t="s">
        <v>88</v>
      </c>
      <c r="P2059" s="18">
        <v>867</v>
      </c>
      <c r="Q2059" s="18">
        <v>30</v>
      </c>
      <c r="R2059" s="18" t="s">
        <v>778</v>
      </c>
      <c r="S2059" s="18" t="s">
        <v>813</v>
      </c>
      <c r="T2059" s="18" t="s">
        <v>780</v>
      </c>
      <c r="U20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59" s="19">
        <f>IF(AUDITORIA[[#This Row],[CAT]]="",0,1)</f>
        <v>1</v>
      </c>
      <c r="W2059" s="20">
        <v>46232</v>
      </c>
      <c r="X2059" s="21" t="s">
        <v>906</v>
      </c>
      <c r="Y2059" s="24" t="s">
        <v>901</v>
      </c>
      <c r="Z2059" s="24" t="s">
        <v>902</v>
      </c>
      <c r="AA2059" s="24" t="s">
        <v>903</v>
      </c>
    </row>
    <row r="2060" spans="1:27" ht="14.4" hidden="1" customHeight="1" x14ac:dyDescent="0.3">
      <c r="A2060" s="4" t="s">
        <v>0</v>
      </c>
      <c r="B2060" s="4" t="s">
        <v>17</v>
      </c>
      <c r="C2060" s="16" t="s">
        <v>18</v>
      </c>
      <c r="D2060" s="4">
        <v>10</v>
      </c>
      <c r="E2060" s="4" t="s">
        <v>745</v>
      </c>
      <c r="F2060" t="s">
        <v>141</v>
      </c>
      <c r="G2060" t="s">
        <v>85</v>
      </c>
      <c r="H2060" s="4" t="s">
        <v>88</v>
      </c>
      <c r="I2060" s="4" t="s">
        <v>20</v>
      </c>
      <c r="J2060" s="4" t="s">
        <v>88</v>
      </c>
      <c r="K2060" s="4" t="s">
        <v>20</v>
      </c>
      <c r="L2060" s="4" t="s">
        <v>742</v>
      </c>
      <c r="M2060" s="17">
        <v>30</v>
      </c>
      <c r="N2060" s="17">
        <v>712</v>
      </c>
      <c r="O2060" s="18" t="s">
        <v>88</v>
      </c>
      <c r="P2060" s="18">
        <v>712</v>
      </c>
      <c r="Q2060" s="18">
        <v>30</v>
      </c>
      <c r="R2060" s="18" t="s">
        <v>778</v>
      </c>
      <c r="S2060" s="18" t="s">
        <v>807</v>
      </c>
      <c r="T2060" s="18" t="s">
        <v>780</v>
      </c>
      <c r="U20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60" s="19">
        <f>IF(AUDITORIA[[#This Row],[CAT]]="",0,1)</f>
        <v>1</v>
      </c>
      <c r="W2060" s="20">
        <v>46232</v>
      </c>
      <c r="X2060" s="21" t="s">
        <v>906</v>
      </c>
      <c r="Y2060" s="24" t="s">
        <v>901</v>
      </c>
      <c r="Z2060" s="24" t="s">
        <v>902</v>
      </c>
      <c r="AA2060" s="24" t="s">
        <v>903</v>
      </c>
    </row>
    <row r="2061" spans="1:27" ht="14.4" hidden="1" customHeight="1" x14ac:dyDescent="0.3">
      <c r="A2061" s="4" t="s">
        <v>0</v>
      </c>
      <c r="B2061" s="4" t="s">
        <v>17</v>
      </c>
      <c r="C2061" s="16" t="s">
        <v>18</v>
      </c>
      <c r="D2061" s="4">
        <v>10</v>
      </c>
      <c r="E2061" s="4" t="s">
        <v>745</v>
      </c>
      <c r="F2061" t="s">
        <v>139</v>
      </c>
      <c r="G2061" t="s">
        <v>85</v>
      </c>
      <c r="H2061" s="4" t="s">
        <v>88</v>
      </c>
      <c r="I2061" s="4" t="s">
        <v>21</v>
      </c>
      <c r="J2061" s="4" t="s">
        <v>88</v>
      </c>
      <c r="K2061" s="4" t="s">
        <v>21</v>
      </c>
      <c r="L2061" s="4" t="s">
        <v>742</v>
      </c>
      <c r="M2061" s="17">
        <v>30</v>
      </c>
      <c r="N2061" s="17">
        <v>852</v>
      </c>
      <c r="O2061" s="18" t="s">
        <v>88</v>
      </c>
      <c r="P2061" s="18">
        <v>852</v>
      </c>
      <c r="Q2061" s="18">
        <v>30</v>
      </c>
      <c r="R2061" s="18" t="s">
        <v>778</v>
      </c>
      <c r="S2061" s="18" t="s">
        <v>813</v>
      </c>
      <c r="T2061" s="18" t="s">
        <v>781</v>
      </c>
      <c r="U20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61" s="19">
        <f>IF(AUDITORIA[[#This Row],[CAT]]="",0,1)</f>
        <v>1</v>
      </c>
      <c r="W2061" s="20">
        <v>46232</v>
      </c>
      <c r="X2061" s="21" t="s">
        <v>906</v>
      </c>
      <c r="Y2061" s="24" t="s">
        <v>901</v>
      </c>
      <c r="Z2061" s="24" t="s">
        <v>902</v>
      </c>
      <c r="AA2061" s="24" t="s">
        <v>903</v>
      </c>
    </row>
    <row r="2062" spans="1:27" ht="14.4" hidden="1" customHeight="1" x14ac:dyDescent="0.3">
      <c r="A2062" s="4" t="s">
        <v>0</v>
      </c>
      <c r="B2062" s="4" t="s">
        <v>17</v>
      </c>
      <c r="C2062" s="16" t="s">
        <v>18</v>
      </c>
      <c r="D2062" s="4">
        <v>10</v>
      </c>
      <c r="E2062" s="4" t="s">
        <v>745</v>
      </c>
      <c r="F2062" t="s">
        <v>140</v>
      </c>
      <c r="G2062" t="s">
        <v>85</v>
      </c>
      <c r="H2062" s="4" t="s">
        <v>88</v>
      </c>
      <c r="I2062" s="4" t="s">
        <v>20</v>
      </c>
      <c r="J2062" s="4" t="s">
        <v>88</v>
      </c>
      <c r="K2062" s="4" t="s">
        <v>20</v>
      </c>
      <c r="L2062" s="4" t="s">
        <v>742</v>
      </c>
      <c r="M2062" s="17">
        <v>30</v>
      </c>
      <c r="N2062" s="17">
        <v>710</v>
      </c>
      <c r="O2062" s="18" t="s">
        <v>88</v>
      </c>
      <c r="P2062" s="18">
        <v>710</v>
      </c>
      <c r="Q2062" s="18">
        <v>30</v>
      </c>
      <c r="R2062" s="18" t="s">
        <v>778</v>
      </c>
      <c r="S2062" s="18" t="s">
        <v>807</v>
      </c>
      <c r="T2062" s="18" t="s">
        <v>782</v>
      </c>
      <c r="U20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62" s="19">
        <f>IF(AUDITORIA[[#This Row],[CAT]]="",0,1)</f>
        <v>1</v>
      </c>
      <c r="W2062" s="20">
        <v>46232</v>
      </c>
      <c r="X2062" s="21" t="s">
        <v>906</v>
      </c>
      <c r="Y2062" s="24" t="s">
        <v>901</v>
      </c>
      <c r="Z2062" s="24" t="s">
        <v>902</v>
      </c>
      <c r="AA2062" s="24" t="s">
        <v>903</v>
      </c>
    </row>
    <row r="2063" spans="1:27" ht="14.4" hidden="1" customHeight="1" x14ac:dyDescent="0.3">
      <c r="A2063" s="4" t="s">
        <v>0</v>
      </c>
      <c r="B2063" s="4" t="s">
        <v>17</v>
      </c>
      <c r="C2063" s="16" t="s">
        <v>18</v>
      </c>
      <c r="D2063" s="4">
        <v>10</v>
      </c>
      <c r="E2063" s="4" t="s">
        <v>745</v>
      </c>
      <c r="F2063" t="s">
        <v>138</v>
      </c>
      <c r="G2063" t="s">
        <v>85</v>
      </c>
      <c r="H2063" s="4" t="s">
        <v>88</v>
      </c>
      <c r="I2063" s="4" t="s">
        <v>20</v>
      </c>
      <c r="J2063" s="4" t="s">
        <v>88</v>
      </c>
      <c r="K2063" s="4" t="s">
        <v>20</v>
      </c>
      <c r="L2063" s="4" t="s">
        <v>742</v>
      </c>
      <c r="M2063" s="17">
        <v>30</v>
      </c>
      <c r="N2063" s="17">
        <v>713</v>
      </c>
      <c r="O2063" s="18" t="s">
        <v>88</v>
      </c>
      <c r="P2063" s="18">
        <v>713</v>
      </c>
      <c r="Q2063" s="18">
        <v>30</v>
      </c>
      <c r="R2063" s="18" t="s">
        <v>778</v>
      </c>
      <c r="S2063" s="18" t="s">
        <v>806</v>
      </c>
      <c r="T2063" s="18" t="s">
        <v>781</v>
      </c>
      <c r="U20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63" s="19">
        <f>IF(AUDITORIA[[#This Row],[CAT]]="",0,1)</f>
        <v>1</v>
      </c>
      <c r="W2063" s="20">
        <v>46232</v>
      </c>
      <c r="X2063" s="21" t="s">
        <v>906</v>
      </c>
      <c r="Y2063" s="24" t="s">
        <v>901</v>
      </c>
      <c r="Z2063" s="24" t="s">
        <v>902</v>
      </c>
      <c r="AA2063" s="24" t="s">
        <v>903</v>
      </c>
    </row>
    <row r="2064" spans="1:27" ht="14.4" hidden="1" customHeight="1" x14ac:dyDescent="0.3">
      <c r="A2064" s="4" t="s">
        <v>0</v>
      </c>
      <c r="B2064" s="4" t="s">
        <v>17</v>
      </c>
      <c r="C2064" s="16" t="s">
        <v>18</v>
      </c>
      <c r="D2064" s="4">
        <v>10</v>
      </c>
      <c r="E2064" s="4" t="s">
        <v>745</v>
      </c>
      <c r="F2064" t="s">
        <v>137</v>
      </c>
      <c r="G2064" t="s">
        <v>85</v>
      </c>
      <c r="H2064" s="4" t="s">
        <v>88</v>
      </c>
      <c r="I2064" s="4" t="s">
        <v>21</v>
      </c>
      <c r="J2064" s="4" t="s">
        <v>88</v>
      </c>
      <c r="K2064" s="4" t="s">
        <v>21</v>
      </c>
      <c r="L2064" s="4" t="s">
        <v>742</v>
      </c>
      <c r="M2064" s="17">
        <v>30</v>
      </c>
      <c r="N2064" s="17">
        <v>879</v>
      </c>
      <c r="O2064" s="18" t="s">
        <v>88</v>
      </c>
      <c r="P2064" s="18">
        <v>879</v>
      </c>
      <c r="Q2064" s="18">
        <v>30</v>
      </c>
      <c r="R2064" s="18" t="s">
        <v>778</v>
      </c>
      <c r="S2064" s="18" t="s">
        <v>811</v>
      </c>
      <c r="T2064" s="18" t="s">
        <v>780</v>
      </c>
      <c r="U20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64" s="19">
        <f>IF(AUDITORIA[[#This Row],[CAT]]="",0,1)</f>
        <v>1</v>
      </c>
      <c r="W2064" s="20">
        <v>46232</v>
      </c>
      <c r="X2064" s="21" t="s">
        <v>906</v>
      </c>
      <c r="Y2064" s="24" t="s">
        <v>901</v>
      </c>
      <c r="Z2064" s="24" t="s">
        <v>902</v>
      </c>
      <c r="AA2064" s="24" t="s">
        <v>903</v>
      </c>
    </row>
    <row r="2065" spans="1:27" ht="14.4" hidden="1" customHeight="1" x14ac:dyDescent="0.3">
      <c r="A2065" s="4" t="s">
        <v>0</v>
      </c>
      <c r="B2065" s="4" t="s">
        <v>17</v>
      </c>
      <c r="C2065" s="16" t="s">
        <v>18</v>
      </c>
      <c r="D2065" s="4">
        <v>10</v>
      </c>
      <c r="E2065" s="4" t="s">
        <v>745</v>
      </c>
      <c r="F2065" t="s">
        <v>136</v>
      </c>
      <c r="G2065" t="s">
        <v>85</v>
      </c>
      <c r="H2065" s="4" t="s">
        <v>88</v>
      </c>
      <c r="I2065" s="4" t="s">
        <v>20</v>
      </c>
      <c r="J2065" s="4" t="s">
        <v>88</v>
      </c>
      <c r="K2065" s="4" t="s">
        <v>20</v>
      </c>
      <c r="L2065" s="4" t="s">
        <v>742</v>
      </c>
      <c r="M2065" s="17">
        <v>30</v>
      </c>
      <c r="N2065" s="17">
        <v>723</v>
      </c>
      <c r="O2065" s="18" t="s">
        <v>88</v>
      </c>
      <c r="P2065" s="18">
        <v>723</v>
      </c>
      <c r="Q2065" s="18">
        <v>30</v>
      </c>
      <c r="R2065" s="18" t="s">
        <v>778</v>
      </c>
      <c r="S2065" s="18" t="s">
        <v>806</v>
      </c>
      <c r="T2065" s="18" t="s">
        <v>780</v>
      </c>
      <c r="U20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65" s="19">
        <f>IF(AUDITORIA[[#This Row],[CAT]]="",0,1)</f>
        <v>1</v>
      </c>
      <c r="W2065" s="20">
        <v>46232</v>
      </c>
      <c r="X2065" s="21" t="s">
        <v>906</v>
      </c>
      <c r="Y2065" s="24" t="s">
        <v>901</v>
      </c>
      <c r="Z2065" s="24" t="s">
        <v>902</v>
      </c>
      <c r="AA2065" s="24" t="s">
        <v>903</v>
      </c>
    </row>
    <row r="2066" spans="1:27" ht="14.4" hidden="1" customHeight="1" x14ac:dyDescent="0.3">
      <c r="A2066" s="4" t="s">
        <v>0</v>
      </c>
      <c r="B2066" s="4" t="s">
        <v>17</v>
      </c>
      <c r="C2066" s="16" t="s">
        <v>18</v>
      </c>
      <c r="D2066" s="4">
        <v>10</v>
      </c>
      <c r="E2066" s="4" t="s">
        <v>745</v>
      </c>
      <c r="F2066" t="s">
        <v>135</v>
      </c>
      <c r="G2066" t="s">
        <v>85</v>
      </c>
      <c r="H2066" s="4" t="s">
        <v>88</v>
      </c>
      <c r="I2066" s="4" t="s">
        <v>21</v>
      </c>
      <c r="J2066" s="4" t="s">
        <v>88</v>
      </c>
      <c r="K2066" s="4" t="s">
        <v>21</v>
      </c>
      <c r="L2066" s="4" t="s">
        <v>742</v>
      </c>
      <c r="M2066" s="17">
        <v>30</v>
      </c>
      <c r="N2066" s="17">
        <v>861</v>
      </c>
      <c r="O2066" s="18" t="s">
        <v>88</v>
      </c>
      <c r="P2066" s="18">
        <v>861</v>
      </c>
      <c r="Q2066" s="18">
        <v>30</v>
      </c>
      <c r="R2066" s="18" t="s">
        <v>778</v>
      </c>
      <c r="S2066" s="28" t="s">
        <v>907</v>
      </c>
      <c r="T2066" s="18" t="s">
        <v>782</v>
      </c>
      <c r="U20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66" s="19">
        <f>IF(AUDITORIA[[#This Row],[CAT]]="",0,1)</f>
        <v>1</v>
      </c>
      <c r="W2066" s="20">
        <v>46232</v>
      </c>
      <c r="X2066" s="21" t="s">
        <v>906</v>
      </c>
      <c r="Y2066" s="24" t="s">
        <v>901</v>
      </c>
      <c r="Z2066" s="24" t="s">
        <v>902</v>
      </c>
      <c r="AA2066" s="24" t="s">
        <v>903</v>
      </c>
    </row>
    <row r="2067" spans="1:27" ht="14.4" hidden="1" customHeight="1" x14ac:dyDescent="0.3">
      <c r="A2067" s="4" t="s">
        <v>0</v>
      </c>
      <c r="B2067" s="4" t="s">
        <v>17</v>
      </c>
      <c r="C2067" s="16" t="s">
        <v>18</v>
      </c>
      <c r="D2067" s="4">
        <v>10</v>
      </c>
      <c r="E2067" s="4" t="s">
        <v>745</v>
      </c>
      <c r="F2067" t="s">
        <v>134</v>
      </c>
      <c r="G2067" t="s">
        <v>85</v>
      </c>
      <c r="H2067" s="4" t="s">
        <v>88</v>
      </c>
      <c r="I2067" s="4" t="s">
        <v>20</v>
      </c>
      <c r="J2067" s="4" t="s">
        <v>88</v>
      </c>
      <c r="K2067" s="4" t="s">
        <v>20</v>
      </c>
      <c r="L2067" s="4" t="s">
        <v>742</v>
      </c>
      <c r="M2067" s="17">
        <v>30</v>
      </c>
      <c r="N2067" s="17">
        <v>705</v>
      </c>
      <c r="O2067" s="18" t="s">
        <v>88</v>
      </c>
      <c r="P2067" s="18">
        <v>705</v>
      </c>
      <c r="Q2067" s="18">
        <v>30</v>
      </c>
      <c r="R2067" s="18" t="s">
        <v>778</v>
      </c>
      <c r="S2067" s="18" t="s">
        <v>806</v>
      </c>
      <c r="T2067" s="18" t="s">
        <v>782</v>
      </c>
      <c r="U20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67" s="19">
        <f>IF(AUDITORIA[[#This Row],[CAT]]="",0,1)</f>
        <v>1</v>
      </c>
      <c r="W2067" s="20">
        <v>46232</v>
      </c>
      <c r="X2067" s="21" t="s">
        <v>906</v>
      </c>
      <c r="Y2067" s="24" t="s">
        <v>901</v>
      </c>
      <c r="Z2067" s="24" t="s">
        <v>902</v>
      </c>
      <c r="AA2067" s="24" t="s">
        <v>903</v>
      </c>
    </row>
    <row r="2068" spans="1:27" ht="14.4" hidden="1" customHeight="1" x14ac:dyDescent="0.3">
      <c r="A2068" s="4" t="s">
        <v>0</v>
      </c>
      <c r="B2068" s="4" t="s">
        <v>17</v>
      </c>
      <c r="C2068" s="16" t="s">
        <v>18</v>
      </c>
      <c r="D2068" s="4">
        <v>10</v>
      </c>
      <c r="E2068" s="4" t="s">
        <v>745</v>
      </c>
      <c r="F2068" t="s">
        <v>130</v>
      </c>
      <c r="G2068" t="s">
        <v>85</v>
      </c>
      <c r="H2068" s="4" t="s">
        <v>88</v>
      </c>
      <c r="I2068" s="4" t="s">
        <v>21</v>
      </c>
      <c r="J2068" s="4" t="s">
        <v>88</v>
      </c>
      <c r="K2068" s="4" t="s">
        <v>21</v>
      </c>
      <c r="L2068" s="4" t="s">
        <v>742</v>
      </c>
      <c r="M2068" s="17">
        <v>30</v>
      </c>
      <c r="N2068" s="17">
        <v>853</v>
      </c>
      <c r="O2068" s="18" t="s">
        <v>88</v>
      </c>
      <c r="P2068" s="18">
        <v>853</v>
      </c>
      <c r="Q2068" s="18">
        <v>30</v>
      </c>
      <c r="R2068" s="18" t="s">
        <v>778</v>
      </c>
      <c r="S2068" s="28" t="s">
        <v>910</v>
      </c>
      <c r="T2068" s="28" t="s">
        <v>781</v>
      </c>
      <c r="U20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68" s="19">
        <f>IF(AUDITORIA[[#This Row],[CAT]]="",0,1)</f>
        <v>1</v>
      </c>
      <c r="W2068" s="20">
        <v>46232</v>
      </c>
      <c r="X2068" s="21" t="s">
        <v>906</v>
      </c>
      <c r="Y2068" s="24" t="s">
        <v>901</v>
      </c>
      <c r="Z2068" s="24" t="s">
        <v>902</v>
      </c>
      <c r="AA2068" s="24" t="s">
        <v>903</v>
      </c>
    </row>
    <row r="2069" spans="1:27" ht="14.4" hidden="1" customHeight="1" x14ac:dyDescent="0.3">
      <c r="A2069" s="4" t="s">
        <v>0</v>
      </c>
      <c r="B2069" s="4" t="s">
        <v>17</v>
      </c>
      <c r="C2069" s="16" t="s">
        <v>18</v>
      </c>
      <c r="D2069" s="4">
        <v>10</v>
      </c>
      <c r="E2069" s="4" t="s">
        <v>745</v>
      </c>
      <c r="F2069" t="s">
        <v>133</v>
      </c>
      <c r="G2069" t="s">
        <v>85</v>
      </c>
      <c r="H2069" s="4" t="s">
        <v>88</v>
      </c>
      <c r="I2069" s="4" t="s">
        <v>20</v>
      </c>
      <c r="J2069" s="4" t="s">
        <v>88</v>
      </c>
      <c r="K2069" s="4" t="s">
        <v>20</v>
      </c>
      <c r="L2069" s="4" t="s">
        <v>742</v>
      </c>
      <c r="M2069" s="17">
        <v>30</v>
      </c>
      <c r="N2069" s="17">
        <v>697</v>
      </c>
      <c r="O2069" s="18" t="s">
        <v>88</v>
      </c>
      <c r="P2069" s="18">
        <v>697</v>
      </c>
      <c r="Q2069" s="18">
        <v>30</v>
      </c>
      <c r="R2069" s="18" t="s">
        <v>778</v>
      </c>
      <c r="S2069" s="18" t="s">
        <v>812</v>
      </c>
      <c r="T2069" s="18" t="s">
        <v>780</v>
      </c>
      <c r="U20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69" s="19">
        <f>IF(AUDITORIA[[#This Row],[CAT]]="",0,1)</f>
        <v>1</v>
      </c>
      <c r="W2069" s="20">
        <v>46232</v>
      </c>
      <c r="X2069" s="21" t="s">
        <v>906</v>
      </c>
      <c r="Y2069" s="24" t="s">
        <v>901</v>
      </c>
      <c r="Z2069" s="24" t="s">
        <v>902</v>
      </c>
      <c r="AA2069" s="24" t="s">
        <v>903</v>
      </c>
    </row>
    <row r="2070" spans="1:27" ht="14.4" hidden="1" customHeight="1" x14ac:dyDescent="0.3">
      <c r="A2070" s="4" t="s">
        <v>0</v>
      </c>
      <c r="B2070" s="4" t="s">
        <v>17</v>
      </c>
      <c r="C2070" s="16" t="s">
        <v>18</v>
      </c>
      <c r="D2070" s="4">
        <v>10</v>
      </c>
      <c r="E2070" s="4" t="s">
        <v>745</v>
      </c>
      <c r="F2070" t="s">
        <v>132</v>
      </c>
      <c r="G2070" t="s">
        <v>85</v>
      </c>
      <c r="H2070" s="4" t="s">
        <v>88</v>
      </c>
      <c r="I2070" s="4" t="s">
        <v>20</v>
      </c>
      <c r="J2070" s="4" t="s">
        <v>88</v>
      </c>
      <c r="K2070" s="4" t="s">
        <v>20</v>
      </c>
      <c r="L2070" s="4" t="s">
        <v>742</v>
      </c>
      <c r="M2070" s="17">
        <v>30</v>
      </c>
      <c r="N2070" s="17">
        <v>708</v>
      </c>
      <c r="O2070" s="18" t="s">
        <v>88</v>
      </c>
      <c r="P2070" s="18">
        <v>708</v>
      </c>
      <c r="Q2070" s="18">
        <v>30</v>
      </c>
      <c r="R2070" s="18" t="s">
        <v>778</v>
      </c>
      <c r="S2070" s="18" t="s">
        <v>812</v>
      </c>
      <c r="T2070" s="18" t="s">
        <v>781</v>
      </c>
      <c r="U20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70" s="19">
        <f>IF(AUDITORIA[[#This Row],[CAT]]="",0,1)</f>
        <v>1</v>
      </c>
      <c r="W2070" s="20">
        <v>46232</v>
      </c>
      <c r="X2070" s="21" t="s">
        <v>906</v>
      </c>
      <c r="Y2070" s="24" t="s">
        <v>901</v>
      </c>
      <c r="Z2070" s="24" t="s">
        <v>902</v>
      </c>
      <c r="AA2070" s="24" t="s">
        <v>903</v>
      </c>
    </row>
    <row r="2071" spans="1:27" ht="14.4" hidden="1" customHeight="1" x14ac:dyDescent="0.3">
      <c r="A2071" s="4" t="s">
        <v>0</v>
      </c>
      <c r="B2071" s="4" t="s">
        <v>17</v>
      </c>
      <c r="C2071" s="16" t="s">
        <v>18</v>
      </c>
      <c r="D2071" s="4">
        <v>10</v>
      </c>
      <c r="E2071" s="4" t="s">
        <v>745</v>
      </c>
      <c r="F2071" t="s">
        <v>131</v>
      </c>
      <c r="G2071" t="s">
        <v>85</v>
      </c>
      <c r="H2071" s="4" t="s">
        <v>88</v>
      </c>
      <c r="I2071" s="4" t="s">
        <v>20</v>
      </c>
      <c r="J2071" s="4" t="s">
        <v>88</v>
      </c>
      <c r="K2071" s="4" t="s">
        <v>20</v>
      </c>
      <c r="L2071" s="4" t="s">
        <v>742</v>
      </c>
      <c r="M2071" s="17">
        <v>30</v>
      </c>
      <c r="N2071" s="17">
        <v>683</v>
      </c>
      <c r="O2071" s="18" t="s">
        <v>88</v>
      </c>
      <c r="P2071" s="18">
        <v>683</v>
      </c>
      <c r="Q2071" s="18">
        <v>30</v>
      </c>
      <c r="R2071" s="18" t="str">
        <f>VLOOKUP(AUDITORIA[[#This Row],[LOTE]],[1]ENDEREÇAMENTO!$C$2:$J$9999,8,FALSE)</f>
        <v>Cam.B</v>
      </c>
      <c r="S2071" s="18" t="str">
        <f>VLOOKUP(RIGHT(AUDITORIA[[#This Row],[LOTE]],4),[2]Lotes!$A$2:$E$209,2,FALSE)</f>
        <v>QD.03</v>
      </c>
      <c r="T2071" s="18" t="str">
        <f>VLOOKUP(RIGHT(AUDITORIA[[#This Row],[LOTE]],4),[2]Lotes!$A$2:$E$209,4,FALSE)</f>
        <v>F2</v>
      </c>
      <c r="U20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71" s="19">
        <f>IF(AUDITORIA[[#This Row],[CAT]]="",0,1)</f>
        <v>1</v>
      </c>
      <c r="W2071" s="20">
        <v>46232</v>
      </c>
      <c r="X2071" s="21" t="s">
        <v>906</v>
      </c>
      <c r="Y2071" s="24" t="s">
        <v>901</v>
      </c>
      <c r="Z2071" s="24" t="s">
        <v>902</v>
      </c>
      <c r="AA2071" s="24" t="s">
        <v>903</v>
      </c>
    </row>
    <row r="2072" spans="1:27" ht="14.4" hidden="1" customHeight="1" x14ac:dyDescent="0.3">
      <c r="A2072" s="4" t="s">
        <v>0</v>
      </c>
      <c r="B2072" s="4" t="s">
        <v>17</v>
      </c>
      <c r="C2072" s="16" t="s">
        <v>18</v>
      </c>
      <c r="D2072" s="4">
        <v>10</v>
      </c>
      <c r="E2072" s="4" t="s">
        <v>745</v>
      </c>
      <c r="F2072" t="s">
        <v>129</v>
      </c>
      <c r="G2072" t="s">
        <v>85</v>
      </c>
      <c r="H2072" s="4" t="s">
        <v>88</v>
      </c>
      <c r="I2072" s="4" t="s">
        <v>20</v>
      </c>
      <c r="J2072" s="4" t="s">
        <v>88</v>
      </c>
      <c r="K2072" s="4" t="s">
        <v>20</v>
      </c>
      <c r="L2072" s="4" t="s">
        <v>742</v>
      </c>
      <c r="M2072" s="17">
        <v>30</v>
      </c>
      <c r="N2072" s="17">
        <v>690</v>
      </c>
      <c r="O2072" s="18" t="s">
        <v>88</v>
      </c>
      <c r="P2072" s="18">
        <v>690</v>
      </c>
      <c r="Q2072" s="18">
        <v>30</v>
      </c>
      <c r="R2072" s="18" t="s">
        <v>778</v>
      </c>
      <c r="S2072" s="28" t="s">
        <v>810</v>
      </c>
      <c r="T2072" s="28" t="s">
        <v>909</v>
      </c>
      <c r="U20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72" s="19">
        <f>IF(AUDITORIA[[#This Row],[CAT]]="",0,1)</f>
        <v>1</v>
      </c>
      <c r="W2072" s="20">
        <v>46232</v>
      </c>
      <c r="X2072" s="21" t="s">
        <v>906</v>
      </c>
      <c r="Y2072" s="24" t="s">
        <v>901</v>
      </c>
      <c r="Z2072" s="24" t="s">
        <v>902</v>
      </c>
      <c r="AA2072" s="24" t="s">
        <v>903</v>
      </c>
    </row>
    <row r="2073" spans="1:27" ht="14.4" hidden="1" customHeight="1" x14ac:dyDescent="0.3">
      <c r="A2073" s="4" t="s">
        <v>0</v>
      </c>
      <c r="B2073" s="4" t="s">
        <v>17</v>
      </c>
      <c r="C2073" s="16" t="s">
        <v>18</v>
      </c>
      <c r="D2073" s="4">
        <v>10</v>
      </c>
      <c r="E2073" s="4" t="s">
        <v>745</v>
      </c>
      <c r="F2073" t="s">
        <v>126</v>
      </c>
      <c r="G2073" t="s">
        <v>85</v>
      </c>
      <c r="H2073" s="4" t="s">
        <v>88</v>
      </c>
      <c r="I2073" s="4" t="s">
        <v>21</v>
      </c>
      <c r="J2073" s="4" t="s">
        <v>88</v>
      </c>
      <c r="K2073" s="4" t="s">
        <v>21</v>
      </c>
      <c r="L2073" s="4" t="s">
        <v>742</v>
      </c>
      <c r="M2073" s="17">
        <v>26</v>
      </c>
      <c r="N2073" s="17">
        <v>820</v>
      </c>
      <c r="O2073" s="18" t="s">
        <v>88</v>
      </c>
      <c r="P2073" s="18">
        <v>820</v>
      </c>
      <c r="Q2073" s="18">
        <v>26</v>
      </c>
      <c r="R2073" s="18" t="s">
        <v>778</v>
      </c>
      <c r="S2073" s="28" t="s">
        <v>910</v>
      </c>
      <c r="T2073" s="28" t="s">
        <v>782</v>
      </c>
      <c r="U20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73" s="19">
        <f>IF(AUDITORIA[[#This Row],[CAT]]="",0,1)</f>
        <v>1</v>
      </c>
      <c r="W2073" s="20">
        <v>46232</v>
      </c>
      <c r="X2073" s="21" t="s">
        <v>906</v>
      </c>
      <c r="Y2073" s="24" t="s">
        <v>901</v>
      </c>
      <c r="Z2073" s="24" t="s">
        <v>902</v>
      </c>
      <c r="AA2073" s="24" t="s">
        <v>903</v>
      </c>
    </row>
    <row r="2074" spans="1:27" ht="14.4" hidden="1" customHeight="1" x14ac:dyDescent="0.3">
      <c r="A2074" s="4" t="s">
        <v>0</v>
      </c>
      <c r="B2074" s="4" t="s">
        <v>17</v>
      </c>
      <c r="C2074" s="16" t="s">
        <v>18</v>
      </c>
      <c r="D2074" s="4">
        <v>10</v>
      </c>
      <c r="E2074" s="4" t="s">
        <v>745</v>
      </c>
      <c r="F2074" t="s">
        <v>128</v>
      </c>
      <c r="G2074" t="s">
        <v>85</v>
      </c>
      <c r="H2074" s="4" t="s">
        <v>88</v>
      </c>
      <c r="I2074" s="4" t="s">
        <v>20</v>
      </c>
      <c r="J2074" s="4" t="s">
        <v>88</v>
      </c>
      <c r="K2074" s="4" t="s">
        <v>20</v>
      </c>
      <c r="L2074" s="4" t="s">
        <v>742</v>
      </c>
      <c r="M2074" s="17">
        <v>30</v>
      </c>
      <c r="N2074" s="17">
        <v>704</v>
      </c>
      <c r="O2074" s="18" t="s">
        <v>88</v>
      </c>
      <c r="P2074" s="18">
        <v>704</v>
      </c>
      <c r="Q2074" s="18">
        <v>30</v>
      </c>
      <c r="R2074" s="18" t="s">
        <v>778</v>
      </c>
      <c r="S2074" s="18" t="s">
        <v>810</v>
      </c>
      <c r="T2074" s="18" t="s">
        <v>781</v>
      </c>
      <c r="U20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74" s="19">
        <f>IF(AUDITORIA[[#This Row],[CAT]]="",0,1)</f>
        <v>1</v>
      </c>
      <c r="W2074" s="20">
        <v>46232</v>
      </c>
      <c r="X2074" s="21" t="s">
        <v>906</v>
      </c>
      <c r="Y2074" s="24" t="s">
        <v>901</v>
      </c>
      <c r="Z2074" s="24" t="s">
        <v>902</v>
      </c>
      <c r="AA2074" s="24" t="s">
        <v>903</v>
      </c>
    </row>
    <row r="2075" spans="1:27" ht="14.4" hidden="1" customHeight="1" x14ac:dyDescent="0.3">
      <c r="A2075" s="4" t="s">
        <v>0</v>
      </c>
      <c r="B2075" s="4" t="s">
        <v>17</v>
      </c>
      <c r="C2075" s="16" t="s">
        <v>18</v>
      </c>
      <c r="D2075" s="4">
        <v>10</v>
      </c>
      <c r="E2075" s="4" t="s">
        <v>745</v>
      </c>
      <c r="F2075" t="s">
        <v>127</v>
      </c>
      <c r="G2075" t="s">
        <v>85</v>
      </c>
      <c r="H2075" s="4" t="s">
        <v>88</v>
      </c>
      <c r="I2075" s="4" t="s">
        <v>20</v>
      </c>
      <c r="J2075" s="4" t="s">
        <v>88</v>
      </c>
      <c r="K2075" s="4" t="s">
        <v>20</v>
      </c>
      <c r="L2075" s="4" t="s">
        <v>742</v>
      </c>
      <c r="M2075" s="17">
        <v>22</v>
      </c>
      <c r="N2075" s="17">
        <v>705</v>
      </c>
      <c r="O2075" s="18" t="s">
        <v>88</v>
      </c>
      <c r="P2075" s="18">
        <v>705</v>
      </c>
      <c r="Q2075" s="18">
        <v>22</v>
      </c>
      <c r="R2075" s="18" t="s">
        <v>778</v>
      </c>
      <c r="S2075" s="18" t="s">
        <v>810</v>
      </c>
      <c r="T2075" s="18" t="s">
        <v>782</v>
      </c>
      <c r="U20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75" s="19">
        <f>IF(AUDITORIA[[#This Row],[CAT]]="",0,1)</f>
        <v>1</v>
      </c>
      <c r="W2075" s="20">
        <v>46232</v>
      </c>
      <c r="X2075" s="21" t="s">
        <v>906</v>
      </c>
      <c r="Y2075" s="24" t="s">
        <v>901</v>
      </c>
      <c r="Z2075" s="24" t="s">
        <v>902</v>
      </c>
      <c r="AA2075" s="24" t="s">
        <v>903</v>
      </c>
    </row>
    <row r="2076" spans="1:27" ht="14.4" hidden="1" customHeight="1" x14ac:dyDescent="0.3">
      <c r="A2076" s="4" t="s">
        <v>0</v>
      </c>
      <c r="B2076" s="4" t="s">
        <v>17</v>
      </c>
      <c r="C2076" s="16" t="s">
        <v>18</v>
      </c>
      <c r="D2076" s="4">
        <v>10</v>
      </c>
      <c r="E2076" s="4" t="s">
        <v>745</v>
      </c>
      <c r="F2076" t="s">
        <v>125</v>
      </c>
      <c r="G2076" t="s">
        <v>835</v>
      </c>
      <c r="H2076" s="4" t="s">
        <v>31</v>
      </c>
      <c r="I2076" s="4" t="s">
        <v>21</v>
      </c>
      <c r="J2076" s="4" t="s">
        <v>31</v>
      </c>
      <c r="K2076" s="4" t="s">
        <v>21</v>
      </c>
      <c r="L2076" s="4" t="s">
        <v>742</v>
      </c>
      <c r="M2076" s="17">
        <v>24</v>
      </c>
      <c r="N2076" s="17">
        <v>1045</v>
      </c>
      <c r="O2076" s="18" t="s">
        <v>31</v>
      </c>
      <c r="P2076" s="18">
        <v>1045</v>
      </c>
      <c r="Q2076" s="18">
        <v>24</v>
      </c>
      <c r="R2076" s="18" t="s">
        <v>778</v>
      </c>
      <c r="S2076" s="18" t="s">
        <v>791</v>
      </c>
      <c r="T2076" s="18" t="s">
        <v>780</v>
      </c>
      <c r="U20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76" s="19">
        <f>IF(AUDITORIA[[#This Row],[CAT]]="",0,1)</f>
        <v>1</v>
      </c>
      <c r="W2076" s="20">
        <v>46232</v>
      </c>
      <c r="X2076" s="21" t="s">
        <v>906</v>
      </c>
      <c r="Y2076" s="24" t="s">
        <v>901</v>
      </c>
      <c r="Z2076" s="24" t="s">
        <v>902</v>
      </c>
      <c r="AA2076" s="24" t="s">
        <v>903</v>
      </c>
    </row>
    <row r="2077" spans="1:27" ht="14.4" hidden="1" customHeight="1" x14ac:dyDescent="0.3">
      <c r="A2077" s="4" t="s">
        <v>0</v>
      </c>
      <c r="B2077" s="4" t="s">
        <v>17</v>
      </c>
      <c r="C2077" s="16" t="s">
        <v>18</v>
      </c>
      <c r="D2077" s="4">
        <v>10</v>
      </c>
      <c r="E2077" s="4" t="s">
        <v>745</v>
      </c>
      <c r="F2077" t="s">
        <v>124</v>
      </c>
      <c r="G2077" t="s">
        <v>835</v>
      </c>
      <c r="H2077" s="4" t="s">
        <v>31</v>
      </c>
      <c r="I2077" s="4" t="s">
        <v>21</v>
      </c>
      <c r="J2077" s="4" t="s">
        <v>31</v>
      </c>
      <c r="K2077" s="4" t="s">
        <v>21</v>
      </c>
      <c r="L2077" s="4" t="s">
        <v>742</v>
      </c>
      <c r="M2077" s="17">
        <v>24</v>
      </c>
      <c r="N2077" s="17">
        <v>1075</v>
      </c>
      <c r="O2077" s="18" t="s">
        <v>31</v>
      </c>
      <c r="P2077" s="18">
        <v>1075</v>
      </c>
      <c r="Q2077" s="18">
        <v>24</v>
      </c>
      <c r="R2077" s="18" t="s">
        <v>778</v>
      </c>
      <c r="S2077" s="18" t="s">
        <v>791</v>
      </c>
      <c r="T2077" s="18" t="s">
        <v>782</v>
      </c>
      <c r="U20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77" s="19">
        <f>IF(AUDITORIA[[#This Row],[CAT]]="",0,1)</f>
        <v>1</v>
      </c>
      <c r="W2077" s="20">
        <v>46232</v>
      </c>
      <c r="X2077" s="21" t="s">
        <v>906</v>
      </c>
      <c r="Y2077" s="24" t="s">
        <v>901</v>
      </c>
      <c r="Z2077" s="24" t="s">
        <v>902</v>
      </c>
      <c r="AA2077" s="24" t="s">
        <v>903</v>
      </c>
    </row>
    <row r="2078" spans="1:27" ht="14.4" hidden="1" customHeight="1" x14ac:dyDescent="0.3">
      <c r="A2078" s="4" t="s">
        <v>0</v>
      </c>
      <c r="B2078" s="4" t="s">
        <v>17</v>
      </c>
      <c r="C2078" s="16" t="s">
        <v>18</v>
      </c>
      <c r="D2078" s="4">
        <v>10</v>
      </c>
      <c r="E2078" s="4" t="s">
        <v>745</v>
      </c>
      <c r="F2078" t="s">
        <v>122</v>
      </c>
      <c r="G2078" t="s">
        <v>835</v>
      </c>
      <c r="H2078" s="4" t="s">
        <v>31</v>
      </c>
      <c r="I2078" s="4" t="s">
        <v>20</v>
      </c>
      <c r="J2078" s="4" t="s">
        <v>31</v>
      </c>
      <c r="K2078" s="4" t="s">
        <v>20</v>
      </c>
      <c r="L2078" s="4" t="s">
        <v>742</v>
      </c>
      <c r="M2078" s="17">
        <v>30</v>
      </c>
      <c r="N2078" s="17">
        <v>828</v>
      </c>
      <c r="O2078" s="18" t="s">
        <v>31</v>
      </c>
      <c r="P2078" s="18">
        <v>828</v>
      </c>
      <c r="Q2078" s="18">
        <v>30</v>
      </c>
      <c r="R2078" s="18" t="str">
        <f>VLOOKUP(AUDITORIA[[#This Row],[LOTE]],[1]ENDEREÇAMENTO!$C$2:$J$9999,8,FALSE)</f>
        <v>Cam.C</v>
      </c>
      <c r="S2078" s="18" t="str">
        <f>VLOOKUP(RIGHT(AUDITORIA[[#This Row],[LOTE]],4),[2]Lotes!$A$2:$E$209,2,FALSE)</f>
        <v>QD.18</v>
      </c>
      <c r="T2078" s="18" t="str">
        <f>VLOOKUP(RIGHT(AUDITORIA[[#This Row],[LOTE]],4),[2]Lotes!$A$2:$E$209,4,FALSE)</f>
        <v>F2</v>
      </c>
      <c r="U20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78" s="19">
        <f>IF(AUDITORIA[[#This Row],[CAT]]="",0,1)</f>
        <v>1</v>
      </c>
      <c r="W2078" s="20">
        <v>46232</v>
      </c>
      <c r="X2078" s="21" t="s">
        <v>906</v>
      </c>
      <c r="Y2078" s="24" t="s">
        <v>901</v>
      </c>
      <c r="Z2078" s="24" t="s">
        <v>902</v>
      </c>
      <c r="AA2078" s="24" t="s">
        <v>903</v>
      </c>
    </row>
    <row r="2079" spans="1:27" ht="14.4" hidden="1" customHeight="1" x14ac:dyDescent="0.3">
      <c r="A2079" s="4" t="s">
        <v>0</v>
      </c>
      <c r="B2079" s="4" t="s">
        <v>17</v>
      </c>
      <c r="C2079" s="16" t="s">
        <v>18</v>
      </c>
      <c r="D2079" s="4">
        <v>10</v>
      </c>
      <c r="E2079" s="4" t="s">
        <v>745</v>
      </c>
      <c r="F2079" t="s">
        <v>123</v>
      </c>
      <c r="G2079" t="s">
        <v>835</v>
      </c>
      <c r="H2079" s="4" t="s">
        <v>19</v>
      </c>
      <c r="I2079" s="4" t="s">
        <v>21</v>
      </c>
      <c r="J2079" s="4" t="s">
        <v>19</v>
      </c>
      <c r="K2079" s="4" t="s">
        <v>21</v>
      </c>
      <c r="L2079" s="4" t="s">
        <v>742</v>
      </c>
      <c r="M2079" s="17">
        <v>24</v>
      </c>
      <c r="N2079" s="17">
        <v>1061</v>
      </c>
      <c r="O2079" s="18" t="s">
        <v>19</v>
      </c>
      <c r="P2079" s="18">
        <v>1061</v>
      </c>
      <c r="Q2079" s="18">
        <v>24</v>
      </c>
      <c r="R2079" s="18" t="s">
        <v>778</v>
      </c>
      <c r="S2079" s="18" t="s">
        <v>792</v>
      </c>
      <c r="T2079" s="18" t="s">
        <v>780</v>
      </c>
      <c r="U20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79" s="19">
        <f>IF(AUDITORIA[[#This Row],[CAT]]="",0,1)</f>
        <v>1</v>
      </c>
      <c r="W2079" s="20">
        <v>46232</v>
      </c>
      <c r="X2079" s="21" t="s">
        <v>906</v>
      </c>
      <c r="Y2079" s="24" t="s">
        <v>901</v>
      </c>
      <c r="Z2079" s="24" t="s">
        <v>902</v>
      </c>
      <c r="AA2079" s="24" t="s">
        <v>903</v>
      </c>
    </row>
    <row r="2080" spans="1:27" ht="14.4" hidden="1" customHeight="1" x14ac:dyDescent="0.3">
      <c r="A2080" s="4" t="s">
        <v>0</v>
      </c>
      <c r="B2080" s="4" t="s">
        <v>17</v>
      </c>
      <c r="C2080" s="16" t="s">
        <v>18</v>
      </c>
      <c r="D2080" s="4">
        <v>10</v>
      </c>
      <c r="E2080" s="4" t="s">
        <v>745</v>
      </c>
      <c r="F2080" t="s">
        <v>121</v>
      </c>
      <c r="G2080" t="s">
        <v>835</v>
      </c>
      <c r="H2080" s="4" t="s">
        <v>19</v>
      </c>
      <c r="I2080" s="4" t="s">
        <v>21</v>
      </c>
      <c r="J2080" s="4" t="s">
        <v>19</v>
      </c>
      <c r="K2080" s="4" t="s">
        <v>21</v>
      </c>
      <c r="L2080" s="4" t="s">
        <v>742</v>
      </c>
      <c r="M2080" s="17">
        <v>27</v>
      </c>
      <c r="N2080" s="17">
        <v>995</v>
      </c>
      <c r="O2080" s="18" t="s">
        <v>19</v>
      </c>
      <c r="P2080" s="18">
        <v>995</v>
      </c>
      <c r="Q2080" s="18">
        <v>27</v>
      </c>
      <c r="R2080" s="18" t="str">
        <f>VLOOKUP(AUDITORIA[[#This Row],[LOTE]],[1]ENDEREÇAMENTO!$C$2:$J$9999,8,FALSE)</f>
        <v>Cam.B</v>
      </c>
      <c r="S2080" s="18" t="str">
        <f>VLOOKUP(RIGHT(AUDITORIA[[#This Row],[LOTE]],4),[2]Lotes!$A$2:$E$209,2,FALSE)</f>
        <v>QD.02</v>
      </c>
      <c r="T2080" s="18" t="str">
        <f>VLOOKUP(RIGHT(AUDITORIA[[#This Row],[LOTE]],4),[2]Lotes!$A$2:$E$209,4,FALSE)</f>
        <v>F2</v>
      </c>
      <c r="U20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80" s="19">
        <f>IF(AUDITORIA[[#This Row],[CAT]]="",0,1)</f>
        <v>1</v>
      </c>
      <c r="W2080" s="20">
        <v>46232</v>
      </c>
      <c r="X2080" s="21" t="s">
        <v>906</v>
      </c>
      <c r="Y2080" s="24" t="s">
        <v>901</v>
      </c>
      <c r="Z2080" s="24" t="s">
        <v>902</v>
      </c>
      <c r="AA2080" s="24" t="s">
        <v>903</v>
      </c>
    </row>
    <row r="2081" spans="1:27" ht="14.4" hidden="1" customHeight="1" x14ac:dyDescent="0.3">
      <c r="A2081" s="4" t="s">
        <v>0</v>
      </c>
      <c r="B2081" s="4" t="s">
        <v>17</v>
      </c>
      <c r="C2081" s="16" t="s">
        <v>18</v>
      </c>
      <c r="D2081" s="4">
        <v>10</v>
      </c>
      <c r="E2081" s="4" t="s">
        <v>745</v>
      </c>
      <c r="F2081" t="s">
        <v>117</v>
      </c>
      <c r="G2081" t="s">
        <v>835</v>
      </c>
      <c r="H2081" s="4" t="s">
        <v>19</v>
      </c>
      <c r="I2081" s="4" t="s">
        <v>20</v>
      </c>
      <c r="J2081" s="4" t="s">
        <v>19</v>
      </c>
      <c r="K2081" s="4" t="s">
        <v>20</v>
      </c>
      <c r="L2081" s="4" t="s">
        <v>742</v>
      </c>
      <c r="M2081" s="17">
        <v>30</v>
      </c>
      <c r="N2081" s="17">
        <v>804</v>
      </c>
      <c r="O2081" s="18" t="s">
        <v>19</v>
      </c>
      <c r="P2081" s="18">
        <v>804</v>
      </c>
      <c r="Q2081" s="18">
        <v>30</v>
      </c>
      <c r="R2081" s="18" t="str">
        <f>VLOOKUP(AUDITORIA[[#This Row],[LOTE]],[1]ENDEREÇAMENTO!$C$2:$J$9999,8,FALSE)</f>
        <v>Cam.C</v>
      </c>
      <c r="S2081" s="18" t="str">
        <f>VLOOKUP(RIGHT(AUDITORIA[[#This Row],[LOTE]],4),[2]Lotes!$A$2:$E$209,2,FALSE)</f>
        <v>QD.18</v>
      </c>
      <c r="T2081" s="18" t="str">
        <f>VLOOKUP(RIGHT(AUDITORIA[[#This Row],[LOTE]],4),[2]Lotes!$A$2:$E$209,4,FALSE)</f>
        <v>F1</v>
      </c>
      <c r="U20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81" s="19">
        <f>IF(AUDITORIA[[#This Row],[CAT]]="",0,1)</f>
        <v>1</v>
      </c>
      <c r="W2081" s="20">
        <v>46232</v>
      </c>
      <c r="X2081" s="21" t="s">
        <v>906</v>
      </c>
      <c r="Y2081" s="24" t="s">
        <v>901</v>
      </c>
      <c r="Z2081" s="24" t="s">
        <v>902</v>
      </c>
      <c r="AA2081" s="24" t="s">
        <v>903</v>
      </c>
    </row>
    <row r="2082" spans="1:27" ht="14.4" hidden="1" customHeight="1" x14ac:dyDescent="0.3">
      <c r="A2082" s="4" t="s">
        <v>0</v>
      </c>
      <c r="B2082" s="4" t="s">
        <v>17</v>
      </c>
      <c r="C2082" s="16" t="s">
        <v>18</v>
      </c>
      <c r="D2082" s="4">
        <v>10</v>
      </c>
      <c r="E2082" s="4" t="s">
        <v>745</v>
      </c>
      <c r="F2082" t="s">
        <v>120</v>
      </c>
      <c r="G2082" t="s">
        <v>835</v>
      </c>
      <c r="H2082" s="4" t="s">
        <v>19</v>
      </c>
      <c r="I2082" s="4" t="s">
        <v>21</v>
      </c>
      <c r="J2082" s="4" t="s">
        <v>19</v>
      </c>
      <c r="K2082" s="4" t="s">
        <v>21</v>
      </c>
      <c r="L2082" s="4" t="s">
        <v>742</v>
      </c>
      <c r="M2082" s="17">
        <v>24</v>
      </c>
      <c r="N2082" s="17">
        <v>1049</v>
      </c>
      <c r="O2082" s="18" t="s">
        <v>19</v>
      </c>
      <c r="P2082" s="18">
        <v>1049</v>
      </c>
      <c r="Q2082" s="18">
        <v>24</v>
      </c>
      <c r="R2082" s="18" t="str">
        <f>VLOOKUP(AUDITORIA[[#This Row],[LOTE]],[1]ENDEREÇAMENTO!$C$2:$J$9999,8,FALSE)</f>
        <v>Cam.B</v>
      </c>
      <c r="S2082" s="18" t="str">
        <f>VLOOKUP(RIGHT(AUDITORIA[[#This Row],[LOTE]],4),[2]Lotes!$A$2:$E$209,2,FALSE)</f>
        <v>QD.02</v>
      </c>
      <c r="T2082" s="18" t="str">
        <f>VLOOKUP(RIGHT(AUDITORIA[[#This Row],[LOTE]],4),[2]Lotes!$A$2:$E$209,4,FALSE)</f>
        <v>F1</v>
      </c>
      <c r="U20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82" s="19">
        <f>IF(AUDITORIA[[#This Row],[CAT]]="",0,1)</f>
        <v>1</v>
      </c>
      <c r="W2082" s="20">
        <v>46232</v>
      </c>
      <c r="X2082" s="21" t="s">
        <v>906</v>
      </c>
      <c r="Y2082" s="24" t="s">
        <v>901</v>
      </c>
      <c r="Z2082" s="24" t="s">
        <v>902</v>
      </c>
      <c r="AA2082" s="24" t="s">
        <v>903</v>
      </c>
    </row>
    <row r="2083" spans="1:27" ht="14.4" hidden="1" customHeight="1" x14ac:dyDescent="0.3">
      <c r="A2083" s="4" t="s">
        <v>0</v>
      </c>
      <c r="B2083" s="4" t="s">
        <v>17</v>
      </c>
      <c r="C2083" s="16" t="s">
        <v>18</v>
      </c>
      <c r="D2083" s="4">
        <v>10</v>
      </c>
      <c r="E2083" s="4" t="s">
        <v>745</v>
      </c>
      <c r="F2083" t="s">
        <v>119</v>
      </c>
      <c r="G2083" t="s">
        <v>835</v>
      </c>
      <c r="H2083" s="4" t="s">
        <v>19</v>
      </c>
      <c r="I2083" s="4" t="s">
        <v>21</v>
      </c>
      <c r="J2083" s="4" t="s">
        <v>19</v>
      </c>
      <c r="K2083" s="4" t="s">
        <v>21</v>
      </c>
      <c r="L2083" s="4" t="s">
        <v>742</v>
      </c>
      <c r="M2083" s="17">
        <v>24</v>
      </c>
      <c r="N2083" s="17">
        <v>1050</v>
      </c>
      <c r="O2083" s="18" t="s">
        <v>19</v>
      </c>
      <c r="P2083" s="18">
        <v>1050</v>
      </c>
      <c r="Q2083" s="18">
        <v>24</v>
      </c>
      <c r="R2083" s="18" t="s">
        <v>778</v>
      </c>
      <c r="S2083" s="28" t="s">
        <v>915</v>
      </c>
      <c r="T2083" s="28" t="s">
        <v>794</v>
      </c>
      <c r="U20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83" s="19">
        <f>IF(AUDITORIA[[#This Row],[CAT]]="",0,1)</f>
        <v>1</v>
      </c>
      <c r="W2083" s="20">
        <v>46232</v>
      </c>
      <c r="X2083" s="21" t="s">
        <v>906</v>
      </c>
      <c r="Y2083" s="24" t="s">
        <v>901</v>
      </c>
      <c r="Z2083" s="24" t="s">
        <v>902</v>
      </c>
      <c r="AA2083" s="24" t="s">
        <v>903</v>
      </c>
    </row>
    <row r="2084" spans="1:27" ht="14.4" hidden="1" customHeight="1" x14ac:dyDescent="0.3">
      <c r="A2084" s="4" t="s">
        <v>0</v>
      </c>
      <c r="B2084" s="4" t="s">
        <v>17</v>
      </c>
      <c r="C2084" s="16" t="s">
        <v>18</v>
      </c>
      <c r="D2084" s="4">
        <v>10</v>
      </c>
      <c r="E2084" s="4" t="s">
        <v>745</v>
      </c>
      <c r="F2084" t="s">
        <v>116</v>
      </c>
      <c r="G2084" t="s">
        <v>835</v>
      </c>
      <c r="H2084" s="4" t="s">
        <v>19</v>
      </c>
      <c r="I2084" s="4" t="s">
        <v>21</v>
      </c>
      <c r="J2084" s="4" t="s">
        <v>19</v>
      </c>
      <c r="K2084" s="4" t="s">
        <v>21</v>
      </c>
      <c r="L2084" s="4" t="s">
        <v>742</v>
      </c>
      <c r="M2084" s="17">
        <v>24</v>
      </c>
      <c r="N2084" s="17">
        <v>1032</v>
      </c>
      <c r="O2084" s="18" t="s">
        <v>19</v>
      </c>
      <c r="P2084" s="18">
        <v>1032</v>
      </c>
      <c r="Q2084" s="18">
        <v>24</v>
      </c>
      <c r="R2084" s="18" t="s">
        <v>778</v>
      </c>
      <c r="S2084" s="18" t="s">
        <v>790</v>
      </c>
      <c r="T2084" s="18" t="s">
        <v>781</v>
      </c>
      <c r="U20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84" s="19">
        <f>IF(AUDITORIA[[#This Row],[CAT]]="",0,1)</f>
        <v>1</v>
      </c>
      <c r="W2084" s="20">
        <v>46232</v>
      </c>
      <c r="X2084" s="21" t="s">
        <v>906</v>
      </c>
      <c r="Y2084" s="24" t="s">
        <v>901</v>
      </c>
      <c r="Z2084" s="24" t="s">
        <v>902</v>
      </c>
      <c r="AA2084" s="24" t="s">
        <v>903</v>
      </c>
    </row>
    <row r="2085" spans="1:27" ht="14.4" hidden="1" customHeight="1" x14ac:dyDescent="0.3">
      <c r="A2085" s="4" t="s">
        <v>0</v>
      </c>
      <c r="B2085" s="4" t="s">
        <v>17</v>
      </c>
      <c r="C2085" s="16" t="s">
        <v>18</v>
      </c>
      <c r="D2085" s="4">
        <v>10</v>
      </c>
      <c r="E2085" s="4" t="s">
        <v>745</v>
      </c>
      <c r="F2085" t="s">
        <v>111</v>
      </c>
      <c r="G2085" t="s">
        <v>835</v>
      </c>
      <c r="H2085" s="4" t="s">
        <v>19</v>
      </c>
      <c r="I2085" s="4" t="s">
        <v>20</v>
      </c>
      <c r="J2085" s="4" t="s">
        <v>19</v>
      </c>
      <c r="K2085" s="4" t="s">
        <v>20</v>
      </c>
      <c r="L2085" s="4" t="s">
        <v>742</v>
      </c>
      <c r="M2085" s="17">
        <v>30</v>
      </c>
      <c r="N2085" s="17">
        <v>823</v>
      </c>
      <c r="O2085" s="18" t="s">
        <v>19</v>
      </c>
      <c r="P2085" s="18">
        <v>823</v>
      </c>
      <c r="Q2085" s="18">
        <v>30</v>
      </c>
      <c r="R2085" s="18" t="s">
        <v>778</v>
      </c>
      <c r="S2085" s="28" t="s">
        <v>908</v>
      </c>
      <c r="T2085" s="28" t="s">
        <v>782</v>
      </c>
      <c r="U20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85" s="19">
        <f>IF(AUDITORIA[[#This Row],[CAT]]="",0,1)</f>
        <v>1</v>
      </c>
      <c r="W2085" s="20">
        <v>46232</v>
      </c>
      <c r="X2085" s="21" t="s">
        <v>906</v>
      </c>
      <c r="Y2085" s="24" t="s">
        <v>901</v>
      </c>
      <c r="Z2085" s="24" t="s">
        <v>902</v>
      </c>
      <c r="AA2085" s="24" t="s">
        <v>903</v>
      </c>
    </row>
    <row r="2086" spans="1:27" ht="14.4" hidden="1" customHeight="1" x14ac:dyDescent="0.3">
      <c r="A2086" s="4" t="s">
        <v>0</v>
      </c>
      <c r="B2086" s="4" t="s">
        <v>17</v>
      </c>
      <c r="C2086" s="16" t="s">
        <v>18</v>
      </c>
      <c r="D2086" s="4">
        <v>10</v>
      </c>
      <c r="E2086" s="4" t="s">
        <v>745</v>
      </c>
      <c r="F2086" t="s">
        <v>115</v>
      </c>
      <c r="G2086" t="s">
        <v>835</v>
      </c>
      <c r="H2086" s="4" t="s">
        <v>19</v>
      </c>
      <c r="I2086" s="4" t="s">
        <v>21</v>
      </c>
      <c r="J2086" s="4" t="s">
        <v>19</v>
      </c>
      <c r="K2086" s="4" t="s">
        <v>21</v>
      </c>
      <c r="L2086" s="4" t="s">
        <v>742</v>
      </c>
      <c r="M2086" s="17">
        <v>24</v>
      </c>
      <c r="N2086" s="17">
        <v>1048</v>
      </c>
      <c r="O2086" s="18" t="s">
        <v>19</v>
      </c>
      <c r="P2086" s="18">
        <v>1048</v>
      </c>
      <c r="Q2086" s="18">
        <v>24</v>
      </c>
      <c r="R2086" s="18" t="s">
        <v>778</v>
      </c>
      <c r="S2086" s="18" t="s">
        <v>790</v>
      </c>
      <c r="T2086" s="18" t="s">
        <v>782</v>
      </c>
      <c r="U20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86" s="19">
        <f>IF(AUDITORIA[[#This Row],[CAT]]="",0,1)</f>
        <v>1</v>
      </c>
      <c r="W2086" s="20">
        <v>46232</v>
      </c>
      <c r="X2086" s="21" t="s">
        <v>906</v>
      </c>
      <c r="Y2086" s="24" t="s">
        <v>901</v>
      </c>
      <c r="Z2086" s="24" t="s">
        <v>902</v>
      </c>
      <c r="AA2086" s="24" t="s">
        <v>903</v>
      </c>
    </row>
    <row r="2087" spans="1:27" ht="14.4" hidden="1" customHeight="1" x14ac:dyDescent="0.3">
      <c r="A2087" s="4" t="s">
        <v>0</v>
      </c>
      <c r="B2087" s="4" t="s">
        <v>17</v>
      </c>
      <c r="C2087" s="16" t="s">
        <v>18</v>
      </c>
      <c r="D2087" s="4">
        <v>10</v>
      </c>
      <c r="E2087" s="4" t="s">
        <v>745</v>
      </c>
      <c r="F2087" t="s">
        <v>114</v>
      </c>
      <c r="G2087" t="s">
        <v>835</v>
      </c>
      <c r="H2087" s="4" t="s">
        <v>19</v>
      </c>
      <c r="I2087" s="4" t="s">
        <v>21</v>
      </c>
      <c r="J2087" s="4" t="s">
        <v>19</v>
      </c>
      <c r="K2087" s="4" t="s">
        <v>21</v>
      </c>
      <c r="L2087" s="4" t="s">
        <v>742</v>
      </c>
      <c r="M2087" s="17">
        <v>24</v>
      </c>
      <c r="N2087" s="17">
        <v>1064</v>
      </c>
      <c r="O2087" s="18" t="s">
        <v>19</v>
      </c>
      <c r="P2087" s="18">
        <v>1064</v>
      </c>
      <c r="Q2087" s="18">
        <v>24</v>
      </c>
      <c r="R2087" s="18" t="s">
        <v>778</v>
      </c>
      <c r="S2087" s="18" t="s">
        <v>789</v>
      </c>
      <c r="T2087" s="18" t="s">
        <v>780</v>
      </c>
      <c r="U20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87" s="19">
        <f>IF(AUDITORIA[[#This Row],[CAT]]="",0,1)</f>
        <v>1</v>
      </c>
      <c r="W2087" s="20">
        <v>46232</v>
      </c>
      <c r="X2087" s="21" t="s">
        <v>906</v>
      </c>
      <c r="Y2087" s="24" t="s">
        <v>901</v>
      </c>
      <c r="Z2087" s="24" t="s">
        <v>902</v>
      </c>
      <c r="AA2087" s="24" t="s">
        <v>903</v>
      </c>
    </row>
    <row r="2088" spans="1:27" ht="14.4" hidden="1" customHeight="1" x14ac:dyDescent="0.3">
      <c r="A2088" s="4" t="s">
        <v>0</v>
      </c>
      <c r="B2088" s="4" t="s">
        <v>17</v>
      </c>
      <c r="C2088" s="16" t="s">
        <v>18</v>
      </c>
      <c r="D2088" s="4">
        <v>10</v>
      </c>
      <c r="E2088" s="4" t="s">
        <v>745</v>
      </c>
      <c r="F2088" t="s">
        <v>113</v>
      </c>
      <c r="G2088" t="s">
        <v>835</v>
      </c>
      <c r="H2088" s="4" t="s">
        <v>19</v>
      </c>
      <c r="I2088" s="4" t="s">
        <v>21</v>
      </c>
      <c r="J2088" s="4" t="s">
        <v>19</v>
      </c>
      <c r="K2088" s="4" t="s">
        <v>21</v>
      </c>
      <c r="L2088" s="4" t="s">
        <v>742</v>
      </c>
      <c r="M2088" s="17">
        <v>24</v>
      </c>
      <c r="N2088" s="17">
        <v>1078</v>
      </c>
      <c r="O2088" s="18" t="s">
        <v>19</v>
      </c>
      <c r="P2088" s="18">
        <v>1078</v>
      </c>
      <c r="Q2088" s="18">
        <v>24</v>
      </c>
      <c r="R2088" s="18" t="s">
        <v>778</v>
      </c>
      <c r="S2088" s="18" t="s">
        <v>789</v>
      </c>
      <c r="T2088" s="18" t="s">
        <v>781</v>
      </c>
      <c r="U20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88" s="19">
        <f>IF(AUDITORIA[[#This Row],[CAT]]="",0,1)</f>
        <v>1</v>
      </c>
      <c r="W2088" s="20">
        <v>46232</v>
      </c>
      <c r="X2088" s="21" t="s">
        <v>906</v>
      </c>
      <c r="Y2088" s="24" t="s">
        <v>901</v>
      </c>
      <c r="Z2088" s="24" t="s">
        <v>902</v>
      </c>
      <c r="AA2088" s="24" t="s">
        <v>903</v>
      </c>
    </row>
    <row r="2089" spans="1:27" ht="14.4" hidden="1" customHeight="1" x14ac:dyDescent="0.3">
      <c r="A2089" s="4" t="s">
        <v>0</v>
      </c>
      <c r="B2089" s="4" t="s">
        <v>17</v>
      </c>
      <c r="C2089" s="16" t="s">
        <v>18</v>
      </c>
      <c r="D2089" s="4">
        <v>10</v>
      </c>
      <c r="E2089" s="4" t="s">
        <v>745</v>
      </c>
      <c r="F2089" t="s">
        <v>112</v>
      </c>
      <c r="G2089" t="s">
        <v>835</v>
      </c>
      <c r="H2089" s="4" t="s">
        <v>19</v>
      </c>
      <c r="I2089" s="4" t="s">
        <v>21</v>
      </c>
      <c r="J2089" s="4" t="s">
        <v>19</v>
      </c>
      <c r="K2089" s="4" t="s">
        <v>21</v>
      </c>
      <c r="L2089" s="4" t="s">
        <v>742</v>
      </c>
      <c r="M2089" s="17">
        <v>24</v>
      </c>
      <c r="N2089" s="17">
        <v>1073</v>
      </c>
      <c r="O2089" s="18" t="s">
        <v>19</v>
      </c>
      <c r="P2089" s="18">
        <v>1073</v>
      </c>
      <c r="Q2089" s="18">
        <v>24</v>
      </c>
      <c r="R2089" s="18" t="s">
        <v>778</v>
      </c>
      <c r="S2089" s="18" t="s">
        <v>789</v>
      </c>
      <c r="T2089" s="18" t="s">
        <v>904</v>
      </c>
      <c r="U20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89" s="19">
        <f>IF(AUDITORIA[[#This Row],[CAT]]="",0,1)</f>
        <v>1</v>
      </c>
      <c r="W2089" s="20">
        <v>46232</v>
      </c>
      <c r="X2089" s="21" t="s">
        <v>906</v>
      </c>
      <c r="Y2089" s="24" t="s">
        <v>901</v>
      </c>
      <c r="Z2089" s="24" t="s">
        <v>902</v>
      </c>
      <c r="AA2089" s="24" t="s">
        <v>903</v>
      </c>
    </row>
    <row r="2090" spans="1:27" ht="14.4" hidden="1" customHeight="1" x14ac:dyDescent="0.3">
      <c r="A2090" s="4" t="s">
        <v>0</v>
      </c>
      <c r="B2090" s="4" t="s">
        <v>17</v>
      </c>
      <c r="C2090" s="16" t="s">
        <v>18</v>
      </c>
      <c r="D2090" s="4">
        <v>10</v>
      </c>
      <c r="E2090" s="4" t="s">
        <v>745</v>
      </c>
      <c r="F2090" t="s">
        <v>110</v>
      </c>
      <c r="G2090" t="s">
        <v>835</v>
      </c>
      <c r="H2090" s="4" t="s">
        <v>19</v>
      </c>
      <c r="I2090" s="4" t="s">
        <v>21</v>
      </c>
      <c r="J2090" s="4" t="s">
        <v>19</v>
      </c>
      <c r="K2090" s="4" t="s">
        <v>21</v>
      </c>
      <c r="L2090" s="4" t="s">
        <v>742</v>
      </c>
      <c r="M2090" s="17">
        <v>24</v>
      </c>
      <c r="N2090" s="17">
        <v>1065</v>
      </c>
      <c r="O2090" s="18" t="s">
        <v>19</v>
      </c>
      <c r="P2090" s="18">
        <v>1065</v>
      </c>
      <c r="Q2090" s="18">
        <v>24</v>
      </c>
      <c r="R2090" s="18" t="s">
        <v>778</v>
      </c>
      <c r="S2090" s="18" t="s">
        <v>783</v>
      </c>
      <c r="T2090" s="18" t="s">
        <v>781</v>
      </c>
      <c r="U20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90" s="19">
        <f>IF(AUDITORIA[[#This Row],[CAT]]="",0,1)</f>
        <v>1</v>
      </c>
      <c r="W2090" s="20">
        <v>46232</v>
      </c>
      <c r="X2090" s="21" t="s">
        <v>906</v>
      </c>
      <c r="Y2090" s="24" t="s">
        <v>901</v>
      </c>
      <c r="Z2090" s="24" t="s">
        <v>902</v>
      </c>
      <c r="AA2090" s="24" t="s">
        <v>903</v>
      </c>
    </row>
    <row r="2091" spans="1:27" ht="14.4" hidden="1" customHeight="1" x14ac:dyDescent="0.3">
      <c r="A2091" s="4" t="s">
        <v>0</v>
      </c>
      <c r="B2091" s="4" t="s">
        <v>17</v>
      </c>
      <c r="C2091" s="16" t="s">
        <v>18</v>
      </c>
      <c r="D2091" s="4">
        <v>10</v>
      </c>
      <c r="E2091" s="4" t="s">
        <v>745</v>
      </c>
      <c r="F2091" t="s">
        <v>109</v>
      </c>
      <c r="G2091" t="s">
        <v>835</v>
      </c>
      <c r="H2091" s="4" t="s">
        <v>19</v>
      </c>
      <c r="I2091" s="4" t="s">
        <v>20</v>
      </c>
      <c r="J2091" s="4" t="s">
        <v>19</v>
      </c>
      <c r="K2091" s="4" t="s">
        <v>20</v>
      </c>
      <c r="L2091" s="4" t="s">
        <v>742</v>
      </c>
      <c r="M2091" s="17">
        <v>20</v>
      </c>
      <c r="N2091" s="17">
        <v>817</v>
      </c>
      <c r="O2091" s="18" t="s">
        <v>19</v>
      </c>
      <c r="P2091" s="18">
        <v>817</v>
      </c>
      <c r="Q2091" s="18">
        <v>20</v>
      </c>
      <c r="R2091" s="18" t="str">
        <f>VLOOKUP(AUDITORIA[[#This Row],[LOTE]],[1]ENDEREÇAMENTO!$C$2:$J$9999,8,FALSE)</f>
        <v>Cam.C</v>
      </c>
      <c r="S2091" s="18" t="str">
        <f>VLOOKUP(RIGHT(AUDITORIA[[#This Row],[LOTE]],4),[2]Lotes!$A$2:$E$209,2,FALSE)</f>
        <v>QD.17</v>
      </c>
      <c r="T2091" s="18" t="str">
        <f>VLOOKUP(RIGHT(AUDITORIA[[#This Row],[LOTE]],4),[2]Lotes!$A$2:$E$209,4,FALSE)</f>
        <v>F1</v>
      </c>
      <c r="U20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91" s="19">
        <f>IF(AUDITORIA[[#This Row],[CAT]]="",0,1)</f>
        <v>1</v>
      </c>
      <c r="W2091" s="20">
        <v>46232</v>
      </c>
      <c r="X2091" s="21" t="s">
        <v>906</v>
      </c>
      <c r="Y2091" s="24" t="s">
        <v>901</v>
      </c>
      <c r="Z2091" s="24" t="s">
        <v>902</v>
      </c>
      <c r="AA2091" s="24" t="s">
        <v>903</v>
      </c>
    </row>
    <row r="2092" spans="1:27" ht="14.4" hidden="1" customHeight="1" x14ac:dyDescent="0.3">
      <c r="A2092" s="4" t="s">
        <v>0</v>
      </c>
      <c r="B2092" s="4" t="s">
        <v>17</v>
      </c>
      <c r="C2092" s="16" t="s">
        <v>18</v>
      </c>
      <c r="D2092" s="4">
        <v>10</v>
      </c>
      <c r="E2092" s="4" t="s">
        <v>745</v>
      </c>
      <c r="F2092" t="s">
        <v>105</v>
      </c>
      <c r="G2092" t="s">
        <v>835</v>
      </c>
      <c r="H2092" s="4" t="s">
        <v>19</v>
      </c>
      <c r="I2092" s="4" t="s">
        <v>21</v>
      </c>
      <c r="J2092" s="4" t="s">
        <v>19</v>
      </c>
      <c r="K2092" s="4" t="s">
        <v>21</v>
      </c>
      <c r="L2092" s="4" t="s">
        <v>742</v>
      </c>
      <c r="M2092" s="17">
        <v>23</v>
      </c>
      <c r="N2092" s="17">
        <v>1077</v>
      </c>
      <c r="O2092" s="18" t="s">
        <v>19</v>
      </c>
      <c r="P2092" s="18">
        <v>1077</v>
      </c>
      <c r="Q2092" s="18">
        <v>23</v>
      </c>
      <c r="R2092" s="18" t="s">
        <v>778</v>
      </c>
      <c r="S2092" s="18" t="s">
        <v>783</v>
      </c>
      <c r="T2092" s="18" t="s">
        <v>780</v>
      </c>
      <c r="U20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92" s="19">
        <f>IF(AUDITORIA[[#This Row],[CAT]]="",0,1)</f>
        <v>1</v>
      </c>
      <c r="W2092" s="20">
        <v>46232</v>
      </c>
      <c r="X2092" s="21" t="s">
        <v>906</v>
      </c>
      <c r="Y2092" s="24" t="s">
        <v>901</v>
      </c>
      <c r="Z2092" s="24" t="s">
        <v>902</v>
      </c>
      <c r="AA2092" s="24" t="s">
        <v>903</v>
      </c>
    </row>
    <row r="2093" spans="1:27" ht="14.4" hidden="1" customHeight="1" x14ac:dyDescent="0.3">
      <c r="A2093" s="4" t="s">
        <v>0</v>
      </c>
      <c r="B2093" s="4" t="s">
        <v>17</v>
      </c>
      <c r="C2093" s="16" t="s">
        <v>18</v>
      </c>
      <c r="D2093" s="4">
        <v>10</v>
      </c>
      <c r="E2093" s="4" t="s">
        <v>745</v>
      </c>
      <c r="F2093" t="s">
        <v>104</v>
      </c>
      <c r="G2093" t="s">
        <v>85</v>
      </c>
      <c r="H2093" s="4" t="s">
        <v>88</v>
      </c>
      <c r="I2093" s="4" t="s">
        <v>20</v>
      </c>
      <c r="J2093" s="4" t="s">
        <v>88</v>
      </c>
      <c r="K2093" s="4" t="s">
        <v>20</v>
      </c>
      <c r="L2093" s="4" t="s">
        <v>742</v>
      </c>
      <c r="M2093" s="17">
        <v>30</v>
      </c>
      <c r="N2093" s="17">
        <v>735</v>
      </c>
      <c r="O2093" s="18" t="s">
        <v>88</v>
      </c>
      <c r="P2093" s="18">
        <v>735</v>
      </c>
      <c r="Q2093" s="18">
        <v>30</v>
      </c>
      <c r="R2093" s="18" t="s">
        <v>778</v>
      </c>
      <c r="S2093" s="18" t="s">
        <v>779</v>
      </c>
      <c r="T2093" s="18" t="s">
        <v>781</v>
      </c>
      <c r="U20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93" s="19">
        <f>IF(AUDITORIA[[#This Row],[CAT]]="",0,1)</f>
        <v>1</v>
      </c>
      <c r="W2093" s="20">
        <v>46232</v>
      </c>
      <c r="X2093" s="21" t="s">
        <v>906</v>
      </c>
      <c r="Y2093" s="24" t="s">
        <v>901</v>
      </c>
      <c r="Z2093" s="24" t="s">
        <v>902</v>
      </c>
      <c r="AA2093" s="24" t="s">
        <v>903</v>
      </c>
    </row>
    <row r="2094" spans="1:27" ht="14.4" hidden="1" customHeight="1" x14ac:dyDescent="0.3">
      <c r="A2094" s="4" t="s">
        <v>0</v>
      </c>
      <c r="B2094" s="4" t="s">
        <v>17</v>
      </c>
      <c r="C2094" s="16" t="s">
        <v>18</v>
      </c>
      <c r="D2094" s="4">
        <v>10</v>
      </c>
      <c r="E2094" s="4" t="s">
        <v>745</v>
      </c>
      <c r="F2094" t="s">
        <v>103</v>
      </c>
      <c r="G2094" t="s">
        <v>85</v>
      </c>
      <c r="H2094" s="4" t="s">
        <v>88</v>
      </c>
      <c r="I2094" s="4" t="s">
        <v>21</v>
      </c>
      <c r="J2094" s="4" t="s">
        <v>88</v>
      </c>
      <c r="K2094" s="4" t="s">
        <v>21</v>
      </c>
      <c r="L2094" s="4" t="s">
        <v>742</v>
      </c>
      <c r="M2094" s="17">
        <v>30</v>
      </c>
      <c r="N2094" s="17">
        <v>878</v>
      </c>
      <c r="O2094" s="18" t="s">
        <v>88</v>
      </c>
      <c r="P2094" s="18">
        <v>878</v>
      </c>
      <c r="Q2094" s="18">
        <v>30</v>
      </c>
      <c r="R2094" s="18" t="str">
        <f>VLOOKUP(AUDITORIA[[#This Row],[LOTE]],[1]ENDEREÇAMENTO!$C$2:$J$9999,8,FALSE)</f>
        <v>Cam.B</v>
      </c>
      <c r="S2094" s="18" t="str">
        <f>VLOOKUP(RIGHT(AUDITORIA[[#This Row],[LOTE]],4),[2]Lotes!$A$2:$E$209,2,FALSE)</f>
        <v>QD.01</v>
      </c>
      <c r="T2094" s="18" t="str">
        <f>VLOOKUP(RIGHT(AUDITORIA[[#This Row],[LOTE]],4),[2]Lotes!$A$2:$E$209,4,FALSE)</f>
        <v>F1</v>
      </c>
      <c r="U20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94" s="19">
        <f>IF(AUDITORIA[[#This Row],[CAT]]="",0,1)</f>
        <v>1</v>
      </c>
      <c r="W2094" s="20">
        <v>46232</v>
      </c>
      <c r="X2094" s="21" t="s">
        <v>906</v>
      </c>
      <c r="Y2094" s="24" t="s">
        <v>901</v>
      </c>
      <c r="Z2094" s="24" t="s">
        <v>902</v>
      </c>
      <c r="AA2094" s="24" t="s">
        <v>903</v>
      </c>
    </row>
    <row r="2095" spans="1:27" ht="14.4" hidden="1" customHeight="1" x14ac:dyDescent="0.3">
      <c r="A2095" s="4" t="s">
        <v>0</v>
      </c>
      <c r="B2095" s="4" t="s">
        <v>17</v>
      </c>
      <c r="C2095" s="16" t="s">
        <v>18</v>
      </c>
      <c r="D2095" s="4">
        <v>10</v>
      </c>
      <c r="E2095" s="4" t="s">
        <v>745</v>
      </c>
      <c r="F2095" t="s">
        <v>102</v>
      </c>
      <c r="G2095" t="s">
        <v>85</v>
      </c>
      <c r="H2095" s="4" t="s">
        <v>88</v>
      </c>
      <c r="I2095" s="4" t="s">
        <v>20</v>
      </c>
      <c r="J2095" s="4" t="s">
        <v>88</v>
      </c>
      <c r="K2095" s="4" t="s">
        <v>20</v>
      </c>
      <c r="L2095" s="4" t="s">
        <v>742</v>
      </c>
      <c r="M2095" s="17">
        <v>30</v>
      </c>
      <c r="N2095" s="17">
        <v>732</v>
      </c>
      <c r="O2095" s="18" t="s">
        <v>88</v>
      </c>
      <c r="P2095" s="18">
        <v>732</v>
      </c>
      <c r="Q2095" s="18">
        <v>30</v>
      </c>
      <c r="R2095" s="18" t="s">
        <v>778</v>
      </c>
      <c r="S2095" s="18" t="s">
        <v>779</v>
      </c>
      <c r="T2095" s="18" t="s">
        <v>780</v>
      </c>
      <c r="U20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95" s="19">
        <f>IF(AUDITORIA[[#This Row],[CAT]]="",0,1)</f>
        <v>1</v>
      </c>
      <c r="W2095" s="20">
        <v>46232</v>
      </c>
      <c r="X2095" s="21" t="s">
        <v>906</v>
      </c>
      <c r="Y2095" s="24" t="s">
        <v>901</v>
      </c>
      <c r="Z2095" s="24" t="s">
        <v>902</v>
      </c>
      <c r="AA2095" s="24" t="s">
        <v>903</v>
      </c>
    </row>
    <row r="2096" spans="1:27" ht="14.4" hidden="1" customHeight="1" x14ac:dyDescent="0.3">
      <c r="A2096" s="4" t="s">
        <v>0</v>
      </c>
      <c r="B2096" s="4" t="s">
        <v>17</v>
      </c>
      <c r="C2096" s="16" t="s">
        <v>18</v>
      </c>
      <c r="D2096" s="4">
        <v>10</v>
      </c>
      <c r="E2096" s="4" t="s">
        <v>745</v>
      </c>
      <c r="F2096" t="s">
        <v>101</v>
      </c>
      <c r="G2096" t="s">
        <v>85</v>
      </c>
      <c r="H2096" s="4" t="s">
        <v>88</v>
      </c>
      <c r="I2096" s="4" t="s">
        <v>21</v>
      </c>
      <c r="J2096" s="4" t="s">
        <v>88</v>
      </c>
      <c r="K2096" s="4" t="s">
        <v>21</v>
      </c>
      <c r="L2096" s="4" t="s">
        <v>742</v>
      </c>
      <c r="M2096" s="17">
        <v>30</v>
      </c>
      <c r="N2096" s="17">
        <v>859</v>
      </c>
      <c r="O2096" s="18" t="s">
        <v>88</v>
      </c>
      <c r="P2096" s="18">
        <v>859</v>
      </c>
      <c r="Q2096" s="18">
        <v>30</v>
      </c>
      <c r="R2096" s="18" t="s">
        <v>778</v>
      </c>
      <c r="S2096" s="18" t="s">
        <v>787</v>
      </c>
      <c r="T2096" s="18" t="s">
        <v>780</v>
      </c>
      <c r="U20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96" s="19">
        <f>IF(AUDITORIA[[#This Row],[CAT]]="",0,1)</f>
        <v>1</v>
      </c>
      <c r="W2096" s="20">
        <v>46232</v>
      </c>
      <c r="X2096" s="21" t="s">
        <v>906</v>
      </c>
      <c r="Y2096" s="24" t="s">
        <v>901</v>
      </c>
      <c r="Z2096" s="24" t="s">
        <v>902</v>
      </c>
      <c r="AA2096" s="24" t="s">
        <v>903</v>
      </c>
    </row>
    <row r="2097" spans="1:27" ht="14.4" hidden="1" customHeight="1" x14ac:dyDescent="0.3">
      <c r="A2097" s="4" t="s">
        <v>0</v>
      </c>
      <c r="B2097" s="4" t="s">
        <v>17</v>
      </c>
      <c r="C2097" s="16" t="s">
        <v>18</v>
      </c>
      <c r="D2097" s="4">
        <v>10</v>
      </c>
      <c r="E2097" s="4" t="s">
        <v>745</v>
      </c>
      <c r="F2097" t="s">
        <v>100</v>
      </c>
      <c r="G2097" t="s">
        <v>85</v>
      </c>
      <c r="H2097" s="4" t="s">
        <v>88</v>
      </c>
      <c r="I2097" s="4" t="s">
        <v>20</v>
      </c>
      <c r="J2097" s="4" t="s">
        <v>88</v>
      </c>
      <c r="K2097" s="4" t="s">
        <v>20</v>
      </c>
      <c r="L2097" s="4" t="s">
        <v>742</v>
      </c>
      <c r="M2097" s="17">
        <v>30</v>
      </c>
      <c r="N2097" s="17">
        <v>716</v>
      </c>
      <c r="O2097" s="18" t="s">
        <v>88</v>
      </c>
      <c r="P2097" s="18">
        <v>716</v>
      </c>
      <c r="Q2097" s="18">
        <v>30</v>
      </c>
      <c r="R2097" s="18" t="s">
        <v>778</v>
      </c>
      <c r="S2097" s="18" t="s">
        <v>788</v>
      </c>
      <c r="T2097" s="18" t="s">
        <v>780</v>
      </c>
      <c r="U20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97" s="19">
        <f>IF(AUDITORIA[[#This Row],[CAT]]="",0,1)</f>
        <v>1</v>
      </c>
      <c r="W2097" s="20">
        <v>46232</v>
      </c>
      <c r="X2097" s="21" t="s">
        <v>906</v>
      </c>
      <c r="Y2097" s="24" t="s">
        <v>901</v>
      </c>
      <c r="Z2097" s="24" t="s">
        <v>902</v>
      </c>
      <c r="AA2097" s="24" t="s">
        <v>903</v>
      </c>
    </row>
    <row r="2098" spans="1:27" ht="14.4" hidden="1" customHeight="1" x14ac:dyDescent="0.3">
      <c r="A2098" s="4" t="s">
        <v>0</v>
      </c>
      <c r="B2098" s="4" t="s">
        <v>17</v>
      </c>
      <c r="C2098" s="16" t="s">
        <v>18</v>
      </c>
      <c r="D2098" s="4">
        <v>10</v>
      </c>
      <c r="E2098" s="4" t="s">
        <v>745</v>
      </c>
      <c r="F2098" t="s">
        <v>98</v>
      </c>
      <c r="G2098" t="s">
        <v>85</v>
      </c>
      <c r="H2098" s="4" t="s">
        <v>88</v>
      </c>
      <c r="I2098" s="4" t="s">
        <v>21</v>
      </c>
      <c r="J2098" s="4" t="s">
        <v>88</v>
      </c>
      <c r="K2098" s="4" t="s">
        <v>21</v>
      </c>
      <c r="L2098" s="4" t="s">
        <v>742</v>
      </c>
      <c r="M2098" s="17">
        <v>30</v>
      </c>
      <c r="N2098" s="17">
        <v>879</v>
      </c>
      <c r="O2098" s="18" t="s">
        <v>88</v>
      </c>
      <c r="P2098" s="18">
        <v>879</v>
      </c>
      <c r="Q2098" s="18">
        <v>30</v>
      </c>
      <c r="R2098" s="18" t="str">
        <f>VLOOKUP(AUDITORIA[[#This Row],[LOTE]],[1]ENDEREÇAMENTO!$C$2:$J$9999,8,FALSE)</f>
        <v>Cam.B</v>
      </c>
      <c r="S2098" s="18" t="str">
        <f>VLOOKUP(RIGHT(AUDITORIA[[#This Row],[LOTE]],4),[2]Lotes!$A$2:$E$209,2,FALSE)</f>
        <v>QD.02</v>
      </c>
      <c r="T2098" s="18" t="str">
        <f>VLOOKUP(RIGHT(AUDITORIA[[#This Row],[LOTE]],4),[2]Lotes!$A$2:$E$209,4,FALSE)</f>
        <v>F3</v>
      </c>
      <c r="U20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98" s="19">
        <f>IF(AUDITORIA[[#This Row],[CAT]]="",0,1)</f>
        <v>1</v>
      </c>
      <c r="W2098" s="20">
        <v>46232</v>
      </c>
      <c r="X2098" s="21" t="s">
        <v>906</v>
      </c>
      <c r="Y2098" s="24" t="s">
        <v>901</v>
      </c>
      <c r="Z2098" s="24" t="s">
        <v>902</v>
      </c>
      <c r="AA2098" s="24" t="s">
        <v>903</v>
      </c>
    </row>
    <row r="2099" spans="1:27" ht="14.4" hidden="1" customHeight="1" x14ac:dyDescent="0.3">
      <c r="A2099" s="4" t="s">
        <v>0</v>
      </c>
      <c r="B2099" s="4" t="s">
        <v>17</v>
      </c>
      <c r="C2099" s="16" t="s">
        <v>18</v>
      </c>
      <c r="D2099" s="4">
        <v>10</v>
      </c>
      <c r="E2099" s="4" t="s">
        <v>745</v>
      </c>
      <c r="F2099" t="s">
        <v>99</v>
      </c>
      <c r="G2099" t="s">
        <v>85</v>
      </c>
      <c r="H2099" s="4" t="s">
        <v>88</v>
      </c>
      <c r="I2099" s="4" t="s">
        <v>20</v>
      </c>
      <c r="J2099" s="4" t="s">
        <v>88</v>
      </c>
      <c r="K2099" s="4" t="s">
        <v>20</v>
      </c>
      <c r="L2099" s="4" t="s">
        <v>742</v>
      </c>
      <c r="M2099" s="17">
        <v>30</v>
      </c>
      <c r="N2099" s="17">
        <v>741</v>
      </c>
      <c r="O2099" s="18" t="s">
        <v>88</v>
      </c>
      <c r="P2099" s="18">
        <v>741</v>
      </c>
      <c r="Q2099" s="18">
        <v>30</v>
      </c>
      <c r="R2099" s="18" t="s">
        <v>778</v>
      </c>
      <c r="S2099" s="18" t="s">
        <v>788</v>
      </c>
      <c r="T2099" s="18" t="s">
        <v>782</v>
      </c>
      <c r="U20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099" s="19">
        <f>IF(AUDITORIA[[#This Row],[CAT]]="",0,1)</f>
        <v>1</v>
      </c>
      <c r="W2099" s="20">
        <v>46232</v>
      </c>
      <c r="X2099" s="21" t="s">
        <v>906</v>
      </c>
      <c r="Y2099" s="24" t="s">
        <v>901</v>
      </c>
      <c r="Z2099" s="24" t="s">
        <v>902</v>
      </c>
      <c r="AA2099" s="24" t="s">
        <v>903</v>
      </c>
    </row>
    <row r="2100" spans="1:27" ht="14.4" hidden="1" customHeight="1" x14ac:dyDescent="0.3">
      <c r="A2100" s="4" t="s">
        <v>0</v>
      </c>
      <c r="B2100" s="4" t="s">
        <v>17</v>
      </c>
      <c r="C2100" s="16" t="s">
        <v>18</v>
      </c>
      <c r="D2100" s="4">
        <v>10</v>
      </c>
      <c r="E2100" s="4" t="s">
        <v>745</v>
      </c>
      <c r="F2100" t="s">
        <v>97</v>
      </c>
      <c r="G2100" t="s">
        <v>85</v>
      </c>
      <c r="H2100" s="4" t="s">
        <v>88</v>
      </c>
      <c r="I2100" s="4" t="s">
        <v>20</v>
      </c>
      <c r="J2100" s="4" t="s">
        <v>88</v>
      </c>
      <c r="K2100" s="4" t="s">
        <v>20</v>
      </c>
      <c r="L2100" s="4" t="s">
        <v>742</v>
      </c>
      <c r="M2100" s="17">
        <v>30</v>
      </c>
      <c r="N2100" s="17">
        <v>732</v>
      </c>
      <c r="O2100" s="18" t="s">
        <v>88</v>
      </c>
      <c r="P2100" s="18">
        <v>732</v>
      </c>
      <c r="Q2100" s="18">
        <v>30</v>
      </c>
      <c r="R2100" s="18" t="s">
        <v>778</v>
      </c>
      <c r="S2100" s="18" t="s">
        <v>788</v>
      </c>
      <c r="T2100" s="18" t="s">
        <v>782</v>
      </c>
      <c r="U21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00" s="19">
        <f>IF(AUDITORIA[[#This Row],[CAT]]="",0,1)</f>
        <v>1</v>
      </c>
      <c r="W2100" s="20">
        <v>46232</v>
      </c>
      <c r="X2100" s="21" t="s">
        <v>906</v>
      </c>
      <c r="Y2100" s="24" t="s">
        <v>901</v>
      </c>
      <c r="Z2100" s="24" t="s">
        <v>902</v>
      </c>
      <c r="AA2100" s="24" t="s">
        <v>903</v>
      </c>
    </row>
    <row r="2101" spans="1:27" ht="14.4" hidden="1" customHeight="1" x14ac:dyDescent="0.3">
      <c r="A2101" s="4" t="s">
        <v>0</v>
      </c>
      <c r="B2101" s="4" t="s">
        <v>17</v>
      </c>
      <c r="C2101" s="16" t="s">
        <v>18</v>
      </c>
      <c r="D2101" s="4">
        <v>10</v>
      </c>
      <c r="E2101" s="4" t="s">
        <v>745</v>
      </c>
      <c r="F2101" t="s">
        <v>96</v>
      </c>
      <c r="G2101" t="s">
        <v>85</v>
      </c>
      <c r="H2101" s="4" t="s">
        <v>88</v>
      </c>
      <c r="I2101" s="4" t="s">
        <v>21</v>
      </c>
      <c r="J2101" s="4" t="s">
        <v>88</v>
      </c>
      <c r="K2101" s="4" t="s">
        <v>21</v>
      </c>
      <c r="L2101" s="4" t="s">
        <v>742</v>
      </c>
      <c r="M2101" s="17">
        <v>30</v>
      </c>
      <c r="N2101" s="17">
        <v>872</v>
      </c>
      <c r="O2101" s="18" t="s">
        <v>88</v>
      </c>
      <c r="P2101" s="18">
        <v>872</v>
      </c>
      <c r="Q2101" s="18">
        <v>30</v>
      </c>
      <c r="R2101" s="18" t="s">
        <v>778</v>
      </c>
      <c r="S2101" s="18" t="s">
        <v>785</v>
      </c>
      <c r="T2101" s="18" t="s">
        <v>780</v>
      </c>
      <c r="U21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01" s="19">
        <f>IF(AUDITORIA[[#This Row],[CAT]]="",0,1)</f>
        <v>1</v>
      </c>
      <c r="W2101" s="20">
        <v>46232</v>
      </c>
      <c r="X2101" s="21" t="s">
        <v>906</v>
      </c>
      <c r="Y2101" s="24" t="s">
        <v>901</v>
      </c>
      <c r="Z2101" s="24" t="s">
        <v>902</v>
      </c>
      <c r="AA2101" s="24" t="s">
        <v>903</v>
      </c>
    </row>
    <row r="2102" spans="1:27" ht="14.4" hidden="1" customHeight="1" x14ac:dyDescent="0.3">
      <c r="A2102" s="4" t="s">
        <v>0</v>
      </c>
      <c r="B2102" s="4" t="s">
        <v>17</v>
      </c>
      <c r="C2102" s="16" t="s">
        <v>18</v>
      </c>
      <c r="D2102" s="4">
        <v>10</v>
      </c>
      <c r="E2102" s="4" t="s">
        <v>745</v>
      </c>
      <c r="F2102" t="s">
        <v>94</v>
      </c>
      <c r="G2102" t="s">
        <v>85</v>
      </c>
      <c r="H2102" s="4" t="s">
        <v>88</v>
      </c>
      <c r="I2102" s="4" t="s">
        <v>20</v>
      </c>
      <c r="J2102" s="4" t="s">
        <v>88</v>
      </c>
      <c r="K2102" s="4" t="s">
        <v>20</v>
      </c>
      <c r="L2102" s="4" t="s">
        <v>742</v>
      </c>
      <c r="M2102" s="17">
        <v>30</v>
      </c>
      <c r="N2102" s="17">
        <v>742</v>
      </c>
      <c r="O2102" s="18" t="s">
        <v>88</v>
      </c>
      <c r="P2102" s="18">
        <v>742</v>
      </c>
      <c r="Q2102" s="18">
        <v>30</v>
      </c>
      <c r="R2102" s="18" t="str">
        <f>VLOOKUP(AUDITORIA[[#This Row],[LOTE]],[1]ENDEREÇAMENTO!$C$2:$J$9999,8,FALSE)</f>
        <v>Cam.B</v>
      </c>
      <c r="S2102" s="18" t="str">
        <f>VLOOKUP(RIGHT(AUDITORIA[[#This Row],[LOTE]],4),[2]Lotes!$A$2:$E$209,2,FALSE)</f>
        <v>QD.03</v>
      </c>
      <c r="T2102" s="18" t="str">
        <f>VLOOKUP(RIGHT(AUDITORIA[[#This Row],[LOTE]],4),[2]Lotes!$A$2:$E$209,4,FALSE)</f>
        <v>F1</v>
      </c>
      <c r="U21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02" s="19">
        <f>IF(AUDITORIA[[#This Row],[CAT]]="",0,1)</f>
        <v>1</v>
      </c>
      <c r="W2102" s="20">
        <v>46232</v>
      </c>
      <c r="X2102" s="21" t="s">
        <v>906</v>
      </c>
      <c r="Y2102" s="24" t="s">
        <v>901</v>
      </c>
      <c r="Z2102" s="24" t="s">
        <v>902</v>
      </c>
      <c r="AA2102" s="24" t="s">
        <v>903</v>
      </c>
    </row>
    <row r="2103" spans="1:27" ht="14.4" hidden="1" customHeight="1" x14ac:dyDescent="0.3">
      <c r="A2103" s="4" t="s">
        <v>0</v>
      </c>
      <c r="B2103" s="4" t="s">
        <v>17</v>
      </c>
      <c r="C2103" s="16" t="s">
        <v>18</v>
      </c>
      <c r="D2103" s="4">
        <v>10</v>
      </c>
      <c r="E2103" s="4" t="s">
        <v>745</v>
      </c>
      <c r="F2103" t="s">
        <v>95</v>
      </c>
      <c r="G2103" t="s">
        <v>85</v>
      </c>
      <c r="H2103" s="4" t="s">
        <v>88</v>
      </c>
      <c r="I2103" s="4" t="s">
        <v>21</v>
      </c>
      <c r="J2103" s="4" t="s">
        <v>88</v>
      </c>
      <c r="K2103" s="4" t="s">
        <v>21</v>
      </c>
      <c r="L2103" s="4" t="s">
        <v>742</v>
      </c>
      <c r="M2103" s="17">
        <v>30</v>
      </c>
      <c r="N2103" s="17">
        <v>876</v>
      </c>
      <c r="O2103" s="18" t="s">
        <v>88</v>
      </c>
      <c r="P2103" s="18">
        <v>876</v>
      </c>
      <c r="Q2103" s="18">
        <v>30</v>
      </c>
      <c r="R2103" s="18" t="s">
        <v>778</v>
      </c>
      <c r="S2103" s="18" t="s">
        <v>785</v>
      </c>
      <c r="T2103" s="18" t="s">
        <v>780</v>
      </c>
      <c r="U21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03" s="19">
        <f>IF(AUDITORIA[[#This Row],[CAT]]="",0,1)</f>
        <v>1</v>
      </c>
      <c r="W2103" s="20">
        <v>46232</v>
      </c>
      <c r="X2103" s="21" t="s">
        <v>906</v>
      </c>
      <c r="Y2103" s="24" t="s">
        <v>901</v>
      </c>
      <c r="Z2103" s="24" t="s">
        <v>902</v>
      </c>
      <c r="AA2103" s="24" t="s">
        <v>903</v>
      </c>
    </row>
    <row r="2104" spans="1:27" ht="14.4" hidden="1" customHeight="1" x14ac:dyDescent="0.3">
      <c r="A2104" s="4" t="s">
        <v>0</v>
      </c>
      <c r="B2104" s="4" t="s">
        <v>17</v>
      </c>
      <c r="C2104" s="16" t="s">
        <v>18</v>
      </c>
      <c r="D2104" s="4">
        <v>10</v>
      </c>
      <c r="E2104" s="4" t="s">
        <v>745</v>
      </c>
      <c r="F2104" t="s">
        <v>93</v>
      </c>
      <c r="G2104" t="s">
        <v>85</v>
      </c>
      <c r="H2104" s="4" t="s">
        <v>88</v>
      </c>
      <c r="I2104" s="4" t="s">
        <v>21</v>
      </c>
      <c r="J2104" s="4" t="s">
        <v>88</v>
      </c>
      <c r="K2104" s="4" t="s">
        <v>21</v>
      </c>
      <c r="L2104" s="4" t="s">
        <v>742</v>
      </c>
      <c r="M2104" s="17">
        <v>30</v>
      </c>
      <c r="N2104" s="17">
        <v>872</v>
      </c>
      <c r="O2104" s="18" t="s">
        <v>88</v>
      </c>
      <c r="P2104" s="18">
        <v>872</v>
      </c>
      <c r="Q2104" s="18">
        <v>30</v>
      </c>
      <c r="R2104" s="18" t="str">
        <f>VLOOKUP(AUDITORIA[[#This Row],[LOTE]],[1]ENDEREÇAMENTO!$C$2:$J$9999,8,FALSE)</f>
        <v>Cam.B</v>
      </c>
      <c r="S2104" s="18" t="str">
        <f>VLOOKUP(RIGHT(AUDITORIA[[#This Row],[LOTE]],4),[2]Lotes!$A$2:$E$209,2,FALSE)</f>
        <v>QD.02</v>
      </c>
      <c r="T2104" s="18" t="str">
        <f>VLOOKUP(RIGHT(AUDITORIA[[#This Row],[LOTE]],4),[2]Lotes!$A$2:$E$209,4,FALSE)</f>
        <v>F4</v>
      </c>
      <c r="U21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04" s="19">
        <f>IF(AUDITORIA[[#This Row],[CAT]]="",0,1)</f>
        <v>1</v>
      </c>
      <c r="W2104" s="20">
        <v>46232</v>
      </c>
      <c r="X2104" s="21" t="s">
        <v>906</v>
      </c>
      <c r="Y2104" s="24" t="s">
        <v>901</v>
      </c>
      <c r="Z2104" s="24" t="s">
        <v>902</v>
      </c>
      <c r="AA2104" s="24" t="s">
        <v>903</v>
      </c>
    </row>
    <row r="2105" spans="1:27" ht="14.4" hidden="1" customHeight="1" x14ac:dyDescent="0.3">
      <c r="A2105" s="4" t="s">
        <v>0</v>
      </c>
      <c r="B2105" s="4" t="s">
        <v>17</v>
      </c>
      <c r="C2105" s="16" t="s">
        <v>18</v>
      </c>
      <c r="D2105" s="4">
        <v>10</v>
      </c>
      <c r="E2105" s="4" t="s">
        <v>745</v>
      </c>
      <c r="F2105" t="s">
        <v>92</v>
      </c>
      <c r="G2105" t="s">
        <v>85</v>
      </c>
      <c r="H2105" s="4" t="s">
        <v>88</v>
      </c>
      <c r="I2105" s="4" t="s">
        <v>20</v>
      </c>
      <c r="J2105" s="4" t="s">
        <v>88</v>
      </c>
      <c r="K2105" s="4" t="s">
        <v>20</v>
      </c>
      <c r="L2105" s="4" t="s">
        <v>742</v>
      </c>
      <c r="M2105" s="17">
        <v>30</v>
      </c>
      <c r="N2105" s="17">
        <v>734</v>
      </c>
      <c r="O2105" s="18" t="s">
        <v>88</v>
      </c>
      <c r="P2105" s="18">
        <v>734</v>
      </c>
      <c r="Q2105" s="18">
        <v>30</v>
      </c>
      <c r="R2105" s="18" t="s">
        <v>778</v>
      </c>
      <c r="S2105" s="18" t="s">
        <v>786</v>
      </c>
      <c r="T2105" s="18" t="s">
        <v>781</v>
      </c>
      <c r="U21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05" s="19">
        <f>IF(AUDITORIA[[#This Row],[CAT]]="",0,1)</f>
        <v>1</v>
      </c>
      <c r="W2105" s="20">
        <v>46232</v>
      </c>
      <c r="X2105" s="21" t="s">
        <v>906</v>
      </c>
      <c r="Y2105" s="24" t="s">
        <v>901</v>
      </c>
      <c r="Z2105" s="24" t="s">
        <v>902</v>
      </c>
      <c r="AA2105" s="24" t="s">
        <v>903</v>
      </c>
    </row>
    <row r="2106" spans="1:27" ht="14.4" hidden="1" customHeight="1" x14ac:dyDescent="0.3">
      <c r="A2106" s="4" t="s">
        <v>0</v>
      </c>
      <c r="B2106" s="4" t="s">
        <v>17</v>
      </c>
      <c r="C2106" s="16" t="s">
        <v>18</v>
      </c>
      <c r="D2106" s="4">
        <v>10</v>
      </c>
      <c r="E2106" s="4" t="s">
        <v>745</v>
      </c>
      <c r="F2106" t="s">
        <v>90</v>
      </c>
      <c r="G2106" t="s">
        <v>85</v>
      </c>
      <c r="H2106" s="4" t="s">
        <v>88</v>
      </c>
      <c r="I2106" s="4" t="s">
        <v>21</v>
      </c>
      <c r="J2106" s="4" t="s">
        <v>88</v>
      </c>
      <c r="K2106" s="4" t="s">
        <v>21</v>
      </c>
      <c r="L2106" s="4" t="s">
        <v>742</v>
      </c>
      <c r="M2106" s="17">
        <v>30</v>
      </c>
      <c r="N2106" s="17">
        <v>871</v>
      </c>
      <c r="O2106" s="18" t="s">
        <v>88</v>
      </c>
      <c r="P2106" s="18">
        <v>871</v>
      </c>
      <c r="Q2106" s="18">
        <v>30</v>
      </c>
      <c r="R2106" s="28" t="s">
        <v>931</v>
      </c>
      <c r="S2106" s="28" t="s">
        <v>911</v>
      </c>
      <c r="T2106" s="28" t="s">
        <v>781</v>
      </c>
      <c r="U21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06" s="19">
        <f>IF(AUDITORIA[[#This Row],[CAT]]="",0,1)</f>
        <v>1</v>
      </c>
      <c r="W2106" s="20">
        <v>46232</v>
      </c>
      <c r="X2106" s="21" t="s">
        <v>906</v>
      </c>
      <c r="Y2106" s="24" t="s">
        <v>901</v>
      </c>
      <c r="Z2106" s="24" t="s">
        <v>902</v>
      </c>
      <c r="AA2106" s="24" t="s">
        <v>903</v>
      </c>
    </row>
    <row r="2107" spans="1:27" ht="14.4" hidden="1" customHeight="1" x14ac:dyDescent="0.3">
      <c r="A2107" s="4" t="s">
        <v>0</v>
      </c>
      <c r="B2107" s="4" t="s">
        <v>17</v>
      </c>
      <c r="C2107" s="16" t="s">
        <v>18</v>
      </c>
      <c r="D2107" s="4">
        <v>10</v>
      </c>
      <c r="E2107" s="4" t="s">
        <v>745</v>
      </c>
      <c r="F2107" t="s">
        <v>91</v>
      </c>
      <c r="G2107" t="s">
        <v>85</v>
      </c>
      <c r="H2107" s="4" t="s">
        <v>88</v>
      </c>
      <c r="I2107" s="4" t="s">
        <v>20</v>
      </c>
      <c r="J2107" s="4" t="s">
        <v>88</v>
      </c>
      <c r="K2107" s="4" t="s">
        <v>20</v>
      </c>
      <c r="L2107" s="4" t="s">
        <v>742</v>
      </c>
      <c r="M2107" s="17">
        <v>30</v>
      </c>
      <c r="N2107" s="17">
        <v>738</v>
      </c>
      <c r="O2107" s="18" t="s">
        <v>88</v>
      </c>
      <c r="P2107" s="18">
        <v>738</v>
      </c>
      <c r="Q2107" s="18">
        <v>30</v>
      </c>
      <c r="R2107" s="18" t="s">
        <v>778</v>
      </c>
      <c r="S2107" s="18" t="s">
        <v>779</v>
      </c>
      <c r="T2107" s="18" t="s">
        <v>782</v>
      </c>
      <c r="U21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07" s="19">
        <f>IF(AUDITORIA[[#This Row],[CAT]]="",0,1)</f>
        <v>1</v>
      </c>
      <c r="W2107" s="20">
        <v>46232</v>
      </c>
      <c r="X2107" s="21" t="s">
        <v>906</v>
      </c>
      <c r="Y2107" s="24" t="s">
        <v>901</v>
      </c>
      <c r="Z2107" s="24" t="s">
        <v>902</v>
      </c>
      <c r="AA2107" s="24" t="s">
        <v>903</v>
      </c>
    </row>
    <row r="2108" spans="1:27" ht="14.4" hidden="1" customHeight="1" x14ac:dyDescent="0.3">
      <c r="A2108" s="4" t="s">
        <v>0</v>
      </c>
      <c r="B2108" s="4" t="s">
        <v>17</v>
      </c>
      <c r="C2108" s="16" t="s">
        <v>18</v>
      </c>
      <c r="D2108" s="4">
        <v>10</v>
      </c>
      <c r="E2108" s="4" t="s">
        <v>745</v>
      </c>
      <c r="F2108" t="s">
        <v>89</v>
      </c>
      <c r="G2108" t="s">
        <v>85</v>
      </c>
      <c r="H2108" s="4" t="s">
        <v>88</v>
      </c>
      <c r="I2108" s="4" t="s">
        <v>21</v>
      </c>
      <c r="J2108" s="4" t="s">
        <v>88</v>
      </c>
      <c r="K2108" s="4" t="s">
        <v>21</v>
      </c>
      <c r="L2108" s="4" t="s">
        <v>742</v>
      </c>
      <c r="M2108" s="17">
        <v>23</v>
      </c>
      <c r="N2108" s="17">
        <v>870</v>
      </c>
      <c r="O2108" s="18" t="s">
        <v>88</v>
      </c>
      <c r="P2108" s="18">
        <v>870</v>
      </c>
      <c r="Q2108" s="18">
        <v>23</v>
      </c>
      <c r="R2108" s="28" t="s">
        <v>931</v>
      </c>
      <c r="S2108" s="28" t="s">
        <v>806</v>
      </c>
      <c r="T2108" s="28" t="s">
        <v>932</v>
      </c>
      <c r="U21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08" s="19">
        <f>IF(AUDITORIA[[#This Row],[CAT]]="",0,1)</f>
        <v>1</v>
      </c>
      <c r="W2108" s="20">
        <v>46232</v>
      </c>
      <c r="X2108" s="21" t="s">
        <v>906</v>
      </c>
      <c r="Y2108" s="24" t="s">
        <v>901</v>
      </c>
      <c r="Z2108" s="24" t="s">
        <v>902</v>
      </c>
      <c r="AA2108" s="24" t="s">
        <v>903</v>
      </c>
    </row>
    <row r="2109" spans="1:27" ht="14.4" hidden="1" customHeight="1" x14ac:dyDescent="0.3">
      <c r="A2109" s="4" t="s">
        <v>0</v>
      </c>
      <c r="B2109" s="4" t="s">
        <v>17</v>
      </c>
      <c r="C2109" s="16" t="s">
        <v>18</v>
      </c>
      <c r="D2109" s="4">
        <v>10</v>
      </c>
      <c r="E2109" s="4" t="s">
        <v>745</v>
      </c>
      <c r="F2109" t="s">
        <v>84</v>
      </c>
      <c r="G2109" t="s">
        <v>85</v>
      </c>
      <c r="H2109" s="4" t="s">
        <v>88</v>
      </c>
      <c r="I2109" s="4" t="s">
        <v>20</v>
      </c>
      <c r="J2109" s="4" t="s">
        <v>88</v>
      </c>
      <c r="K2109" s="4" t="s">
        <v>20</v>
      </c>
      <c r="L2109" s="4" t="s">
        <v>742</v>
      </c>
      <c r="M2109" s="17">
        <v>24</v>
      </c>
      <c r="N2109" s="17">
        <v>743</v>
      </c>
      <c r="O2109" s="18" t="s">
        <v>88</v>
      </c>
      <c r="P2109" s="18">
        <v>743</v>
      </c>
      <c r="Q2109" s="18">
        <v>24</v>
      </c>
      <c r="R2109" s="18" t="s">
        <v>778</v>
      </c>
      <c r="S2109" s="18" t="s">
        <v>786</v>
      </c>
      <c r="T2109" s="28" t="s">
        <v>780</v>
      </c>
      <c r="U21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09" s="19">
        <f>IF(AUDITORIA[[#This Row],[CAT]]="",0,1)</f>
        <v>1</v>
      </c>
      <c r="W2109" s="20">
        <v>46232</v>
      </c>
      <c r="X2109" s="21" t="s">
        <v>906</v>
      </c>
      <c r="Y2109" s="24" t="s">
        <v>901</v>
      </c>
      <c r="Z2109" s="24" t="s">
        <v>902</v>
      </c>
      <c r="AA2109" s="24" t="s">
        <v>903</v>
      </c>
    </row>
    <row r="2110" spans="1:27" ht="14.4" hidden="1" customHeight="1" x14ac:dyDescent="0.3">
      <c r="A2110" s="4" t="s">
        <v>0</v>
      </c>
      <c r="B2110" s="4" t="s">
        <v>17</v>
      </c>
      <c r="C2110" s="16" t="s">
        <v>18</v>
      </c>
      <c r="D2110" s="4">
        <v>10</v>
      </c>
      <c r="E2110" s="4" t="s">
        <v>745</v>
      </c>
      <c r="F2110" t="s">
        <v>82</v>
      </c>
      <c r="G2110" t="s">
        <v>836</v>
      </c>
      <c r="H2110" s="4" t="s">
        <v>55</v>
      </c>
      <c r="I2110" s="4" t="s">
        <v>21</v>
      </c>
      <c r="J2110" s="4" t="s">
        <v>55</v>
      </c>
      <c r="K2110" s="4" t="s">
        <v>21</v>
      </c>
      <c r="L2110" s="4" t="s">
        <v>742</v>
      </c>
      <c r="M2110" s="17">
        <v>27</v>
      </c>
      <c r="N2110" s="17">
        <v>954</v>
      </c>
      <c r="O2110" s="18" t="s">
        <v>55</v>
      </c>
      <c r="P2110" s="18">
        <v>954</v>
      </c>
      <c r="Q2110" s="18">
        <v>27</v>
      </c>
      <c r="R2110" s="18" t="s">
        <v>931</v>
      </c>
      <c r="S2110" s="18" t="s">
        <v>800</v>
      </c>
      <c r="T2110" s="28" t="s">
        <v>780</v>
      </c>
      <c r="U21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10" s="19">
        <f>IF(AUDITORIA[[#This Row],[CAT]]="",0,1)</f>
        <v>1</v>
      </c>
      <c r="W2110" s="20">
        <v>46232</v>
      </c>
      <c r="X2110" s="21" t="s">
        <v>906</v>
      </c>
      <c r="Y2110" s="24" t="s">
        <v>901</v>
      </c>
      <c r="Z2110" s="24" t="s">
        <v>902</v>
      </c>
      <c r="AA2110" s="24" t="s">
        <v>903</v>
      </c>
    </row>
    <row r="2111" spans="1:27" ht="14.4" hidden="1" customHeight="1" x14ac:dyDescent="0.3">
      <c r="A2111" s="4" t="s">
        <v>0</v>
      </c>
      <c r="B2111" s="4" t="s">
        <v>17</v>
      </c>
      <c r="C2111" s="16" t="s">
        <v>18</v>
      </c>
      <c r="D2111" s="4">
        <v>10</v>
      </c>
      <c r="E2111" s="4" t="s">
        <v>745</v>
      </c>
      <c r="F2111" t="s">
        <v>83</v>
      </c>
      <c r="G2111" t="s">
        <v>836</v>
      </c>
      <c r="H2111" s="4" t="s">
        <v>55</v>
      </c>
      <c r="I2111" s="4" t="s">
        <v>20</v>
      </c>
      <c r="J2111" s="4" t="s">
        <v>55</v>
      </c>
      <c r="K2111" s="4" t="s">
        <v>20</v>
      </c>
      <c r="L2111" s="4" t="s">
        <v>742</v>
      </c>
      <c r="M2111" s="17">
        <v>30</v>
      </c>
      <c r="N2111" s="17">
        <v>765</v>
      </c>
      <c r="O2111" s="18" t="s">
        <v>55</v>
      </c>
      <c r="P2111" s="18">
        <v>765</v>
      </c>
      <c r="Q2111" s="18">
        <v>30</v>
      </c>
      <c r="R2111" s="28" t="s">
        <v>931</v>
      </c>
      <c r="S2111" s="28" t="s">
        <v>807</v>
      </c>
      <c r="T2111" s="28" t="s">
        <v>933</v>
      </c>
      <c r="U21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11" s="19">
        <f>IF(AUDITORIA[[#This Row],[CAT]]="",0,1)</f>
        <v>1</v>
      </c>
      <c r="W2111" s="20">
        <v>46232</v>
      </c>
      <c r="X2111" s="21" t="s">
        <v>906</v>
      </c>
      <c r="Y2111" s="24" t="s">
        <v>901</v>
      </c>
      <c r="Z2111" s="24" t="s">
        <v>902</v>
      </c>
      <c r="AA2111" s="24" t="s">
        <v>903</v>
      </c>
    </row>
    <row r="2112" spans="1:27" ht="14.4" hidden="1" customHeight="1" x14ac:dyDescent="0.3">
      <c r="A2112" s="4" t="s">
        <v>0</v>
      </c>
      <c r="B2112" s="4" t="s">
        <v>17</v>
      </c>
      <c r="C2112" s="16" t="s">
        <v>18</v>
      </c>
      <c r="D2112" s="4">
        <v>10</v>
      </c>
      <c r="E2112" s="4" t="s">
        <v>745</v>
      </c>
      <c r="F2112" t="s">
        <v>81</v>
      </c>
      <c r="G2112" t="s">
        <v>836</v>
      </c>
      <c r="H2112" s="4" t="s">
        <v>55</v>
      </c>
      <c r="I2112" s="4" t="s">
        <v>20</v>
      </c>
      <c r="J2112" s="4" t="s">
        <v>55</v>
      </c>
      <c r="K2112" s="4" t="s">
        <v>20</v>
      </c>
      <c r="L2112" s="4" t="s">
        <v>742</v>
      </c>
      <c r="M2112" s="17">
        <v>30</v>
      </c>
      <c r="N2112" s="17">
        <v>771</v>
      </c>
      <c r="O2112" s="18" t="s">
        <v>55</v>
      </c>
      <c r="P2112" s="18">
        <v>771</v>
      </c>
      <c r="Q2112" s="18">
        <v>30</v>
      </c>
      <c r="R2112" s="28" t="s">
        <v>931</v>
      </c>
      <c r="S2112" s="28" t="s">
        <v>930</v>
      </c>
      <c r="T2112" s="28" t="s">
        <v>781</v>
      </c>
      <c r="U21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12" s="19">
        <f>IF(AUDITORIA[[#This Row],[CAT]]="",0,1)</f>
        <v>1</v>
      </c>
      <c r="W2112" s="20">
        <v>46232</v>
      </c>
      <c r="X2112" s="21" t="s">
        <v>906</v>
      </c>
      <c r="Y2112" s="24" t="s">
        <v>901</v>
      </c>
      <c r="Z2112" s="24" t="s">
        <v>902</v>
      </c>
      <c r="AA2112" s="24" t="s">
        <v>903</v>
      </c>
    </row>
    <row r="2113" spans="1:27" ht="14.4" hidden="1" customHeight="1" x14ac:dyDescent="0.3">
      <c r="A2113" s="4" t="s">
        <v>0</v>
      </c>
      <c r="B2113" s="4" t="s">
        <v>17</v>
      </c>
      <c r="C2113" s="16" t="s">
        <v>18</v>
      </c>
      <c r="D2113" s="4">
        <v>10</v>
      </c>
      <c r="E2113" s="4" t="s">
        <v>745</v>
      </c>
      <c r="F2113" t="s">
        <v>79</v>
      </c>
      <c r="G2113" t="s">
        <v>836</v>
      </c>
      <c r="H2113" s="4" t="s">
        <v>55</v>
      </c>
      <c r="I2113" s="4" t="s">
        <v>21</v>
      </c>
      <c r="J2113" s="4" t="s">
        <v>55</v>
      </c>
      <c r="K2113" s="4" t="s">
        <v>21</v>
      </c>
      <c r="L2113" s="4" t="s">
        <v>742</v>
      </c>
      <c r="M2113" s="17">
        <v>27</v>
      </c>
      <c r="N2113" s="17">
        <v>972</v>
      </c>
      <c r="O2113" s="18" t="s">
        <v>55</v>
      </c>
      <c r="P2113" s="18">
        <v>972</v>
      </c>
      <c r="Q2113" s="18">
        <v>27</v>
      </c>
      <c r="R2113" s="18" t="s">
        <v>931</v>
      </c>
      <c r="S2113" s="18" t="s">
        <v>808</v>
      </c>
      <c r="T2113" s="28" t="s">
        <v>780</v>
      </c>
      <c r="U21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13" s="19">
        <f>IF(AUDITORIA[[#This Row],[CAT]]="",0,1)</f>
        <v>1</v>
      </c>
      <c r="W2113" s="20">
        <v>46232</v>
      </c>
      <c r="X2113" s="21" t="s">
        <v>906</v>
      </c>
      <c r="Y2113" s="24" t="s">
        <v>901</v>
      </c>
      <c r="Z2113" s="24" t="s">
        <v>902</v>
      </c>
      <c r="AA2113" s="24" t="s">
        <v>903</v>
      </c>
    </row>
    <row r="2114" spans="1:27" ht="14.4" hidden="1" customHeight="1" x14ac:dyDescent="0.3">
      <c r="A2114" s="4" t="s">
        <v>0</v>
      </c>
      <c r="B2114" s="4" t="s">
        <v>17</v>
      </c>
      <c r="C2114" s="16" t="s">
        <v>18</v>
      </c>
      <c r="D2114" s="4">
        <v>10</v>
      </c>
      <c r="E2114" s="4" t="s">
        <v>745</v>
      </c>
      <c r="F2114" t="s">
        <v>80</v>
      </c>
      <c r="G2114" t="s">
        <v>836</v>
      </c>
      <c r="H2114" s="4" t="s">
        <v>55</v>
      </c>
      <c r="I2114" s="4" t="s">
        <v>20</v>
      </c>
      <c r="J2114" s="4" t="s">
        <v>55</v>
      </c>
      <c r="K2114" s="4" t="s">
        <v>20</v>
      </c>
      <c r="L2114" s="4" t="s">
        <v>742</v>
      </c>
      <c r="M2114" s="17">
        <v>30</v>
      </c>
      <c r="N2114" s="17">
        <v>780</v>
      </c>
      <c r="O2114" s="18" t="s">
        <v>55</v>
      </c>
      <c r="P2114" s="18">
        <v>780</v>
      </c>
      <c r="Q2114" s="18">
        <v>30</v>
      </c>
      <c r="R2114" s="28" t="s">
        <v>931</v>
      </c>
      <c r="S2114" s="28" t="s">
        <v>911</v>
      </c>
      <c r="T2114" s="28" t="s">
        <v>782</v>
      </c>
      <c r="U21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14" s="19">
        <f>IF(AUDITORIA[[#This Row],[CAT]]="",0,1)</f>
        <v>1</v>
      </c>
      <c r="W2114" s="20">
        <v>46232</v>
      </c>
      <c r="X2114" s="21" t="s">
        <v>906</v>
      </c>
      <c r="Y2114" s="24" t="s">
        <v>901</v>
      </c>
      <c r="Z2114" s="24" t="s">
        <v>902</v>
      </c>
      <c r="AA2114" s="24" t="s">
        <v>903</v>
      </c>
    </row>
    <row r="2115" spans="1:27" ht="14.4" hidden="1" customHeight="1" x14ac:dyDescent="0.3">
      <c r="A2115" s="4" t="s">
        <v>0</v>
      </c>
      <c r="B2115" s="4" t="s">
        <v>17</v>
      </c>
      <c r="C2115" s="16" t="s">
        <v>18</v>
      </c>
      <c r="D2115" s="4">
        <v>10</v>
      </c>
      <c r="E2115" s="4" t="s">
        <v>745</v>
      </c>
      <c r="F2115" t="s">
        <v>78</v>
      </c>
      <c r="G2115" t="s">
        <v>836</v>
      </c>
      <c r="H2115" s="4" t="s">
        <v>55</v>
      </c>
      <c r="I2115" s="4" t="s">
        <v>20</v>
      </c>
      <c r="J2115" s="4" t="s">
        <v>55</v>
      </c>
      <c r="K2115" s="4" t="s">
        <v>20</v>
      </c>
      <c r="L2115" s="4" t="s">
        <v>742</v>
      </c>
      <c r="M2115" s="17">
        <v>10</v>
      </c>
      <c r="N2115" s="17">
        <v>767</v>
      </c>
      <c r="O2115" s="18" t="s">
        <v>55</v>
      </c>
      <c r="P2115" s="18">
        <v>767</v>
      </c>
      <c r="Q2115" s="18">
        <v>10</v>
      </c>
      <c r="R2115" s="18" t="str">
        <f>VLOOKUP(AUDITORIA[[#This Row],[LOTE]],[1]ENDEREÇAMENTO!$C$2:$J$9999,8,FALSE)</f>
        <v>Cam.B</v>
      </c>
      <c r="S2115" s="18" t="str">
        <f>VLOOKUP(RIGHT(AUDITORIA[[#This Row],[LOTE]],4),[2]Lotes!$A$2:$E$209,2,FALSE)</f>
        <v>QD.07</v>
      </c>
      <c r="T2115" s="28" t="str">
        <f>VLOOKUP(RIGHT(AUDITORIA[[#This Row],[LOTE]],4),[2]Lotes!$A$2:$E$209,4,FALSE)</f>
        <v>F2</v>
      </c>
      <c r="U21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15" s="19">
        <f>IF(AUDITORIA[[#This Row],[CAT]]="",0,1)</f>
        <v>1</v>
      </c>
      <c r="W2115" s="20">
        <v>46232</v>
      </c>
      <c r="X2115" s="21" t="s">
        <v>906</v>
      </c>
      <c r="Y2115" s="24" t="s">
        <v>901</v>
      </c>
      <c r="Z2115" s="24" t="s">
        <v>902</v>
      </c>
      <c r="AA2115" s="24" t="s">
        <v>903</v>
      </c>
    </row>
    <row r="2116" spans="1:27" ht="14.4" hidden="1" customHeight="1" x14ac:dyDescent="0.3">
      <c r="A2116" s="4" t="s">
        <v>0</v>
      </c>
      <c r="B2116" s="4" t="s">
        <v>17</v>
      </c>
      <c r="C2116" s="16" t="s">
        <v>18</v>
      </c>
      <c r="D2116" s="4">
        <v>10</v>
      </c>
      <c r="E2116" s="4" t="s">
        <v>745</v>
      </c>
      <c r="F2116" t="s">
        <v>74</v>
      </c>
      <c r="G2116" t="s">
        <v>836</v>
      </c>
      <c r="H2116" s="4" t="s">
        <v>55</v>
      </c>
      <c r="I2116" s="4" t="s">
        <v>21</v>
      </c>
      <c r="J2116" s="4" t="s">
        <v>55</v>
      </c>
      <c r="K2116" s="4" t="s">
        <v>21</v>
      </c>
      <c r="L2116" s="4" t="s">
        <v>742</v>
      </c>
      <c r="M2116" s="17">
        <v>6</v>
      </c>
      <c r="N2116" s="17">
        <v>941</v>
      </c>
      <c r="O2116" s="18" t="s">
        <v>55</v>
      </c>
      <c r="P2116" s="18">
        <v>941</v>
      </c>
      <c r="Q2116" s="18">
        <v>6</v>
      </c>
      <c r="R2116" s="18" t="str">
        <f>VLOOKUP(AUDITORIA[[#This Row],[LOTE]],[1]ENDEREÇAMENTO!$C$2:$J$9999,8,FALSE)</f>
        <v>Cam.B</v>
      </c>
      <c r="S2116" s="18" t="str">
        <f>VLOOKUP(RIGHT(AUDITORIA[[#This Row],[LOTE]],4),[2]Lotes!$A$2:$E$209,2,FALSE)</f>
        <v>QD.05</v>
      </c>
      <c r="T2116" s="28" t="str">
        <f>VLOOKUP(RIGHT(AUDITORIA[[#This Row],[LOTE]],4),[2]Lotes!$A$2:$E$209,4,FALSE)</f>
        <v>F4</v>
      </c>
      <c r="U21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16" s="19">
        <f>IF(AUDITORIA[[#This Row],[CAT]]="",0,1)</f>
        <v>1</v>
      </c>
      <c r="W2116" s="20">
        <v>46232</v>
      </c>
      <c r="X2116" s="21" t="s">
        <v>906</v>
      </c>
      <c r="Y2116" s="24" t="s">
        <v>901</v>
      </c>
      <c r="Z2116" s="24" t="s">
        <v>902</v>
      </c>
      <c r="AA2116" s="24" t="s">
        <v>903</v>
      </c>
    </row>
    <row r="2117" spans="1:27" ht="14.4" hidden="1" customHeight="1" x14ac:dyDescent="0.3">
      <c r="A2117" s="4" t="s">
        <v>0</v>
      </c>
      <c r="B2117" s="4" t="s">
        <v>17</v>
      </c>
      <c r="C2117" s="16" t="s">
        <v>18</v>
      </c>
      <c r="D2117" s="4">
        <v>10</v>
      </c>
      <c r="E2117" s="4" t="s">
        <v>745</v>
      </c>
      <c r="F2117" t="s">
        <v>77</v>
      </c>
      <c r="G2117" t="s">
        <v>836</v>
      </c>
      <c r="H2117" s="4" t="s">
        <v>55</v>
      </c>
      <c r="I2117" s="4" t="s">
        <v>21</v>
      </c>
      <c r="J2117" s="4" t="s">
        <v>55</v>
      </c>
      <c r="K2117" s="4" t="s">
        <v>21</v>
      </c>
      <c r="L2117" s="4" t="s">
        <v>742</v>
      </c>
      <c r="M2117" s="17">
        <v>30</v>
      </c>
      <c r="N2117" s="17">
        <v>895</v>
      </c>
      <c r="O2117" s="18" t="s">
        <v>55</v>
      </c>
      <c r="P2117" s="18">
        <v>895</v>
      </c>
      <c r="Q2117" s="18">
        <v>30</v>
      </c>
      <c r="R2117" s="18" t="str">
        <f>VLOOKUP(AUDITORIA[[#This Row],[LOTE]],[1]ENDEREÇAMENTO!$C$2:$J$9999,8,FALSE)</f>
        <v>Cam.B</v>
      </c>
      <c r="S2117" s="18" t="str">
        <f>VLOOKUP(RIGHT(AUDITORIA[[#This Row],[LOTE]],4),[2]Lotes!$A$2:$E$209,2,FALSE)</f>
        <v>QD.13</v>
      </c>
      <c r="T2117" s="28" t="str">
        <f>VLOOKUP(RIGHT(AUDITORIA[[#This Row],[LOTE]],4),[2]Lotes!$A$2:$E$209,4,FALSE)</f>
        <v>F3</v>
      </c>
      <c r="U21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17" s="19">
        <f>IF(AUDITORIA[[#This Row],[CAT]]="",0,1)</f>
        <v>1</v>
      </c>
      <c r="W2117" s="20">
        <v>46232</v>
      </c>
      <c r="X2117" s="21" t="s">
        <v>906</v>
      </c>
      <c r="Y2117" s="24" t="s">
        <v>901</v>
      </c>
      <c r="Z2117" s="24" t="s">
        <v>902</v>
      </c>
      <c r="AA2117" s="24" t="s">
        <v>903</v>
      </c>
    </row>
    <row r="2118" spans="1:27" ht="14.4" hidden="1" customHeight="1" x14ac:dyDescent="0.3">
      <c r="A2118" s="4" t="s">
        <v>0</v>
      </c>
      <c r="B2118" s="4" t="s">
        <v>17</v>
      </c>
      <c r="C2118" s="16" t="s">
        <v>18</v>
      </c>
      <c r="D2118" s="4">
        <v>10</v>
      </c>
      <c r="E2118" s="4" t="s">
        <v>745</v>
      </c>
      <c r="F2118" t="s">
        <v>76</v>
      </c>
      <c r="G2118" t="s">
        <v>836</v>
      </c>
      <c r="H2118" s="4" t="s">
        <v>55</v>
      </c>
      <c r="I2118" s="4" t="s">
        <v>20</v>
      </c>
      <c r="J2118" s="4" t="s">
        <v>55</v>
      </c>
      <c r="K2118" s="4" t="s">
        <v>20</v>
      </c>
      <c r="L2118" s="4" t="s">
        <v>742</v>
      </c>
      <c r="M2118" s="17">
        <v>30</v>
      </c>
      <c r="N2118" s="17">
        <v>695</v>
      </c>
      <c r="O2118" s="18" t="s">
        <v>55</v>
      </c>
      <c r="P2118" s="18">
        <v>695</v>
      </c>
      <c r="Q2118" s="18">
        <v>30</v>
      </c>
      <c r="R2118" s="28" t="s">
        <v>931</v>
      </c>
      <c r="S2118" s="28" t="s">
        <v>930</v>
      </c>
      <c r="T2118" s="28" t="s">
        <v>782</v>
      </c>
      <c r="U21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18" s="19">
        <f>IF(AUDITORIA[[#This Row],[CAT]]="",0,1)</f>
        <v>1</v>
      </c>
      <c r="W2118" s="20">
        <v>46232</v>
      </c>
      <c r="X2118" s="21" t="s">
        <v>906</v>
      </c>
      <c r="Y2118" s="24" t="s">
        <v>901</v>
      </c>
      <c r="Z2118" s="24" t="s">
        <v>902</v>
      </c>
      <c r="AA2118" s="24" t="s">
        <v>903</v>
      </c>
    </row>
    <row r="2119" spans="1:27" ht="14.4" hidden="1" customHeight="1" x14ac:dyDescent="0.3">
      <c r="A2119" s="4" t="s">
        <v>0</v>
      </c>
      <c r="B2119" s="4" t="s">
        <v>17</v>
      </c>
      <c r="C2119" s="16" t="s">
        <v>18</v>
      </c>
      <c r="D2119" s="4">
        <v>10</v>
      </c>
      <c r="E2119" s="4" t="s">
        <v>745</v>
      </c>
      <c r="F2119" t="s">
        <v>75</v>
      </c>
      <c r="G2119" t="s">
        <v>836</v>
      </c>
      <c r="H2119" s="4" t="s">
        <v>55</v>
      </c>
      <c r="I2119" s="4" t="s">
        <v>21</v>
      </c>
      <c r="J2119" s="4" t="s">
        <v>55</v>
      </c>
      <c r="K2119" s="4" t="s">
        <v>21</v>
      </c>
      <c r="L2119" s="4" t="s">
        <v>742</v>
      </c>
      <c r="M2119" s="17">
        <v>30</v>
      </c>
      <c r="N2119" s="17">
        <v>879</v>
      </c>
      <c r="O2119" s="18" t="s">
        <v>55</v>
      </c>
      <c r="P2119" s="18">
        <v>879</v>
      </c>
      <c r="Q2119" s="18">
        <v>30</v>
      </c>
      <c r="R2119" s="18" t="str">
        <f>VLOOKUP(AUDITORIA[[#This Row],[LOTE]],[1]ENDEREÇAMENTO!$C$2:$J$9999,8,FALSE)</f>
        <v>Cam.B</v>
      </c>
      <c r="S2119" s="18" t="str">
        <f>VLOOKUP(RIGHT(AUDITORIA[[#This Row],[LOTE]],4),[2]Lotes!$A$2:$E$209,2,FALSE)</f>
        <v>QD.14</v>
      </c>
      <c r="T2119" s="28" t="str">
        <f>VLOOKUP(RIGHT(AUDITORIA[[#This Row],[LOTE]],4),[2]Lotes!$A$2:$E$209,4,FALSE)</f>
        <v>F1</v>
      </c>
      <c r="U21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19" s="19">
        <f>IF(AUDITORIA[[#This Row],[CAT]]="",0,1)</f>
        <v>1</v>
      </c>
      <c r="W2119" s="20">
        <v>46232</v>
      </c>
      <c r="X2119" s="21" t="s">
        <v>906</v>
      </c>
      <c r="Y2119" s="24" t="s">
        <v>901</v>
      </c>
      <c r="Z2119" s="24" t="s">
        <v>902</v>
      </c>
      <c r="AA2119" s="24" t="s">
        <v>903</v>
      </c>
    </row>
    <row r="2120" spans="1:27" ht="14.4" hidden="1" customHeight="1" x14ac:dyDescent="0.3">
      <c r="A2120" s="4" t="s">
        <v>0</v>
      </c>
      <c r="B2120" s="4" t="s">
        <v>17</v>
      </c>
      <c r="C2120" s="16" t="s">
        <v>18</v>
      </c>
      <c r="D2120" s="4">
        <v>10</v>
      </c>
      <c r="E2120" s="4" t="s">
        <v>745</v>
      </c>
      <c r="F2120" t="s">
        <v>71</v>
      </c>
      <c r="G2120" t="s">
        <v>836</v>
      </c>
      <c r="H2120" s="4" t="s">
        <v>55</v>
      </c>
      <c r="I2120" s="4" t="s">
        <v>20</v>
      </c>
      <c r="J2120" s="4" t="s">
        <v>55</v>
      </c>
      <c r="K2120" s="4" t="s">
        <v>20</v>
      </c>
      <c r="L2120" s="4" t="s">
        <v>742</v>
      </c>
      <c r="M2120" s="17">
        <v>30</v>
      </c>
      <c r="N2120" s="17">
        <v>694</v>
      </c>
      <c r="O2120" s="18" t="s">
        <v>55</v>
      </c>
      <c r="P2120" s="18">
        <v>694</v>
      </c>
      <c r="Q2120" s="18">
        <v>30</v>
      </c>
      <c r="R2120" s="18" t="s">
        <v>931</v>
      </c>
      <c r="S2120" s="18" t="s">
        <v>804</v>
      </c>
      <c r="T2120" s="28" t="s">
        <v>781</v>
      </c>
      <c r="U21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20" s="19">
        <f>IF(AUDITORIA[[#This Row],[CAT]]="",0,1)</f>
        <v>1</v>
      </c>
      <c r="W2120" s="20">
        <v>46232</v>
      </c>
      <c r="X2120" s="21" t="s">
        <v>906</v>
      </c>
      <c r="Y2120" s="24" t="s">
        <v>901</v>
      </c>
      <c r="Z2120" s="24" t="s">
        <v>902</v>
      </c>
      <c r="AA2120" s="24" t="s">
        <v>903</v>
      </c>
    </row>
    <row r="2121" spans="1:27" ht="14.4" hidden="1" customHeight="1" x14ac:dyDescent="0.3">
      <c r="A2121" s="4" t="s">
        <v>0</v>
      </c>
      <c r="B2121" s="4" t="s">
        <v>17</v>
      </c>
      <c r="C2121" s="16" t="s">
        <v>18</v>
      </c>
      <c r="D2121" s="4">
        <v>10</v>
      </c>
      <c r="E2121" s="4" t="s">
        <v>745</v>
      </c>
      <c r="F2121" t="s">
        <v>73</v>
      </c>
      <c r="G2121" t="s">
        <v>836</v>
      </c>
      <c r="H2121" s="4" t="s">
        <v>55</v>
      </c>
      <c r="I2121" s="4" t="s">
        <v>21</v>
      </c>
      <c r="J2121" s="4" t="s">
        <v>55</v>
      </c>
      <c r="K2121" s="4" t="s">
        <v>21</v>
      </c>
      <c r="L2121" s="4" t="s">
        <v>742</v>
      </c>
      <c r="M2121" s="17">
        <v>30</v>
      </c>
      <c r="N2121" s="17">
        <v>882</v>
      </c>
      <c r="O2121" s="18" t="s">
        <v>55</v>
      </c>
      <c r="P2121" s="18">
        <v>882</v>
      </c>
      <c r="Q2121" s="18">
        <v>30</v>
      </c>
      <c r="R2121" s="18" t="s">
        <v>778</v>
      </c>
      <c r="S2121" s="18" t="s">
        <v>783</v>
      </c>
      <c r="T2121" s="28" t="s">
        <v>782</v>
      </c>
      <c r="U21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21" s="19">
        <f>IF(AUDITORIA[[#This Row],[CAT]]="",0,1)</f>
        <v>1</v>
      </c>
      <c r="W2121" s="20">
        <v>46232</v>
      </c>
      <c r="X2121" s="21" t="s">
        <v>906</v>
      </c>
      <c r="Y2121" s="24" t="s">
        <v>901</v>
      </c>
      <c r="Z2121" s="24" t="s">
        <v>902</v>
      </c>
      <c r="AA2121" s="24" t="s">
        <v>903</v>
      </c>
    </row>
    <row r="2122" spans="1:27" ht="14.4" hidden="1" customHeight="1" x14ac:dyDescent="0.3">
      <c r="A2122" s="4" t="s">
        <v>0</v>
      </c>
      <c r="B2122" s="4" t="s">
        <v>17</v>
      </c>
      <c r="C2122" s="16" t="s">
        <v>18</v>
      </c>
      <c r="D2122" s="4">
        <v>10</v>
      </c>
      <c r="E2122" s="4" t="s">
        <v>745</v>
      </c>
      <c r="F2122" t="s">
        <v>72</v>
      </c>
      <c r="G2122" t="s">
        <v>836</v>
      </c>
      <c r="H2122" s="4" t="s">
        <v>55</v>
      </c>
      <c r="I2122" s="4" t="s">
        <v>21</v>
      </c>
      <c r="J2122" s="4" t="s">
        <v>55</v>
      </c>
      <c r="K2122" s="4" t="s">
        <v>21</v>
      </c>
      <c r="L2122" s="4" t="s">
        <v>742</v>
      </c>
      <c r="M2122" s="17">
        <v>27</v>
      </c>
      <c r="N2122" s="17">
        <v>921</v>
      </c>
      <c r="O2122" s="18" t="s">
        <v>55</v>
      </c>
      <c r="P2122" s="18">
        <v>921</v>
      </c>
      <c r="Q2122" s="18">
        <v>27</v>
      </c>
      <c r="R2122" s="18" t="s">
        <v>931</v>
      </c>
      <c r="S2122" s="18" t="s">
        <v>808</v>
      </c>
      <c r="T2122" s="28" t="s">
        <v>781</v>
      </c>
      <c r="U21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22" s="19">
        <f>IF(AUDITORIA[[#This Row],[CAT]]="",0,1)</f>
        <v>1</v>
      </c>
      <c r="W2122" s="20">
        <v>46232</v>
      </c>
      <c r="X2122" s="21" t="s">
        <v>906</v>
      </c>
      <c r="Y2122" s="24" t="s">
        <v>901</v>
      </c>
      <c r="Z2122" s="24" t="s">
        <v>902</v>
      </c>
      <c r="AA2122" s="24" t="s">
        <v>903</v>
      </c>
    </row>
    <row r="2123" spans="1:27" ht="14.4" hidden="1" customHeight="1" x14ac:dyDescent="0.3">
      <c r="A2123" s="4" t="s">
        <v>0</v>
      </c>
      <c r="B2123" s="4" t="s">
        <v>17</v>
      </c>
      <c r="C2123" s="16" t="s">
        <v>18</v>
      </c>
      <c r="D2123" s="4">
        <v>10</v>
      </c>
      <c r="E2123" s="4" t="s">
        <v>745</v>
      </c>
      <c r="F2123" t="s">
        <v>70</v>
      </c>
      <c r="G2123" t="s">
        <v>836</v>
      </c>
      <c r="H2123" s="4" t="s">
        <v>55</v>
      </c>
      <c r="I2123" s="4" t="s">
        <v>21</v>
      </c>
      <c r="J2123" s="4" t="s">
        <v>55</v>
      </c>
      <c r="K2123" s="4" t="s">
        <v>21</v>
      </c>
      <c r="L2123" s="4" t="s">
        <v>742</v>
      </c>
      <c r="M2123" s="17">
        <v>30</v>
      </c>
      <c r="N2123" s="17">
        <v>898</v>
      </c>
      <c r="O2123" s="18" t="s">
        <v>55</v>
      </c>
      <c r="P2123" s="18">
        <v>898</v>
      </c>
      <c r="Q2123" s="18">
        <v>30</v>
      </c>
      <c r="R2123" s="18" t="str">
        <f>VLOOKUP(AUDITORIA[[#This Row],[LOTE]],[1]ENDEREÇAMENTO!$C$2:$J$9999,8,FALSE)</f>
        <v>Cam.B</v>
      </c>
      <c r="S2123" s="18" t="str">
        <f>VLOOKUP(RIGHT(AUDITORIA[[#This Row],[LOTE]],4),[2]Lotes!$A$2:$E$209,2,FALSE)</f>
        <v>QD.04</v>
      </c>
      <c r="T2123" s="28" t="str">
        <f>VLOOKUP(RIGHT(AUDITORIA[[#This Row],[LOTE]],4),[2]Lotes!$A$2:$E$209,4,FALSE)</f>
        <v>F2</v>
      </c>
      <c r="U21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23" s="19">
        <f>IF(AUDITORIA[[#This Row],[CAT]]="",0,1)</f>
        <v>1</v>
      </c>
      <c r="W2123" s="20">
        <v>46232</v>
      </c>
      <c r="X2123" s="21" t="s">
        <v>906</v>
      </c>
      <c r="Y2123" s="24" t="s">
        <v>901</v>
      </c>
      <c r="Z2123" s="24" t="s">
        <v>902</v>
      </c>
      <c r="AA2123" s="24" t="s">
        <v>903</v>
      </c>
    </row>
    <row r="2124" spans="1:27" ht="14.4" hidden="1" customHeight="1" x14ac:dyDescent="0.3">
      <c r="A2124" s="4" t="s">
        <v>0</v>
      </c>
      <c r="B2124" s="4" t="s">
        <v>17</v>
      </c>
      <c r="C2124" s="16" t="s">
        <v>18</v>
      </c>
      <c r="D2124" s="4">
        <v>10</v>
      </c>
      <c r="E2124" s="4" t="s">
        <v>745</v>
      </c>
      <c r="F2124" t="s">
        <v>65</v>
      </c>
      <c r="G2124" t="s">
        <v>836</v>
      </c>
      <c r="H2124" s="4" t="s">
        <v>55</v>
      </c>
      <c r="I2124" s="4" t="s">
        <v>20</v>
      </c>
      <c r="J2124" s="4" t="s">
        <v>55</v>
      </c>
      <c r="K2124" s="4" t="s">
        <v>20</v>
      </c>
      <c r="L2124" s="4" t="s">
        <v>742</v>
      </c>
      <c r="M2124" s="17">
        <v>30</v>
      </c>
      <c r="N2124" s="17">
        <v>696</v>
      </c>
      <c r="O2124" s="18" t="s">
        <v>55</v>
      </c>
      <c r="P2124" s="18">
        <v>696</v>
      </c>
      <c r="Q2124" s="18">
        <v>30</v>
      </c>
      <c r="R2124" s="18" t="str">
        <f>VLOOKUP(AUDITORIA[[#This Row],[LOTE]],[1]ENDEREÇAMENTO!$C$2:$J$9999,8,FALSE)</f>
        <v>Cam.B</v>
      </c>
      <c r="S2124" s="18" t="str">
        <f>VLOOKUP(RIGHT(AUDITORIA[[#This Row],[LOTE]],4),[2]Lotes!$A$2:$E$209,2,FALSE)</f>
        <v>QD.13</v>
      </c>
      <c r="T2124" s="28" t="str">
        <f>VLOOKUP(RIGHT(AUDITORIA[[#This Row],[LOTE]],4),[2]Lotes!$A$2:$E$209,4,FALSE)</f>
        <v>F1</v>
      </c>
      <c r="U21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24" s="19">
        <f>IF(AUDITORIA[[#This Row],[CAT]]="",0,1)</f>
        <v>1</v>
      </c>
      <c r="W2124" s="20">
        <v>46232</v>
      </c>
      <c r="X2124" s="21" t="s">
        <v>906</v>
      </c>
      <c r="Y2124" s="24" t="s">
        <v>901</v>
      </c>
      <c r="Z2124" s="24" t="s">
        <v>902</v>
      </c>
      <c r="AA2124" s="24" t="s">
        <v>903</v>
      </c>
    </row>
    <row r="2125" spans="1:27" ht="14.4" hidden="1" customHeight="1" x14ac:dyDescent="0.3">
      <c r="A2125" s="4" t="s">
        <v>0</v>
      </c>
      <c r="B2125" s="4" t="s">
        <v>17</v>
      </c>
      <c r="C2125" s="16" t="s">
        <v>18</v>
      </c>
      <c r="D2125" s="4">
        <v>10</v>
      </c>
      <c r="E2125" s="4" t="s">
        <v>745</v>
      </c>
      <c r="F2125" t="s">
        <v>69</v>
      </c>
      <c r="G2125" t="s">
        <v>836</v>
      </c>
      <c r="H2125" s="4" t="s">
        <v>55</v>
      </c>
      <c r="I2125" s="4" t="s">
        <v>21</v>
      </c>
      <c r="J2125" s="4" t="s">
        <v>55</v>
      </c>
      <c r="K2125" s="4" t="s">
        <v>21</v>
      </c>
      <c r="L2125" s="4" t="s">
        <v>742</v>
      </c>
      <c r="M2125" s="17">
        <v>30</v>
      </c>
      <c r="N2125" s="17">
        <v>904</v>
      </c>
      <c r="O2125" s="18" t="s">
        <v>55</v>
      </c>
      <c r="P2125" s="18">
        <v>904</v>
      </c>
      <c r="Q2125" s="18">
        <v>30</v>
      </c>
      <c r="R2125" s="18" t="str">
        <f>VLOOKUP(AUDITORIA[[#This Row],[LOTE]],[1]ENDEREÇAMENTO!$C$2:$J$9999,8,FALSE)</f>
        <v>Cam.B</v>
      </c>
      <c r="S2125" s="18" t="str">
        <f>VLOOKUP(RIGHT(AUDITORIA[[#This Row],[LOTE]],4),[2]Lotes!$A$2:$E$209,2,FALSE)</f>
        <v>QD.23</v>
      </c>
      <c r="T2125" s="28" t="str">
        <f>VLOOKUP(RIGHT(AUDITORIA[[#This Row],[LOTE]],4),[2]Lotes!$A$2:$E$209,4,FALSE)</f>
        <v>F3</v>
      </c>
      <c r="U21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25" s="19">
        <f>IF(AUDITORIA[[#This Row],[CAT]]="",0,1)</f>
        <v>1</v>
      </c>
      <c r="W2125" s="20">
        <v>46232</v>
      </c>
      <c r="X2125" s="21" t="s">
        <v>906</v>
      </c>
      <c r="Y2125" s="24" t="s">
        <v>901</v>
      </c>
      <c r="Z2125" s="24" t="s">
        <v>902</v>
      </c>
      <c r="AA2125" s="24" t="s">
        <v>903</v>
      </c>
    </row>
    <row r="2126" spans="1:27" ht="14.4" hidden="1" customHeight="1" x14ac:dyDescent="0.3">
      <c r="A2126" s="4" t="s">
        <v>0</v>
      </c>
      <c r="B2126" s="4" t="s">
        <v>17</v>
      </c>
      <c r="C2126" s="16" t="s">
        <v>18</v>
      </c>
      <c r="D2126" s="4">
        <v>10</v>
      </c>
      <c r="E2126" s="4" t="s">
        <v>745</v>
      </c>
      <c r="F2126" t="s">
        <v>64</v>
      </c>
      <c r="G2126" t="s">
        <v>837</v>
      </c>
      <c r="H2126" s="4" t="s">
        <v>55</v>
      </c>
      <c r="I2126" s="4" t="s">
        <v>20</v>
      </c>
      <c r="J2126" s="4" t="s">
        <v>55</v>
      </c>
      <c r="K2126" s="4" t="s">
        <v>20</v>
      </c>
      <c r="L2126" s="4" t="s">
        <v>742</v>
      </c>
      <c r="M2126" s="17">
        <v>30</v>
      </c>
      <c r="N2126" s="17">
        <v>697</v>
      </c>
      <c r="O2126" s="18" t="s">
        <v>55</v>
      </c>
      <c r="P2126" s="18">
        <v>697</v>
      </c>
      <c r="Q2126" s="18">
        <v>30</v>
      </c>
      <c r="R2126" s="18" t="str">
        <f>VLOOKUP(AUDITORIA[[#This Row],[LOTE]],[1]ENDEREÇAMENTO!$C$2:$J$9999,8,FALSE)</f>
        <v>Cam.B</v>
      </c>
      <c r="S2126" s="18" t="str">
        <f>VLOOKUP(RIGHT(AUDITORIA[[#This Row],[LOTE]],4),[2]Lotes!$A$2:$E$209,2,FALSE)</f>
        <v>QD.26</v>
      </c>
      <c r="T2126" s="28" t="str">
        <f>VLOOKUP(RIGHT(AUDITORIA[[#This Row],[LOTE]],4),[2]Lotes!$A$2:$E$209,4,FALSE)</f>
        <v>F1</v>
      </c>
      <c r="U21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26" s="19">
        <f>IF(AUDITORIA[[#This Row],[CAT]]="",0,1)</f>
        <v>1</v>
      </c>
      <c r="W2126" s="20">
        <v>46232</v>
      </c>
      <c r="X2126" s="21" t="s">
        <v>906</v>
      </c>
      <c r="Y2126" s="24" t="s">
        <v>901</v>
      </c>
      <c r="Z2126" s="24" t="s">
        <v>902</v>
      </c>
      <c r="AA2126" s="24" t="s">
        <v>903</v>
      </c>
    </row>
    <row r="2127" spans="1:27" ht="14.4" hidden="1" customHeight="1" x14ac:dyDescent="0.3">
      <c r="A2127" s="4" t="s">
        <v>0</v>
      </c>
      <c r="B2127" s="4" t="s">
        <v>17</v>
      </c>
      <c r="C2127" s="16" t="s">
        <v>18</v>
      </c>
      <c r="D2127" s="4">
        <v>10</v>
      </c>
      <c r="E2127" s="4" t="s">
        <v>745</v>
      </c>
      <c r="F2127" t="s">
        <v>63</v>
      </c>
      <c r="G2127" t="s">
        <v>837</v>
      </c>
      <c r="H2127" s="4" t="s">
        <v>55</v>
      </c>
      <c r="I2127" s="4" t="s">
        <v>21</v>
      </c>
      <c r="J2127" s="4" t="s">
        <v>55</v>
      </c>
      <c r="K2127" s="4" t="s">
        <v>21</v>
      </c>
      <c r="L2127" s="4" t="s">
        <v>742</v>
      </c>
      <c r="M2127" s="17">
        <v>30</v>
      </c>
      <c r="N2127" s="17">
        <v>854</v>
      </c>
      <c r="O2127" s="18" t="s">
        <v>55</v>
      </c>
      <c r="P2127" s="18">
        <v>854</v>
      </c>
      <c r="Q2127" s="18">
        <v>30</v>
      </c>
      <c r="R2127" s="18" t="str">
        <f>VLOOKUP(AUDITORIA[[#This Row],[LOTE]],[1]ENDEREÇAMENTO!$C$2:$J$9999,8,FALSE)</f>
        <v>Cam.B</v>
      </c>
      <c r="S2127" s="18" t="str">
        <f>VLOOKUP(RIGHT(AUDITORIA[[#This Row],[LOTE]],4),[2]Lotes!$A$2:$E$209,2,FALSE)</f>
        <v>QD.29</v>
      </c>
      <c r="T2127" s="28" t="str">
        <f>VLOOKUP(RIGHT(AUDITORIA[[#This Row],[LOTE]],4),[2]Lotes!$A$2:$E$209,4,FALSE)</f>
        <v>F1</v>
      </c>
      <c r="U21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27" s="19">
        <f>IF(AUDITORIA[[#This Row],[CAT]]="",0,1)</f>
        <v>1</v>
      </c>
      <c r="W2127" s="20">
        <v>46232</v>
      </c>
      <c r="X2127" s="21" t="s">
        <v>906</v>
      </c>
      <c r="Y2127" s="24" t="s">
        <v>901</v>
      </c>
      <c r="Z2127" s="24" t="s">
        <v>902</v>
      </c>
      <c r="AA2127" s="24" t="s">
        <v>903</v>
      </c>
    </row>
    <row r="2128" spans="1:27" ht="14.4" hidden="1" customHeight="1" x14ac:dyDescent="0.3">
      <c r="A2128" s="4" t="s">
        <v>0</v>
      </c>
      <c r="B2128" s="4" t="s">
        <v>17</v>
      </c>
      <c r="C2128" s="16" t="s">
        <v>18</v>
      </c>
      <c r="D2128" s="4">
        <v>10</v>
      </c>
      <c r="E2128" s="4" t="s">
        <v>745</v>
      </c>
      <c r="F2128" t="s">
        <v>62</v>
      </c>
      <c r="G2128" t="s">
        <v>837</v>
      </c>
      <c r="H2128" s="4" t="s">
        <v>55</v>
      </c>
      <c r="I2128" s="4" t="s">
        <v>20</v>
      </c>
      <c r="J2128" s="4" t="s">
        <v>55</v>
      </c>
      <c r="K2128" s="4" t="s">
        <v>20</v>
      </c>
      <c r="L2128" s="4" t="s">
        <v>742</v>
      </c>
      <c r="M2128" s="17">
        <v>30</v>
      </c>
      <c r="N2128" s="17">
        <v>680</v>
      </c>
      <c r="O2128" s="18" t="s">
        <v>55</v>
      </c>
      <c r="P2128" s="18">
        <v>680</v>
      </c>
      <c r="Q2128" s="18">
        <v>30</v>
      </c>
      <c r="R2128" s="18" t="str">
        <f>VLOOKUP(AUDITORIA[[#This Row],[LOTE]],[1]ENDEREÇAMENTO!$C$2:$J$9999,8,FALSE)</f>
        <v>Cam.B</v>
      </c>
      <c r="S2128" s="18" t="str">
        <f>VLOOKUP(RIGHT(AUDITORIA[[#This Row],[LOTE]],4),[2]Lotes!$A$2:$E$209,2,FALSE)</f>
        <v>QD.26</v>
      </c>
      <c r="T2128" s="28" t="str">
        <f>VLOOKUP(RIGHT(AUDITORIA[[#This Row],[LOTE]],4),[2]Lotes!$A$2:$E$209,4,FALSE)</f>
        <v>F2</v>
      </c>
      <c r="U21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28" s="19">
        <f>IF(AUDITORIA[[#This Row],[CAT]]="",0,1)</f>
        <v>1</v>
      </c>
      <c r="W2128" s="20">
        <v>46232</v>
      </c>
      <c r="X2128" s="21" t="s">
        <v>906</v>
      </c>
      <c r="Y2128" s="24" t="s">
        <v>901</v>
      </c>
      <c r="Z2128" s="24" t="s">
        <v>902</v>
      </c>
      <c r="AA2128" s="24" t="s">
        <v>903</v>
      </c>
    </row>
    <row r="2129" spans="1:27" ht="14.4" hidden="1" customHeight="1" x14ac:dyDescent="0.3">
      <c r="A2129" s="4" t="s">
        <v>0</v>
      </c>
      <c r="B2129" s="4" t="s">
        <v>17</v>
      </c>
      <c r="C2129" s="16" t="s">
        <v>18</v>
      </c>
      <c r="D2129" s="4">
        <v>10</v>
      </c>
      <c r="E2129" s="4" t="s">
        <v>745</v>
      </c>
      <c r="F2129" t="s">
        <v>60</v>
      </c>
      <c r="G2129" t="s">
        <v>837</v>
      </c>
      <c r="H2129" s="4" t="s">
        <v>55</v>
      </c>
      <c r="I2129" s="4" t="s">
        <v>21</v>
      </c>
      <c r="J2129" s="4" t="s">
        <v>55</v>
      </c>
      <c r="K2129" s="4" t="s">
        <v>21</v>
      </c>
      <c r="L2129" s="4" t="s">
        <v>742</v>
      </c>
      <c r="M2129" s="17">
        <v>30</v>
      </c>
      <c r="N2129" s="17">
        <v>838</v>
      </c>
      <c r="O2129" s="18" t="s">
        <v>55</v>
      </c>
      <c r="P2129" s="18">
        <v>838</v>
      </c>
      <c r="Q2129" s="18">
        <v>30</v>
      </c>
      <c r="R2129" s="18" t="s">
        <v>931</v>
      </c>
      <c r="S2129" s="18" t="s">
        <v>792</v>
      </c>
      <c r="T2129" s="28" t="s">
        <v>782</v>
      </c>
      <c r="U21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29" s="19">
        <f>IF(AUDITORIA[[#This Row],[CAT]]="",0,1)</f>
        <v>1</v>
      </c>
      <c r="W2129" s="20">
        <v>46232</v>
      </c>
      <c r="X2129" s="21" t="s">
        <v>906</v>
      </c>
      <c r="Y2129" s="24" t="s">
        <v>901</v>
      </c>
      <c r="Z2129" s="24" t="s">
        <v>902</v>
      </c>
      <c r="AA2129" s="24" t="s">
        <v>903</v>
      </c>
    </row>
    <row r="2130" spans="1:27" ht="14.4" hidden="1" customHeight="1" x14ac:dyDescent="0.3">
      <c r="A2130" s="4" t="s">
        <v>0</v>
      </c>
      <c r="B2130" s="4" t="s">
        <v>17</v>
      </c>
      <c r="C2130" s="16" t="s">
        <v>18</v>
      </c>
      <c r="D2130" s="4">
        <v>10</v>
      </c>
      <c r="E2130" s="4" t="s">
        <v>745</v>
      </c>
      <c r="F2130" t="s">
        <v>61</v>
      </c>
      <c r="G2130" t="s">
        <v>837</v>
      </c>
      <c r="H2130" s="4" t="s">
        <v>55</v>
      </c>
      <c r="I2130" s="4" t="s">
        <v>20</v>
      </c>
      <c r="J2130" s="4" t="s">
        <v>55</v>
      </c>
      <c r="K2130" s="4" t="s">
        <v>20</v>
      </c>
      <c r="L2130" s="4" t="s">
        <v>742</v>
      </c>
      <c r="M2130" s="17">
        <v>30</v>
      </c>
      <c r="N2130" s="17">
        <v>677</v>
      </c>
      <c r="O2130" s="18" t="s">
        <v>55</v>
      </c>
      <c r="P2130" s="18">
        <v>677</v>
      </c>
      <c r="Q2130" s="18">
        <v>30</v>
      </c>
      <c r="R2130" s="18" t="s">
        <v>931</v>
      </c>
      <c r="S2130" s="18" t="s">
        <v>785</v>
      </c>
      <c r="T2130" s="28" t="s">
        <v>781</v>
      </c>
      <c r="U21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30" s="19">
        <f>IF(AUDITORIA[[#This Row],[CAT]]="",0,1)</f>
        <v>1</v>
      </c>
      <c r="W2130" s="20">
        <v>46232</v>
      </c>
      <c r="X2130" s="21" t="s">
        <v>906</v>
      </c>
      <c r="Y2130" s="24" t="s">
        <v>901</v>
      </c>
      <c r="Z2130" s="24" t="s">
        <v>902</v>
      </c>
      <c r="AA2130" s="24" t="s">
        <v>903</v>
      </c>
    </row>
    <row r="2131" spans="1:27" ht="14.4" hidden="1" customHeight="1" x14ac:dyDescent="0.3">
      <c r="A2131" s="4" t="s">
        <v>0</v>
      </c>
      <c r="B2131" s="4" t="s">
        <v>17</v>
      </c>
      <c r="C2131" s="16" t="s">
        <v>18</v>
      </c>
      <c r="D2131" s="4">
        <v>10</v>
      </c>
      <c r="E2131" s="4" t="s">
        <v>745</v>
      </c>
      <c r="F2131" t="s">
        <v>59</v>
      </c>
      <c r="G2131" t="s">
        <v>837</v>
      </c>
      <c r="H2131" s="4" t="s">
        <v>55</v>
      </c>
      <c r="I2131" s="4" t="s">
        <v>20</v>
      </c>
      <c r="J2131" s="4" t="s">
        <v>55</v>
      </c>
      <c r="K2131" s="4" t="s">
        <v>20</v>
      </c>
      <c r="L2131" s="4" t="s">
        <v>742</v>
      </c>
      <c r="M2131" s="17">
        <v>30</v>
      </c>
      <c r="N2131" s="17">
        <v>690</v>
      </c>
      <c r="O2131" s="18" t="s">
        <v>55</v>
      </c>
      <c r="P2131" s="18">
        <v>690</v>
      </c>
      <c r="Q2131" s="18">
        <v>30</v>
      </c>
      <c r="R2131" s="18" t="str">
        <f>VLOOKUP(AUDITORIA[[#This Row],[LOTE]],[1]ENDEREÇAMENTO!$C$2:$J$9999,8,FALSE)</f>
        <v>Cam.B</v>
      </c>
      <c r="S2131" s="18" t="str">
        <f>VLOOKUP(RIGHT(AUDITORIA[[#This Row],[LOTE]],4),[2]Lotes!$A$2:$E$209,2,FALSE)</f>
        <v>QD.26</v>
      </c>
      <c r="T2131" s="28" t="str">
        <f>VLOOKUP(RIGHT(AUDITORIA[[#This Row],[LOTE]],4),[2]Lotes!$A$2:$E$209,4,FALSE)</f>
        <v>F3</v>
      </c>
      <c r="U21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31" s="19">
        <f>IF(AUDITORIA[[#This Row],[CAT]]="",0,1)</f>
        <v>1</v>
      </c>
      <c r="W2131" s="20">
        <v>46232</v>
      </c>
      <c r="X2131" s="21" t="s">
        <v>906</v>
      </c>
      <c r="Y2131" s="24" t="s">
        <v>901</v>
      </c>
      <c r="Z2131" s="24" t="s">
        <v>902</v>
      </c>
      <c r="AA2131" s="24" t="s">
        <v>903</v>
      </c>
    </row>
    <row r="2132" spans="1:27" ht="14.4" hidden="1" customHeight="1" x14ac:dyDescent="0.3">
      <c r="A2132" s="4" t="s">
        <v>0</v>
      </c>
      <c r="B2132" s="4" t="s">
        <v>17</v>
      </c>
      <c r="C2132" s="16" t="s">
        <v>18</v>
      </c>
      <c r="D2132" s="4">
        <v>10</v>
      </c>
      <c r="E2132" s="4" t="s">
        <v>745</v>
      </c>
      <c r="F2132" t="s">
        <v>57</v>
      </c>
      <c r="G2132" t="s">
        <v>837</v>
      </c>
      <c r="H2132" s="4" t="s">
        <v>55</v>
      </c>
      <c r="I2132" s="4" t="s">
        <v>21</v>
      </c>
      <c r="J2132" s="4" t="s">
        <v>55</v>
      </c>
      <c r="K2132" s="4" t="s">
        <v>21</v>
      </c>
      <c r="L2132" s="4" t="s">
        <v>742</v>
      </c>
      <c r="M2132" s="17">
        <v>30</v>
      </c>
      <c r="N2132" s="17">
        <v>822</v>
      </c>
      <c r="O2132" s="18" t="s">
        <v>55</v>
      </c>
      <c r="P2132" s="18">
        <v>822</v>
      </c>
      <c r="Q2132" s="18">
        <v>30</v>
      </c>
      <c r="R2132" s="18" t="str">
        <f>VLOOKUP(AUDITORIA[[#This Row],[LOTE]],[1]ENDEREÇAMENTO!$C$2:$J$9999,8,FALSE)</f>
        <v>Cam.B</v>
      </c>
      <c r="S2132" s="18" t="str">
        <f>VLOOKUP(RIGHT(AUDITORIA[[#This Row],[LOTE]],4),[2]Lotes!$A$2:$E$209,2,FALSE)</f>
        <v>QD.29</v>
      </c>
      <c r="T2132" s="28" t="str">
        <f>VLOOKUP(RIGHT(AUDITORIA[[#This Row],[LOTE]],4),[2]Lotes!$A$2:$E$209,4,FALSE)</f>
        <v>F2</v>
      </c>
      <c r="U21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32" s="19">
        <f>IF(AUDITORIA[[#This Row],[CAT]]="",0,1)</f>
        <v>1</v>
      </c>
      <c r="W2132" s="20">
        <v>46232</v>
      </c>
      <c r="X2132" s="21" t="s">
        <v>906</v>
      </c>
      <c r="Y2132" s="24" t="s">
        <v>901</v>
      </c>
      <c r="Z2132" s="24" t="s">
        <v>902</v>
      </c>
      <c r="AA2132" s="24" t="s">
        <v>903</v>
      </c>
    </row>
    <row r="2133" spans="1:27" ht="14.4" hidden="1" customHeight="1" x14ac:dyDescent="0.3">
      <c r="A2133" s="4" t="s">
        <v>0</v>
      </c>
      <c r="B2133" s="4" t="s">
        <v>17</v>
      </c>
      <c r="C2133" s="16" t="s">
        <v>18</v>
      </c>
      <c r="D2133" s="4">
        <v>10</v>
      </c>
      <c r="E2133" s="4" t="s">
        <v>745</v>
      </c>
      <c r="F2133" t="s">
        <v>58</v>
      </c>
      <c r="G2133" t="s">
        <v>837</v>
      </c>
      <c r="H2133" s="4" t="s">
        <v>55</v>
      </c>
      <c r="I2133" s="4" t="s">
        <v>20</v>
      </c>
      <c r="J2133" s="4" t="s">
        <v>55</v>
      </c>
      <c r="K2133" s="4" t="s">
        <v>20</v>
      </c>
      <c r="L2133" s="4" t="s">
        <v>742</v>
      </c>
      <c r="M2133" s="17">
        <v>30</v>
      </c>
      <c r="N2133" s="17">
        <v>674</v>
      </c>
      <c r="O2133" s="18" t="s">
        <v>55</v>
      </c>
      <c r="P2133" s="18">
        <v>674</v>
      </c>
      <c r="Q2133" s="18">
        <v>30</v>
      </c>
      <c r="R2133" s="18" t="str">
        <f>VLOOKUP(AUDITORIA[[#This Row],[LOTE]],[1]ENDEREÇAMENTO!$C$2:$J$9999,8,FALSE)</f>
        <v>Cam.B</v>
      </c>
      <c r="S2133" s="18" t="str">
        <f>VLOOKUP(RIGHT(AUDITORIA[[#This Row],[LOTE]],4),[2]Lotes!$A$2:$E$209,2,FALSE)</f>
        <v>QD.27</v>
      </c>
      <c r="T2133" s="28" t="str">
        <f>VLOOKUP(RIGHT(AUDITORIA[[#This Row],[LOTE]],4),[2]Lotes!$A$2:$E$209,4,FALSE)</f>
        <v>F1</v>
      </c>
      <c r="U21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33" s="19">
        <f>IF(AUDITORIA[[#This Row],[CAT]]="",0,1)</f>
        <v>1</v>
      </c>
      <c r="W2133" s="20">
        <v>46232</v>
      </c>
      <c r="X2133" s="21" t="s">
        <v>906</v>
      </c>
      <c r="Y2133" s="24" t="s">
        <v>901</v>
      </c>
      <c r="Z2133" s="24" t="s">
        <v>902</v>
      </c>
      <c r="AA2133" s="24" t="s">
        <v>903</v>
      </c>
    </row>
    <row r="2134" spans="1:27" ht="14.4" hidden="1" customHeight="1" x14ac:dyDescent="0.3">
      <c r="A2134" s="4" t="s">
        <v>0</v>
      </c>
      <c r="B2134" s="4" t="s">
        <v>17</v>
      </c>
      <c r="C2134" s="16" t="s">
        <v>18</v>
      </c>
      <c r="D2134" s="4">
        <v>10</v>
      </c>
      <c r="E2134" s="4" t="s">
        <v>745</v>
      </c>
      <c r="F2134" t="s">
        <v>56</v>
      </c>
      <c r="G2134" t="s">
        <v>837</v>
      </c>
      <c r="H2134" s="4" t="s">
        <v>55</v>
      </c>
      <c r="I2134" s="4" t="s">
        <v>20</v>
      </c>
      <c r="J2134" s="4" t="s">
        <v>55</v>
      </c>
      <c r="K2134" s="4" t="s">
        <v>20</v>
      </c>
      <c r="L2134" s="4" t="s">
        <v>742</v>
      </c>
      <c r="M2134" s="17">
        <v>30</v>
      </c>
      <c r="N2134" s="17">
        <v>639</v>
      </c>
      <c r="O2134" s="18" t="s">
        <v>55</v>
      </c>
      <c r="P2134" s="18">
        <v>639</v>
      </c>
      <c r="Q2134" s="18">
        <v>30</v>
      </c>
      <c r="R2134" s="18" t="str">
        <f>VLOOKUP(AUDITORIA[[#This Row],[LOTE]],[1]ENDEREÇAMENTO!$C$2:$J$9999,8,FALSE)</f>
        <v>Cam.B</v>
      </c>
      <c r="S2134" s="18" t="str">
        <f>VLOOKUP(RIGHT(AUDITORIA[[#This Row],[LOTE]],4),[2]Lotes!$A$2:$E$209,2,FALSE)</f>
        <v>QD.27</v>
      </c>
      <c r="T2134" s="28" t="str">
        <f>VLOOKUP(RIGHT(AUDITORIA[[#This Row],[LOTE]],4),[2]Lotes!$A$2:$E$209,4,FALSE)</f>
        <v>F3</v>
      </c>
      <c r="U21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34" s="19">
        <f>IF(AUDITORIA[[#This Row],[CAT]]="",0,1)</f>
        <v>1</v>
      </c>
      <c r="W2134" s="20">
        <v>46232</v>
      </c>
      <c r="X2134" s="21" t="s">
        <v>906</v>
      </c>
      <c r="Y2134" s="24" t="s">
        <v>901</v>
      </c>
      <c r="Z2134" s="24" t="s">
        <v>902</v>
      </c>
      <c r="AA2134" s="24" t="s">
        <v>903</v>
      </c>
    </row>
    <row r="2135" spans="1:27" ht="14.4" hidden="1" customHeight="1" x14ac:dyDescent="0.3">
      <c r="A2135" s="4" t="s">
        <v>0</v>
      </c>
      <c r="B2135" s="4" t="s">
        <v>17</v>
      </c>
      <c r="C2135" s="16" t="s">
        <v>18</v>
      </c>
      <c r="D2135" s="4">
        <v>10</v>
      </c>
      <c r="E2135" s="4" t="s">
        <v>745</v>
      </c>
      <c r="F2135" t="s">
        <v>53</v>
      </c>
      <c r="G2135" t="s">
        <v>837</v>
      </c>
      <c r="H2135" s="4" t="s">
        <v>55</v>
      </c>
      <c r="I2135" s="4" t="s">
        <v>21</v>
      </c>
      <c r="J2135" s="4" t="s">
        <v>55</v>
      </c>
      <c r="K2135" s="4" t="s">
        <v>21</v>
      </c>
      <c r="L2135" s="4" t="s">
        <v>742</v>
      </c>
      <c r="M2135" s="17">
        <v>10</v>
      </c>
      <c r="N2135" s="17">
        <v>832</v>
      </c>
      <c r="O2135" s="18" t="s">
        <v>55</v>
      </c>
      <c r="P2135" s="18">
        <v>832</v>
      </c>
      <c r="Q2135" s="18">
        <v>10</v>
      </c>
      <c r="R2135" s="18" t="str">
        <f>VLOOKUP(AUDITORIA[[#This Row],[LOTE]],[1]ENDEREÇAMENTO!$C$2:$J$9999,8,FALSE)</f>
        <v>Cam.B</v>
      </c>
      <c r="S2135" s="18" t="str">
        <f>VLOOKUP(RIGHT(AUDITORIA[[#This Row],[LOTE]],4),[2]Lotes!$A$2:$E$209,2,FALSE)</f>
        <v>QD.07</v>
      </c>
      <c r="T2135" s="28" t="str">
        <f>VLOOKUP(RIGHT(AUDITORIA[[#This Row],[LOTE]],4),[2]Lotes!$A$2:$E$209,4,FALSE)</f>
        <v>F3</v>
      </c>
      <c r="U21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35" s="19">
        <f>IF(AUDITORIA[[#This Row],[CAT]]="",0,1)</f>
        <v>1</v>
      </c>
      <c r="W2135" s="20">
        <v>46232</v>
      </c>
      <c r="X2135" s="21" t="s">
        <v>906</v>
      </c>
      <c r="Y2135" s="24" t="s">
        <v>901</v>
      </c>
      <c r="Z2135" s="24" t="s">
        <v>902</v>
      </c>
      <c r="AA2135" s="24" t="s">
        <v>903</v>
      </c>
    </row>
    <row r="2136" spans="1:27" ht="14.4" hidden="1" customHeight="1" x14ac:dyDescent="0.3">
      <c r="A2136" s="4" t="s">
        <v>0</v>
      </c>
      <c r="B2136" s="4" t="s">
        <v>17</v>
      </c>
      <c r="C2136" s="16" t="s">
        <v>18</v>
      </c>
      <c r="D2136" s="4">
        <v>10</v>
      </c>
      <c r="E2136" s="4" t="s">
        <v>745</v>
      </c>
      <c r="F2136" t="s">
        <v>51</v>
      </c>
      <c r="G2136" t="s">
        <v>838</v>
      </c>
      <c r="H2136" s="4" t="s">
        <v>31</v>
      </c>
      <c r="I2136" s="4" t="s">
        <v>20</v>
      </c>
      <c r="J2136" s="4" t="s">
        <v>31</v>
      </c>
      <c r="K2136" s="4" t="s">
        <v>20</v>
      </c>
      <c r="L2136" s="4" t="s">
        <v>742</v>
      </c>
      <c r="M2136" s="17">
        <v>30</v>
      </c>
      <c r="N2136" s="17">
        <v>695</v>
      </c>
      <c r="O2136" s="18" t="s">
        <v>31</v>
      </c>
      <c r="P2136" s="18">
        <v>695</v>
      </c>
      <c r="Q2136" s="18">
        <v>30</v>
      </c>
      <c r="R2136" s="28" t="s">
        <v>931</v>
      </c>
      <c r="S2136" s="28" t="s">
        <v>924</v>
      </c>
      <c r="T2136" s="28" t="s">
        <v>934</v>
      </c>
      <c r="U21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36" s="19">
        <f>IF(AUDITORIA[[#This Row],[CAT]]="",0,1)</f>
        <v>1</v>
      </c>
      <c r="W2136" s="20">
        <v>46232</v>
      </c>
      <c r="X2136" s="21" t="s">
        <v>906</v>
      </c>
      <c r="Y2136" s="24" t="s">
        <v>901</v>
      </c>
      <c r="Z2136" s="24" t="s">
        <v>902</v>
      </c>
      <c r="AA2136" s="24" t="s">
        <v>903</v>
      </c>
    </row>
    <row r="2137" spans="1:27" ht="14.4" hidden="1" customHeight="1" x14ac:dyDescent="0.3">
      <c r="A2137" s="4" t="s">
        <v>0</v>
      </c>
      <c r="B2137" s="4" t="s">
        <v>17</v>
      </c>
      <c r="C2137" s="16" t="s">
        <v>18</v>
      </c>
      <c r="D2137" s="4">
        <v>10</v>
      </c>
      <c r="E2137" s="4" t="s">
        <v>745</v>
      </c>
      <c r="F2137" t="s">
        <v>52</v>
      </c>
      <c r="G2137" t="s">
        <v>838</v>
      </c>
      <c r="H2137" s="4" t="s">
        <v>31</v>
      </c>
      <c r="I2137" s="4" t="s">
        <v>21</v>
      </c>
      <c r="J2137" s="4" t="s">
        <v>31</v>
      </c>
      <c r="K2137" s="4" t="s">
        <v>21</v>
      </c>
      <c r="L2137" s="4" t="s">
        <v>742</v>
      </c>
      <c r="M2137" s="17">
        <v>30</v>
      </c>
      <c r="N2137" s="17">
        <v>819</v>
      </c>
      <c r="O2137" s="18" t="s">
        <v>31</v>
      </c>
      <c r="P2137" s="18">
        <v>819</v>
      </c>
      <c r="Q2137" s="18">
        <v>30</v>
      </c>
      <c r="R2137" s="18" t="str">
        <f>VLOOKUP(AUDITORIA[[#This Row],[LOTE]],[1]ENDEREÇAMENTO!$C$2:$J$9999,8,FALSE)</f>
        <v>Cam.B</v>
      </c>
      <c r="S2137" s="18" t="str">
        <f>VLOOKUP(RIGHT(AUDITORIA[[#This Row],[LOTE]],4),[2]Lotes!$A$2:$E$209,2,FALSE)</f>
        <v>QD.23</v>
      </c>
      <c r="T2137" s="28" t="str">
        <f>VLOOKUP(RIGHT(AUDITORIA[[#This Row],[LOTE]],4),[2]Lotes!$A$2:$E$209,4,FALSE)</f>
        <v>F2</v>
      </c>
      <c r="U21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37" s="19">
        <f>IF(AUDITORIA[[#This Row],[CAT]]="",0,1)</f>
        <v>1</v>
      </c>
      <c r="W2137" s="20">
        <v>46232</v>
      </c>
      <c r="X2137" s="21" t="s">
        <v>906</v>
      </c>
      <c r="Y2137" s="24" t="s">
        <v>901</v>
      </c>
      <c r="Z2137" s="24" t="s">
        <v>902</v>
      </c>
      <c r="AA2137" s="24" t="s">
        <v>903</v>
      </c>
    </row>
    <row r="2138" spans="1:27" ht="14.4" hidden="1" customHeight="1" x14ac:dyDescent="0.3">
      <c r="A2138" s="4" t="s">
        <v>0</v>
      </c>
      <c r="B2138" s="4" t="s">
        <v>17</v>
      </c>
      <c r="C2138" s="16" t="s">
        <v>18</v>
      </c>
      <c r="D2138" s="4">
        <v>10</v>
      </c>
      <c r="E2138" s="4" t="s">
        <v>745</v>
      </c>
      <c r="F2138" t="s">
        <v>49</v>
      </c>
      <c r="G2138" t="s">
        <v>838</v>
      </c>
      <c r="H2138" s="4" t="s">
        <v>31</v>
      </c>
      <c r="I2138" s="4" t="s">
        <v>21</v>
      </c>
      <c r="J2138" s="4" t="s">
        <v>31</v>
      </c>
      <c r="K2138" s="4" t="s">
        <v>21</v>
      </c>
      <c r="L2138" s="4" t="s">
        <v>742</v>
      </c>
      <c r="M2138" s="17">
        <v>30</v>
      </c>
      <c r="N2138" s="17">
        <v>802</v>
      </c>
      <c r="O2138" s="18" t="s">
        <v>31</v>
      </c>
      <c r="P2138" s="18">
        <v>802</v>
      </c>
      <c r="Q2138" s="18">
        <v>30</v>
      </c>
      <c r="R2138" s="18" t="str">
        <f>VLOOKUP(AUDITORIA[[#This Row],[LOTE]],[1]ENDEREÇAMENTO!$C$2:$J$9999,8,FALSE)</f>
        <v>Cam.B</v>
      </c>
      <c r="S2138" s="18" t="str">
        <f>VLOOKUP(RIGHT(AUDITORIA[[#This Row],[LOTE]],4),[2]Lotes!$A$2:$E$209,2,FALSE)</f>
        <v>QD.28</v>
      </c>
      <c r="T2138" s="28" t="str">
        <f>VLOOKUP(RIGHT(AUDITORIA[[#This Row],[LOTE]],4),[2]Lotes!$A$2:$E$209,4,FALSE)</f>
        <v>F2</v>
      </c>
      <c r="U21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38" s="19">
        <f>IF(AUDITORIA[[#This Row],[CAT]]="",0,1)</f>
        <v>1</v>
      </c>
      <c r="W2138" s="20">
        <v>46232</v>
      </c>
      <c r="X2138" s="21" t="s">
        <v>906</v>
      </c>
      <c r="Y2138" s="24" t="s">
        <v>901</v>
      </c>
      <c r="Z2138" s="24" t="s">
        <v>902</v>
      </c>
      <c r="AA2138" s="24" t="s">
        <v>903</v>
      </c>
    </row>
    <row r="2139" spans="1:27" ht="14.4" hidden="1" customHeight="1" x14ac:dyDescent="0.3">
      <c r="A2139" s="4" t="s">
        <v>0</v>
      </c>
      <c r="B2139" s="4" t="s">
        <v>17</v>
      </c>
      <c r="C2139" s="16" t="s">
        <v>18</v>
      </c>
      <c r="D2139" s="4">
        <v>10</v>
      </c>
      <c r="E2139" s="4" t="s">
        <v>745</v>
      </c>
      <c r="F2139" t="s">
        <v>50</v>
      </c>
      <c r="G2139" t="s">
        <v>838</v>
      </c>
      <c r="H2139" s="4" t="s">
        <v>31</v>
      </c>
      <c r="I2139" s="4" t="s">
        <v>20</v>
      </c>
      <c r="J2139" s="4" t="s">
        <v>31</v>
      </c>
      <c r="K2139" s="4" t="s">
        <v>20</v>
      </c>
      <c r="L2139" s="4" t="s">
        <v>742</v>
      </c>
      <c r="M2139" s="17">
        <v>30</v>
      </c>
      <c r="N2139" s="17">
        <v>651</v>
      </c>
      <c r="O2139" s="18" t="s">
        <v>31</v>
      </c>
      <c r="P2139" s="18">
        <v>651</v>
      </c>
      <c r="Q2139" s="18">
        <v>30</v>
      </c>
      <c r="R2139" s="18" t="str">
        <f>VLOOKUP(AUDITORIA[[#This Row],[LOTE]],[1]ENDEREÇAMENTO!$C$2:$J$9999,8,FALSE)</f>
        <v>Cam.B</v>
      </c>
      <c r="S2139" s="18" t="str">
        <f>VLOOKUP(RIGHT(AUDITORIA[[#This Row],[LOTE]],4),[2]Lotes!$A$2:$E$209,2,FALSE)</f>
        <v>QD.24</v>
      </c>
      <c r="T2139" s="28" t="str">
        <f>VLOOKUP(RIGHT(AUDITORIA[[#This Row],[LOTE]],4),[2]Lotes!$A$2:$E$209,4,FALSE)</f>
        <v>F2</v>
      </c>
      <c r="U21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39" s="19">
        <f>IF(AUDITORIA[[#This Row],[CAT]]="",0,1)</f>
        <v>1</v>
      </c>
      <c r="W2139" s="20">
        <v>46232</v>
      </c>
      <c r="X2139" s="21" t="s">
        <v>906</v>
      </c>
      <c r="Y2139" s="24" t="s">
        <v>901</v>
      </c>
      <c r="Z2139" s="24" t="s">
        <v>902</v>
      </c>
      <c r="AA2139" s="24" t="s">
        <v>903</v>
      </c>
    </row>
    <row r="2140" spans="1:27" ht="14.4" hidden="1" customHeight="1" x14ac:dyDescent="0.3">
      <c r="A2140" s="4" t="s">
        <v>0</v>
      </c>
      <c r="B2140" s="4" t="s">
        <v>17</v>
      </c>
      <c r="C2140" s="16" t="s">
        <v>18</v>
      </c>
      <c r="D2140" s="4">
        <v>10</v>
      </c>
      <c r="E2140" s="4" t="s">
        <v>745</v>
      </c>
      <c r="F2140" t="s">
        <v>47</v>
      </c>
      <c r="G2140" t="s">
        <v>838</v>
      </c>
      <c r="H2140" s="4" t="s">
        <v>31</v>
      </c>
      <c r="I2140" s="4" t="s">
        <v>20</v>
      </c>
      <c r="J2140" s="4" t="s">
        <v>31</v>
      </c>
      <c r="K2140" s="4" t="s">
        <v>20</v>
      </c>
      <c r="L2140" s="4" t="s">
        <v>742</v>
      </c>
      <c r="M2140" s="17">
        <v>30</v>
      </c>
      <c r="N2140" s="17">
        <v>646</v>
      </c>
      <c r="O2140" s="18" t="s">
        <v>31</v>
      </c>
      <c r="P2140" s="18">
        <v>646</v>
      </c>
      <c r="Q2140" s="18">
        <v>30</v>
      </c>
      <c r="R2140" s="18" t="str">
        <f>VLOOKUP(AUDITORIA[[#This Row],[LOTE]],[1]ENDEREÇAMENTO!$C$2:$J$9999,8,FALSE)</f>
        <v>Cam.B</v>
      </c>
      <c r="S2140" s="18" t="str">
        <f>VLOOKUP(RIGHT(AUDITORIA[[#This Row],[LOTE]],4),[2]Lotes!$A$2:$E$209,2,FALSE)</f>
        <v>QD.24</v>
      </c>
      <c r="T2140" s="28" t="str">
        <f>VLOOKUP(RIGHT(AUDITORIA[[#This Row],[LOTE]],4),[2]Lotes!$A$2:$E$209,4,FALSE)</f>
        <v>F1</v>
      </c>
      <c r="U21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40" s="19">
        <f>IF(AUDITORIA[[#This Row],[CAT]]="",0,1)</f>
        <v>1</v>
      </c>
      <c r="W2140" s="20">
        <v>46232</v>
      </c>
      <c r="X2140" s="21" t="s">
        <v>906</v>
      </c>
      <c r="Y2140" s="24" t="s">
        <v>901</v>
      </c>
      <c r="Z2140" s="24" t="s">
        <v>902</v>
      </c>
      <c r="AA2140" s="24" t="s">
        <v>903</v>
      </c>
    </row>
    <row r="2141" spans="1:27" ht="14.4" hidden="1" customHeight="1" x14ac:dyDescent="0.3">
      <c r="A2141" s="4" t="s">
        <v>0</v>
      </c>
      <c r="B2141" s="4" t="s">
        <v>17</v>
      </c>
      <c r="C2141" s="16" t="s">
        <v>18</v>
      </c>
      <c r="D2141" s="4">
        <v>10</v>
      </c>
      <c r="E2141" s="4" t="s">
        <v>745</v>
      </c>
      <c r="F2141" t="s">
        <v>48</v>
      </c>
      <c r="G2141" t="s">
        <v>838</v>
      </c>
      <c r="H2141" s="4" t="s">
        <v>31</v>
      </c>
      <c r="I2141" s="4" t="s">
        <v>21</v>
      </c>
      <c r="J2141" s="4" t="s">
        <v>31</v>
      </c>
      <c r="K2141" s="4" t="s">
        <v>21</v>
      </c>
      <c r="L2141" s="4" t="s">
        <v>742</v>
      </c>
      <c r="M2141" s="17">
        <v>30</v>
      </c>
      <c r="N2141" s="17">
        <v>815</v>
      </c>
      <c r="O2141" s="18" t="s">
        <v>31</v>
      </c>
      <c r="P2141" s="18">
        <v>815</v>
      </c>
      <c r="Q2141" s="18">
        <v>30</v>
      </c>
      <c r="R2141" s="18" t="str">
        <f>VLOOKUP(AUDITORIA[[#This Row],[LOTE]],[1]ENDEREÇAMENTO!$C$2:$J$9999,8,FALSE)</f>
        <v>Cam.B</v>
      </c>
      <c r="S2141" s="18" t="str">
        <f>VLOOKUP(RIGHT(AUDITORIA[[#This Row],[LOTE]],4),[2]Lotes!$A$2:$E$209,2,FALSE)</f>
        <v>QD.28</v>
      </c>
      <c r="T2141" s="28" t="str">
        <f>VLOOKUP(RIGHT(AUDITORIA[[#This Row],[LOTE]],4),[2]Lotes!$A$2:$E$209,4,FALSE)</f>
        <v>F1</v>
      </c>
      <c r="U21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41" s="19">
        <f>IF(AUDITORIA[[#This Row],[CAT]]="",0,1)</f>
        <v>1</v>
      </c>
      <c r="W2141" s="20">
        <v>46232</v>
      </c>
      <c r="X2141" s="21" t="s">
        <v>906</v>
      </c>
      <c r="Y2141" s="24" t="s">
        <v>901</v>
      </c>
      <c r="Z2141" s="24" t="s">
        <v>902</v>
      </c>
      <c r="AA2141" s="24" t="s">
        <v>903</v>
      </c>
    </row>
    <row r="2142" spans="1:27" ht="14.4" hidden="1" customHeight="1" x14ac:dyDescent="0.3">
      <c r="A2142" s="4" t="s">
        <v>0</v>
      </c>
      <c r="B2142" s="4" t="s">
        <v>17</v>
      </c>
      <c r="C2142" s="16" t="s">
        <v>18</v>
      </c>
      <c r="D2142" s="4">
        <v>10</v>
      </c>
      <c r="E2142" s="4" t="s">
        <v>745</v>
      </c>
      <c r="F2142" t="s">
        <v>46</v>
      </c>
      <c r="G2142" t="s">
        <v>838</v>
      </c>
      <c r="H2142" s="4" t="s">
        <v>31</v>
      </c>
      <c r="I2142" s="4" t="s">
        <v>21</v>
      </c>
      <c r="J2142" s="4" t="s">
        <v>31</v>
      </c>
      <c r="K2142" s="4" t="s">
        <v>21</v>
      </c>
      <c r="L2142" s="4" t="s">
        <v>742</v>
      </c>
      <c r="M2142" s="17">
        <v>30</v>
      </c>
      <c r="N2142" s="17">
        <v>796</v>
      </c>
      <c r="O2142" s="18" t="s">
        <v>31</v>
      </c>
      <c r="P2142" s="18">
        <v>796</v>
      </c>
      <c r="Q2142" s="18">
        <v>30</v>
      </c>
      <c r="R2142" s="18" t="str">
        <f>VLOOKUP(AUDITORIA[[#This Row],[LOTE]],[1]ENDEREÇAMENTO!$C$2:$J$9999,8,FALSE)</f>
        <v>Cam.B</v>
      </c>
      <c r="S2142" s="18" t="str">
        <f>VLOOKUP(RIGHT(AUDITORIA[[#This Row],[LOTE]],4),[2]Lotes!$A$2:$E$209,2,FALSE)</f>
        <v>QD.23</v>
      </c>
      <c r="T2142" s="28" t="str">
        <f>VLOOKUP(RIGHT(AUDITORIA[[#This Row],[LOTE]],4),[2]Lotes!$A$2:$E$209,4,FALSE)</f>
        <v>F1</v>
      </c>
      <c r="U21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42" s="19">
        <f>IF(AUDITORIA[[#This Row],[CAT]]="",0,1)</f>
        <v>1</v>
      </c>
      <c r="W2142" s="20">
        <v>46232</v>
      </c>
      <c r="X2142" s="21" t="s">
        <v>906</v>
      </c>
      <c r="Y2142" s="24" t="s">
        <v>901</v>
      </c>
      <c r="Z2142" s="24" t="s">
        <v>902</v>
      </c>
      <c r="AA2142" s="24" t="s">
        <v>903</v>
      </c>
    </row>
    <row r="2143" spans="1:27" ht="14.4" hidden="1" customHeight="1" x14ac:dyDescent="0.3">
      <c r="A2143" s="4" t="s">
        <v>0</v>
      </c>
      <c r="B2143" s="4" t="s">
        <v>17</v>
      </c>
      <c r="C2143" s="16" t="s">
        <v>18</v>
      </c>
      <c r="D2143" s="4">
        <v>10</v>
      </c>
      <c r="E2143" s="4" t="s">
        <v>745</v>
      </c>
      <c r="F2143" t="s">
        <v>45</v>
      </c>
      <c r="G2143" t="s">
        <v>838</v>
      </c>
      <c r="H2143" s="4" t="s">
        <v>31</v>
      </c>
      <c r="I2143" s="4" t="s">
        <v>20</v>
      </c>
      <c r="J2143" s="4" t="s">
        <v>31</v>
      </c>
      <c r="K2143" s="4" t="s">
        <v>20</v>
      </c>
      <c r="L2143" s="4" t="s">
        <v>742</v>
      </c>
      <c r="M2143" s="17">
        <v>30</v>
      </c>
      <c r="N2143" s="17">
        <v>648</v>
      </c>
      <c r="O2143" s="18" t="s">
        <v>31</v>
      </c>
      <c r="P2143" s="18">
        <v>648</v>
      </c>
      <c r="Q2143" s="18">
        <v>30</v>
      </c>
      <c r="R2143" s="18" t="str">
        <f>VLOOKUP(AUDITORIA[[#This Row],[LOTE]],[1]ENDEREÇAMENTO!$C$2:$J$9999,8,FALSE)</f>
        <v>Cam.B</v>
      </c>
      <c r="S2143" s="18" t="str">
        <f>VLOOKUP(RIGHT(AUDITORIA[[#This Row],[LOTE]],4),[2]Lotes!$A$2:$E$209,2,FALSE)</f>
        <v>QD.24</v>
      </c>
      <c r="T2143" s="28" t="str">
        <f>VLOOKUP(RIGHT(AUDITORIA[[#This Row],[LOTE]],4),[2]Lotes!$A$2:$E$209,4,FALSE)</f>
        <v>F3</v>
      </c>
      <c r="U21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43" s="19">
        <f>IF(AUDITORIA[[#This Row],[CAT]]="",0,1)</f>
        <v>1</v>
      </c>
      <c r="W2143" s="20">
        <v>46232</v>
      </c>
      <c r="X2143" s="21" t="s">
        <v>906</v>
      </c>
      <c r="Y2143" s="24" t="s">
        <v>901</v>
      </c>
      <c r="Z2143" s="24" t="s">
        <v>902</v>
      </c>
      <c r="AA2143" s="24" t="s">
        <v>903</v>
      </c>
    </row>
    <row r="2144" spans="1:27" ht="14.4" hidden="1" customHeight="1" x14ac:dyDescent="0.3">
      <c r="A2144" s="4" t="s">
        <v>0</v>
      </c>
      <c r="B2144" s="4" t="s">
        <v>17</v>
      </c>
      <c r="C2144" s="16" t="s">
        <v>18</v>
      </c>
      <c r="D2144" s="4">
        <v>10</v>
      </c>
      <c r="E2144" s="4" t="s">
        <v>745</v>
      </c>
      <c r="F2144" t="s">
        <v>44</v>
      </c>
      <c r="G2144" t="s">
        <v>838</v>
      </c>
      <c r="H2144" s="4" t="s">
        <v>31</v>
      </c>
      <c r="I2144" s="4" t="s">
        <v>21</v>
      </c>
      <c r="J2144" s="4" t="s">
        <v>31</v>
      </c>
      <c r="K2144" s="4" t="s">
        <v>21</v>
      </c>
      <c r="L2144" s="4" t="s">
        <v>742</v>
      </c>
      <c r="M2144" s="17">
        <v>30</v>
      </c>
      <c r="N2144" s="17">
        <v>794</v>
      </c>
      <c r="O2144" s="18" t="s">
        <v>31</v>
      </c>
      <c r="P2144" s="18">
        <v>794</v>
      </c>
      <c r="Q2144" s="18">
        <v>30</v>
      </c>
      <c r="R2144" s="28" t="s">
        <v>931</v>
      </c>
      <c r="S2144" s="28" t="s">
        <v>923</v>
      </c>
      <c r="T2144" s="28" t="s">
        <v>781</v>
      </c>
      <c r="U21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44" s="19">
        <f>IF(AUDITORIA[[#This Row],[CAT]]="",0,1)</f>
        <v>1</v>
      </c>
      <c r="W2144" s="20">
        <v>46232</v>
      </c>
      <c r="X2144" s="21" t="s">
        <v>906</v>
      </c>
      <c r="Y2144" s="24" t="s">
        <v>901</v>
      </c>
      <c r="Z2144" s="24" t="s">
        <v>902</v>
      </c>
      <c r="AA2144" s="24" t="s">
        <v>903</v>
      </c>
    </row>
    <row r="2145" spans="1:27" ht="14.4" hidden="1" customHeight="1" x14ac:dyDescent="0.3">
      <c r="A2145" s="4" t="s">
        <v>0</v>
      </c>
      <c r="B2145" s="4" t="s">
        <v>17</v>
      </c>
      <c r="C2145" s="16" t="s">
        <v>18</v>
      </c>
      <c r="D2145" s="4">
        <v>10</v>
      </c>
      <c r="E2145" s="4" t="s">
        <v>745</v>
      </c>
      <c r="F2145" t="s">
        <v>42</v>
      </c>
      <c r="G2145" t="s">
        <v>838</v>
      </c>
      <c r="H2145" s="4" t="s">
        <v>31</v>
      </c>
      <c r="I2145" s="4" t="s">
        <v>20</v>
      </c>
      <c r="J2145" s="4" t="s">
        <v>31</v>
      </c>
      <c r="K2145" s="4" t="s">
        <v>20</v>
      </c>
      <c r="L2145" s="4" t="s">
        <v>742</v>
      </c>
      <c r="M2145" s="17">
        <v>30</v>
      </c>
      <c r="N2145" s="17">
        <v>643</v>
      </c>
      <c r="O2145" s="18" t="s">
        <v>31</v>
      </c>
      <c r="P2145" s="18">
        <v>643</v>
      </c>
      <c r="Q2145" s="18">
        <v>30</v>
      </c>
      <c r="R2145" s="28" t="s">
        <v>931</v>
      </c>
      <c r="S2145" s="28" t="s">
        <v>925</v>
      </c>
      <c r="T2145" s="28" t="s">
        <v>781</v>
      </c>
      <c r="U21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45" s="19">
        <f>IF(AUDITORIA[[#This Row],[CAT]]="",0,1)</f>
        <v>1</v>
      </c>
      <c r="W2145" s="20">
        <v>46232</v>
      </c>
      <c r="X2145" s="21" t="s">
        <v>906</v>
      </c>
      <c r="Y2145" s="24" t="s">
        <v>901</v>
      </c>
      <c r="Z2145" s="24" t="s">
        <v>902</v>
      </c>
      <c r="AA2145" s="24" t="s">
        <v>903</v>
      </c>
    </row>
    <row r="2146" spans="1:27" ht="14.4" hidden="1" customHeight="1" x14ac:dyDescent="0.3">
      <c r="A2146" s="4" t="s">
        <v>0</v>
      </c>
      <c r="B2146" s="4" t="s">
        <v>17</v>
      </c>
      <c r="C2146" s="16" t="s">
        <v>18</v>
      </c>
      <c r="D2146" s="4">
        <v>10</v>
      </c>
      <c r="E2146" s="4" t="s">
        <v>745</v>
      </c>
      <c r="F2146" t="s">
        <v>43</v>
      </c>
      <c r="G2146" t="s">
        <v>838</v>
      </c>
      <c r="H2146" s="4" t="s">
        <v>31</v>
      </c>
      <c r="I2146" s="4" t="s">
        <v>21</v>
      </c>
      <c r="J2146" s="4" t="s">
        <v>31</v>
      </c>
      <c r="K2146" s="4" t="s">
        <v>21</v>
      </c>
      <c r="L2146" s="4" t="s">
        <v>742</v>
      </c>
      <c r="M2146" s="17">
        <v>30</v>
      </c>
      <c r="N2146" s="17">
        <v>793</v>
      </c>
      <c r="O2146" s="18" t="s">
        <v>31</v>
      </c>
      <c r="P2146" s="18">
        <v>793</v>
      </c>
      <c r="Q2146" s="18">
        <v>30</v>
      </c>
      <c r="R2146" s="18" t="str">
        <f>VLOOKUP(AUDITORIA[[#This Row],[LOTE]],[1]ENDEREÇAMENTO!$C$2:$J$9999,8,FALSE)</f>
        <v>Cam.B</v>
      </c>
      <c r="S2146" s="18" t="str">
        <f>VLOOKUP(RIGHT(AUDITORIA[[#This Row],[LOTE]],4),[2]Lotes!$A$2:$E$209,2,FALSE)</f>
        <v>QD.28</v>
      </c>
      <c r="T2146" s="28" t="str">
        <f>VLOOKUP(RIGHT(AUDITORIA[[#This Row],[LOTE]],4),[2]Lotes!$A$2:$E$209,4,FALSE)</f>
        <v>F3</v>
      </c>
      <c r="U21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46" s="19">
        <f>IF(AUDITORIA[[#This Row],[CAT]]="",0,1)</f>
        <v>1</v>
      </c>
      <c r="W2146" s="20">
        <v>46232</v>
      </c>
      <c r="X2146" s="21" t="s">
        <v>906</v>
      </c>
      <c r="Y2146" s="24" t="s">
        <v>901</v>
      </c>
      <c r="Z2146" s="24" t="s">
        <v>902</v>
      </c>
      <c r="AA2146" s="24" t="s">
        <v>903</v>
      </c>
    </row>
    <row r="2147" spans="1:27" ht="14.4" hidden="1" customHeight="1" x14ac:dyDescent="0.3">
      <c r="A2147" s="4" t="s">
        <v>0</v>
      </c>
      <c r="B2147" s="4" t="s">
        <v>17</v>
      </c>
      <c r="C2147" s="16" t="s">
        <v>18</v>
      </c>
      <c r="D2147" s="4">
        <v>10</v>
      </c>
      <c r="E2147" s="4" t="s">
        <v>745</v>
      </c>
      <c r="F2147" t="s">
        <v>41</v>
      </c>
      <c r="G2147" t="s">
        <v>838</v>
      </c>
      <c r="H2147" s="4" t="s">
        <v>31</v>
      </c>
      <c r="I2147" s="4" t="s">
        <v>21</v>
      </c>
      <c r="J2147" s="4" t="s">
        <v>31</v>
      </c>
      <c r="K2147" s="4" t="s">
        <v>21</v>
      </c>
      <c r="L2147" s="4" t="s">
        <v>742</v>
      </c>
      <c r="M2147" s="17">
        <v>30</v>
      </c>
      <c r="N2147" s="17">
        <v>791</v>
      </c>
      <c r="O2147" s="18" t="s">
        <v>31</v>
      </c>
      <c r="P2147" s="18">
        <v>791</v>
      </c>
      <c r="Q2147" s="18">
        <v>30</v>
      </c>
      <c r="R2147" s="18" t="str">
        <f>VLOOKUP(AUDITORIA[[#This Row],[LOTE]],[1]ENDEREÇAMENTO!$C$2:$J$9999,8,FALSE)</f>
        <v>Cam.B</v>
      </c>
      <c r="S2147" s="18" t="str">
        <f>VLOOKUP(RIGHT(AUDITORIA[[#This Row],[LOTE]],4),[2]Lotes!$A$2:$E$209,2,FALSE)</f>
        <v>QD.04</v>
      </c>
      <c r="T2147" s="28" t="str">
        <f>VLOOKUP(RIGHT(AUDITORIA[[#This Row],[LOTE]],4),[2]Lotes!$A$2:$E$209,4,FALSE)</f>
        <v>F4</v>
      </c>
      <c r="U21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47" s="19">
        <f>IF(AUDITORIA[[#This Row],[CAT]]="",0,1)</f>
        <v>1</v>
      </c>
      <c r="W2147" s="20">
        <v>46232</v>
      </c>
      <c r="X2147" s="21" t="s">
        <v>906</v>
      </c>
      <c r="Y2147" s="24" t="s">
        <v>901</v>
      </c>
      <c r="Z2147" s="24" t="s">
        <v>902</v>
      </c>
      <c r="AA2147" s="24" t="s">
        <v>903</v>
      </c>
    </row>
    <row r="2148" spans="1:27" ht="14.4" hidden="1" customHeight="1" x14ac:dyDescent="0.3">
      <c r="A2148" s="4" t="s">
        <v>0</v>
      </c>
      <c r="B2148" s="4" t="s">
        <v>17</v>
      </c>
      <c r="C2148" s="16" t="s">
        <v>18</v>
      </c>
      <c r="D2148" s="4">
        <v>10</v>
      </c>
      <c r="E2148" s="4" t="s">
        <v>745</v>
      </c>
      <c r="F2148" t="s">
        <v>40</v>
      </c>
      <c r="G2148" t="s">
        <v>838</v>
      </c>
      <c r="H2148" s="4" t="s">
        <v>31</v>
      </c>
      <c r="I2148" s="4" t="s">
        <v>20</v>
      </c>
      <c r="J2148" s="4" t="s">
        <v>31</v>
      </c>
      <c r="K2148" s="4" t="s">
        <v>20</v>
      </c>
      <c r="L2148" s="4" t="s">
        <v>742</v>
      </c>
      <c r="M2148" s="17">
        <v>30</v>
      </c>
      <c r="N2148" s="17">
        <v>644</v>
      </c>
      <c r="O2148" s="18" t="s">
        <v>31</v>
      </c>
      <c r="P2148" s="18">
        <v>644</v>
      </c>
      <c r="Q2148" s="18">
        <v>30</v>
      </c>
      <c r="R2148" s="18" t="str">
        <f>VLOOKUP(AUDITORIA[[#This Row],[LOTE]],[1]ENDEREÇAMENTO!$C$2:$J$9999,8,FALSE)</f>
        <v>Cam.B</v>
      </c>
      <c r="S2148" s="18" t="str">
        <f>VLOOKUP(RIGHT(AUDITORIA[[#This Row],[LOTE]],4),[2]Lotes!$A$2:$E$209,2,FALSE)</f>
        <v>QD.04</v>
      </c>
      <c r="T2148" s="28" t="str">
        <f>VLOOKUP(RIGHT(AUDITORIA[[#This Row],[LOTE]],4),[2]Lotes!$A$2:$E$209,4,FALSE)</f>
        <v>F3</v>
      </c>
      <c r="U21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48" s="19">
        <f>IF(AUDITORIA[[#This Row],[CAT]]="",0,1)</f>
        <v>1</v>
      </c>
      <c r="W2148" s="20">
        <v>46232</v>
      </c>
      <c r="X2148" s="21" t="s">
        <v>906</v>
      </c>
      <c r="Y2148" s="24" t="s">
        <v>901</v>
      </c>
      <c r="Z2148" s="24" t="s">
        <v>902</v>
      </c>
      <c r="AA2148" s="24" t="s">
        <v>903</v>
      </c>
    </row>
    <row r="2149" spans="1:27" ht="14.4" hidden="1" customHeight="1" x14ac:dyDescent="0.3">
      <c r="A2149" s="4" t="s">
        <v>0</v>
      </c>
      <c r="B2149" s="4" t="s">
        <v>17</v>
      </c>
      <c r="C2149" s="16" t="s">
        <v>18</v>
      </c>
      <c r="D2149" s="4">
        <v>10</v>
      </c>
      <c r="E2149" s="4" t="s">
        <v>745</v>
      </c>
      <c r="F2149" t="s">
        <v>39</v>
      </c>
      <c r="G2149" t="s">
        <v>838</v>
      </c>
      <c r="H2149" s="4" t="s">
        <v>31</v>
      </c>
      <c r="I2149" s="4" t="s">
        <v>21</v>
      </c>
      <c r="J2149" s="4" t="s">
        <v>31</v>
      </c>
      <c r="K2149" s="4" t="s">
        <v>21</v>
      </c>
      <c r="L2149" s="4" t="s">
        <v>742</v>
      </c>
      <c r="M2149" s="17">
        <v>30</v>
      </c>
      <c r="N2149" s="17">
        <v>804</v>
      </c>
      <c r="O2149" s="18" t="s">
        <v>31</v>
      </c>
      <c r="P2149" s="18">
        <v>804</v>
      </c>
      <c r="Q2149" s="18">
        <v>30</v>
      </c>
      <c r="R2149" s="18" t="str">
        <f>VLOOKUP(AUDITORIA[[#This Row],[LOTE]],[1]ENDEREÇAMENTO!$C$2:$J$9999,8,FALSE)</f>
        <v>Cam.B</v>
      </c>
      <c r="S2149" s="18" t="str">
        <f>VLOOKUP(RIGHT(AUDITORIA[[#This Row],[LOTE]],4),[2]Lotes!$A$2:$E$209,2,FALSE)</f>
        <v>QD.23</v>
      </c>
      <c r="T2149" s="28" t="str">
        <f>VLOOKUP(RIGHT(AUDITORIA[[#This Row],[LOTE]],4),[2]Lotes!$A$2:$E$209,4,FALSE)</f>
        <v>F3</v>
      </c>
      <c r="U21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49" s="19">
        <f>IF(AUDITORIA[[#This Row],[CAT]]="",0,1)</f>
        <v>1</v>
      </c>
      <c r="W2149" s="20">
        <v>46232</v>
      </c>
      <c r="X2149" s="21" t="s">
        <v>906</v>
      </c>
      <c r="Y2149" s="24" t="s">
        <v>901</v>
      </c>
      <c r="Z2149" s="24" t="s">
        <v>902</v>
      </c>
      <c r="AA2149" s="24" t="s">
        <v>903</v>
      </c>
    </row>
    <row r="2150" spans="1:27" ht="14.4" hidden="1" customHeight="1" x14ac:dyDescent="0.3">
      <c r="A2150" s="4" t="s">
        <v>0</v>
      </c>
      <c r="B2150" s="4" t="s">
        <v>17</v>
      </c>
      <c r="C2150" s="16" t="s">
        <v>18</v>
      </c>
      <c r="D2150" s="4">
        <v>10</v>
      </c>
      <c r="E2150" s="4" t="s">
        <v>745</v>
      </c>
      <c r="F2150" t="s">
        <v>37</v>
      </c>
      <c r="G2150" t="s">
        <v>838</v>
      </c>
      <c r="H2150" s="4" t="s">
        <v>31</v>
      </c>
      <c r="I2150" s="4" t="s">
        <v>20</v>
      </c>
      <c r="J2150" s="4" t="s">
        <v>31</v>
      </c>
      <c r="K2150" s="4" t="s">
        <v>20</v>
      </c>
      <c r="L2150" s="4" t="s">
        <v>742</v>
      </c>
      <c r="M2150" s="17">
        <v>30</v>
      </c>
      <c r="N2150" s="17">
        <v>638</v>
      </c>
      <c r="O2150" s="18" t="s">
        <v>31</v>
      </c>
      <c r="P2150" s="18">
        <v>638</v>
      </c>
      <c r="Q2150" s="18">
        <v>30</v>
      </c>
      <c r="R2150" s="28" t="s">
        <v>931</v>
      </c>
      <c r="S2150" s="28" t="s">
        <v>925</v>
      </c>
      <c r="T2150" s="28" t="s">
        <v>794</v>
      </c>
      <c r="U21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50" s="19">
        <f>IF(AUDITORIA[[#This Row],[CAT]]="",0,1)</f>
        <v>1</v>
      </c>
      <c r="W2150" s="20">
        <v>46232</v>
      </c>
      <c r="X2150" s="21" t="s">
        <v>906</v>
      </c>
      <c r="Y2150" s="24" t="s">
        <v>901</v>
      </c>
      <c r="Z2150" s="24" t="s">
        <v>902</v>
      </c>
      <c r="AA2150" s="24" t="s">
        <v>903</v>
      </c>
    </row>
    <row r="2151" spans="1:27" ht="14.4" hidden="1" customHeight="1" x14ac:dyDescent="0.3">
      <c r="A2151" s="4" t="s">
        <v>0</v>
      </c>
      <c r="B2151" s="4" t="s">
        <v>17</v>
      </c>
      <c r="C2151" s="16" t="s">
        <v>18</v>
      </c>
      <c r="D2151" s="4">
        <v>10</v>
      </c>
      <c r="E2151" s="4" t="s">
        <v>745</v>
      </c>
      <c r="F2151" t="s">
        <v>38</v>
      </c>
      <c r="G2151" t="s">
        <v>838</v>
      </c>
      <c r="H2151" s="4" t="s">
        <v>31</v>
      </c>
      <c r="I2151" s="4" t="s">
        <v>21</v>
      </c>
      <c r="J2151" s="4" t="s">
        <v>31</v>
      </c>
      <c r="K2151" s="4" t="s">
        <v>21</v>
      </c>
      <c r="L2151" s="4" t="s">
        <v>742</v>
      </c>
      <c r="M2151" s="17">
        <v>30</v>
      </c>
      <c r="N2151" s="17">
        <v>787</v>
      </c>
      <c r="O2151" s="18" t="s">
        <v>31</v>
      </c>
      <c r="P2151" s="18">
        <v>787</v>
      </c>
      <c r="Q2151" s="18">
        <v>30</v>
      </c>
      <c r="R2151" s="28" t="s">
        <v>931</v>
      </c>
      <c r="S2151" s="28" t="s">
        <v>923</v>
      </c>
      <c r="T2151" s="28" t="s">
        <v>782</v>
      </c>
      <c r="U21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51" s="19">
        <f>IF(AUDITORIA[[#This Row],[CAT]]="",0,1)</f>
        <v>1</v>
      </c>
      <c r="W2151" s="20">
        <v>46232</v>
      </c>
      <c r="X2151" s="21" t="s">
        <v>906</v>
      </c>
      <c r="Y2151" s="24" t="s">
        <v>901</v>
      </c>
      <c r="Z2151" s="24" t="s">
        <v>902</v>
      </c>
      <c r="AA2151" s="24" t="s">
        <v>903</v>
      </c>
    </row>
    <row r="2152" spans="1:27" ht="14.4" hidden="1" customHeight="1" x14ac:dyDescent="0.3">
      <c r="A2152" s="4" t="s">
        <v>0</v>
      </c>
      <c r="B2152" s="4" t="s">
        <v>17</v>
      </c>
      <c r="C2152" s="16" t="s">
        <v>18</v>
      </c>
      <c r="D2152" s="4">
        <v>10</v>
      </c>
      <c r="E2152" s="4" t="s">
        <v>745</v>
      </c>
      <c r="F2152" t="s">
        <v>36</v>
      </c>
      <c r="G2152" t="s">
        <v>838</v>
      </c>
      <c r="H2152" s="4" t="s">
        <v>31</v>
      </c>
      <c r="I2152" s="4" t="s">
        <v>21</v>
      </c>
      <c r="J2152" s="4" t="s">
        <v>31</v>
      </c>
      <c r="K2152" s="4" t="s">
        <v>21</v>
      </c>
      <c r="L2152" s="4" t="s">
        <v>742</v>
      </c>
      <c r="M2152" s="17">
        <v>30</v>
      </c>
      <c r="N2152" s="17">
        <v>792</v>
      </c>
      <c r="O2152" s="18" t="s">
        <v>31</v>
      </c>
      <c r="P2152" s="18">
        <v>792</v>
      </c>
      <c r="Q2152" s="18">
        <v>30</v>
      </c>
      <c r="R2152" s="28" t="s">
        <v>931</v>
      </c>
      <c r="S2152" s="28" t="s">
        <v>827</v>
      </c>
      <c r="T2152" s="28" t="s">
        <v>935</v>
      </c>
      <c r="U21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52" s="19">
        <f>IF(AUDITORIA[[#This Row],[CAT]]="",0,1)</f>
        <v>1</v>
      </c>
      <c r="W2152" s="20">
        <v>46232</v>
      </c>
      <c r="X2152" s="21" t="s">
        <v>906</v>
      </c>
      <c r="Y2152" s="24" t="s">
        <v>901</v>
      </c>
      <c r="Z2152" s="24" t="s">
        <v>902</v>
      </c>
      <c r="AA2152" s="24" t="s">
        <v>903</v>
      </c>
    </row>
    <row r="2153" spans="1:27" ht="14.4" hidden="1" customHeight="1" x14ac:dyDescent="0.3">
      <c r="A2153" s="4" t="s">
        <v>0</v>
      </c>
      <c r="B2153" s="4" t="s">
        <v>17</v>
      </c>
      <c r="C2153" s="16" t="s">
        <v>18</v>
      </c>
      <c r="D2153" s="4">
        <v>10</v>
      </c>
      <c r="E2153" s="4" t="s">
        <v>745</v>
      </c>
      <c r="F2153" t="s">
        <v>35</v>
      </c>
      <c r="G2153" t="s">
        <v>838</v>
      </c>
      <c r="H2153" s="4" t="s">
        <v>31</v>
      </c>
      <c r="I2153" s="4" t="s">
        <v>20</v>
      </c>
      <c r="J2153" s="4" t="s">
        <v>31</v>
      </c>
      <c r="K2153" s="4" t="s">
        <v>20</v>
      </c>
      <c r="L2153" s="4" t="s">
        <v>742</v>
      </c>
      <c r="M2153" s="17">
        <v>30</v>
      </c>
      <c r="N2153" s="17">
        <v>636</v>
      </c>
      <c r="O2153" s="18" t="s">
        <v>31</v>
      </c>
      <c r="P2153" s="18">
        <v>636</v>
      </c>
      <c r="Q2153" s="18">
        <v>30</v>
      </c>
      <c r="R2153" s="28" t="s">
        <v>931</v>
      </c>
      <c r="S2153" s="28" t="s">
        <v>925</v>
      </c>
      <c r="T2153" s="28" t="s">
        <v>782</v>
      </c>
      <c r="U21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53" s="19">
        <f>IF(AUDITORIA[[#This Row],[CAT]]="",0,1)</f>
        <v>1</v>
      </c>
      <c r="W2153" s="20">
        <v>46232</v>
      </c>
      <c r="X2153" s="21" t="s">
        <v>906</v>
      </c>
      <c r="Y2153" s="24" t="s">
        <v>901</v>
      </c>
      <c r="Z2153" s="24" t="s">
        <v>902</v>
      </c>
      <c r="AA2153" s="24" t="s">
        <v>903</v>
      </c>
    </row>
    <row r="2154" spans="1:27" ht="14.4" hidden="1" customHeight="1" x14ac:dyDescent="0.3">
      <c r="A2154" s="4" t="s">
        <v>0</v>
      </c>
      <c r="B2154" s="4" t="s">
        <v>17</v>
      </c>
      <c r="C2154" s="16" t="s">
        <v>18</v>
      </c>
      <c r="D2154" s="4">
        <v>10</v>
      </c>
      <c r="E2154" s="4" t="s">
        <v>745</v>
      </c>
      <c r="F2154" t="s">
        <v>33</v>
      </c>
      <c r="G2154" t="s">
        <v>838</v>
      </c>
      <c r="H2154" s="4" t="s">
        <v>31</v>
      </c>
      <c r="I2154" s="4" t="s">
        <v>21</v>
      </c>
      <c r="J2154" s="4" t="s">
        <v>31</v>
      </c>
      <c r="K2154" s="4" t="s">
        <v>21</v>
      </c>
      <c r="L2154" s="4" t="s">
        <v>742</v>
      </c>
      <c r="M2154" s="17">
        <v>17</v>
      </c>
      <c r="N2154" s="17">
        <v>808</v>
      </c>
      <c r="O2154" s="18" t="s">
        <v>31</v>
      </c>
      <c r="P2154" s="18">
        <v>808</v>
      </c>
      <c r="Q2154" s="18">
        <v>17</v>
      </c>
      <c r="R2154" s="18" t="str">
        <f>VLOOKUP(AUDITORIA[[#This Row],[LOTE]],[1]ENDEREÇAMENTO!$C$2:$J$9999,8,FALSE)</f>
        <v>Cam.B</v>
      </c>
      <c r="S2154" s="18" t="str">
        <f>VLOOKUP(RIGHT(AUDITORIA[[#This Row],[LOTE]],4),[2]Lotes!$A$2:$E$209,2,FALSE)</f>
        <v>QD.07</v>
      </c>
      <c r="T2154" s="18" t="str">
        <f>VLOOKUP(RIGHT(AUDITORIA[[#This Row],[LOTE]],4),[2]Lotes!$A$2:$E$209,4,FALSE)</f>
        <v>F4</v>
      </c>
      <c r="U21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54" s="19">
        <f>IF(AUDITORIA[[#This Row],[CAT]]="",0,1)</f>
        <v>1</v>
      </c>
      <c r="W2154" s="20">
        <v>46232</v>
      </c>
      <c r="X2154" s="21" t="s">
        <v>906</v>
      </c>
      <c r="Y2154" s="24" t="s">
        <v>901</v>
      </c>
      <c r="Z2154" s="24" t="s">
        <v>902</v>
      </c>
      <c r="AA2154" s="24" t="s">
        <v>903</v>
      </c>
    </row>
    <row r="2155" spans="1:27" ht="14.4" hidden="1" customHeight="1" x14ac:dyDescent="0.3">
      <c r="A2155" s="4" t="s">
        <v>0</v>
      </c>
      <c r="B2155" s="4" t="s">
        <v>17</v>
      </c>
      <c r="C2155" s="16" t="s">
        <v>18</v>
      </c>
      <c r="D2155" s="4">
        <v>10</v>
      </c>
      <c r="E2155" s="4" t="s">
        <v>745</v>
      </c>
      <c r="F2155" t="s">
        <v>32</v>
      </c>
      <c r="G2155" t="s">
        <v>30</v>
      </c>
      <c r="H2155" s="4" t="s">
        <v>31</v>
      </c>
      <c r="I2155" s="4" t="s">
        <v>20</v>
      </c>
      <c r="J2155" s="4" t="s">
        <v>31</v>
      </c>
      <c r="K2155" s="4" t="s">
        <v>20</v>
      </c>
      <c r="L2155" s="4" t="s">
        <v>742</v>
      </c>
      <c r="M2155" s="17">
        <v>30</v>
      </c>
      <c r="N2155" s="17">
        <v>730</v>
      </c>
      <c r="O2155" s="18" t="s">
        <v>31</v>
      </c>
      <c r="P2155" s="18">
        <v>730</v>
      </c>
      <c r="Q2155" s="18">
        <v>30</v>
      </c>
      <c r="R2155" s="28" t="s">
        <v>931</v>
      </c>
      <c r="S2155" s="28" t="s">
        <v>828</v>
      </c>
      <c r="T2155" s="28" t="s">
        <v>936</v>
      </c>
      <c r="U21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55" s="19">
        <f>IF(AUDITORIA[[#This Row],[CAT]]="",0,1)</f>
        <v>1</v>
      </c>
      <c r="W2155" s="20">
        <v>46232</v>
      </c>
      <c r="X2155" s="21" t="s">
        <v>906</v>
      </c>
      <c r="Y2155" s="24" t="s">
        <v>901</v>
      </c>
      <c r="Z2155" s="24" t="s">
        <v>902</v>
      </c>
      <c r="AA2155" s="24" t="s">
        <v>903</v>
      </c>
    </row>
    <row r="2156" spans="1:27" ht="14.4" hidden="1" customHeight="1" x14ac:dyDescent="0.3">
      <c r="A2156" s="4" t="s">
        <v>0</v>
      </c>
      <c r="B2156" s="4" t="s">
        <v>17</v>
      </c>
      <c r="C2156" s="16" t="s">
        <v>18</v>
      </c>
      <c r="D2156" s="4">
        <v>10</v>
      </c>
      <c r="E2156" s="4" t="s">
        <v>745</v>
      </c>
      <c r="F2156" t="s">
        <v>29</v>
      </c>
      <c r="G2156" t="s">
        <v>30</v>
      </c>
      <c r="H2156" s="4" t="s">
        <v>31</v>
      </c>
      <c r="I2156" s="4" t="s">
        <v>21</v>
      </c>
      <c r="J2156" s="4" t="s">
        <v>31</v>
      </c>
      <c r="K2156" s="4" t="s">
        <v>21</v>
      </c>
      <c r="L2156" s="4" t="s">
        <v>742</v>
      </c>
      <c r="M2156" s="17">
        <v>30</v>
      </c>
      <c r="N2156" s="17">
        <v>871</v>
      </c>
      <c r="O2156" s="18" t="s">
        <v>31</v>
      </c>
      <c r="P2156" s="18">
        <v>871</v>
      </c>
      <c r="Q2156" s="18">
        <v>30</v>
      </c>
      <c r="R2156" s="28" t="s">
        <v>931</v>
      </c>
      <c r="S2156" s="28" t="s">
        <v>828</v>
      </c>
      <c r="T2156" s="28" t="s">
        <v>782</v>
      </c>
      <c r="U21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56" s="19">
        <f>IF(AUDITORIA[[#This Row],[CAT]]="",0,1)</f>
        <v>1</v>
      </c>
      <c r="W2156" s="20">
        <v>46232</v>
      </c>
      <c r="X2156" s="21" t="s">
        <v>906</v>
      </c>
      <c r="Y2156" s="24" t="s">
        <v>901</v>
      </c>
      <c r="Z2156" s="24" t="s">
        <v>902</v>
      </c>
      <c r="AA2156" s="24" t="s">
        <v>903</v>
      </c>
    </row>
    <row r="2157" spans="1:27" ht="14.4" hidden="1" customHeight="1" x14ac:dyDescent="0.3">
      <c r="A2157" s="4" t="s">
        <v>0</v>
      </c>
      <c r="B2157" s="4" t="s">
        <v>17</v>
      </c>
      <c r="C2157" s="16" t="s">
        <v>18</v>
      </c>
      <c r="D2157" s="4">
        <v>10</v>
      </c>
      <c r="E2157" s="4" t="s">
        <v>745</v>
      </c>
      <c r="F2157" t="s">
        <v>690</v>
      </c>
      <c r="G2157" t="s">
        <v>30</v>
      </c>
      <c r="H2157" s="4" t="s">
        <v>31</v>
      </c>
      <c r="I2157" s="4" t="s">
        <v>20</v>
      </c>
      <c r="J2157" s="4" t="s">
        <v>31</v>
      </c>
      <c r="K2157" s="4" t="s">
        <v>20</v>
      </c>
      <c r="L2157" s="4" t="s">
        <v>742</v>
      </c>
      <c r="M2157" s="17">
        <v>30</v>
      </c>
      <c r="N2157" s="17">
        <v>734</v>
      </c>
      <c r="O2157" s="18" t="s">
        <v>31</v>
      </c>
      <c r="P2157" s="18">
        <v>734</v>
      </c>
      <c r="Q2157" s="18">
        <v>30</v>
      </c>
      <c r="R2157" s="28" t="s">
        <v>931</v>
      </c>
      <c r="S2157" s="28" t="s">
        <v>828</v>
      </c>
      <c r="T2157" s="28" t="s">
        <v>781</v>
      </c>
      <c r="U21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57" s="19">
        <f>IF(AUDITORIA[[#This Row],[CAT]]="",0,1)</f>
        <v>1</v>
      </c>
      <c r="W2157" s="20">
        <v>46232</v>
      </c>
      <c r="X2157" s="21" t="s">
        <v>906</v>
      </c>
      <c r="Y2157" s="24" t="s">
        <v>901</v>
      </c>
      <c r="Z2157" s="24" t="s">
        <v>902</v>
      </c>
      <c r="AA2157" s="24" t="s">
        <v>903</v>
      </c>
    </row>
    <row r="2158" spans="1:27" ht="14.4" hidden="1" customHeight="1" x14ac:dyDescent="0.3">
      <c r="A2158" s="4" t="s">
        <v>0</v>
      </c>
      <c r="B2158" s="4" t="s">
        <v>17</v>
      </c>
      <c r="C2158" s="16" t="s">
        <v>18</v>
      </c>
      <c r="D2158" s="4">
        <v>10</v>
      </c>
      <c r="E2158" s="4" t="s">
        <v>745</v>
      </c>
      <c r="F2158" t="s">
        <v>689</v>
      </c>
      <c r="G2158" t="s">
        <v>30</v>
      </c>
      <c r="H2158" s="4" t="s">
        <v>31</v>
      </c>
      <c r="I2158" s="4" t="s">
        <v>21</v>
      </c>
      <c r="J2158" s="4" t="s">
        <v>31</v>
      </c>
      <c r="K2158" s="4" t="s">
        <v>21</v>
      </c>
      <c r="L2158" s="4" t="s">
        <v>742</v>
      </c>
      <c r="M2158" s="17">
        <v>12</v>
      </c>
      <c r="N2158" s="17">
        <v>852</v>
      </c>
      <c r="O2158" s="18" t="s">
        <v>31</v>
      </c>
      <c r="P2158" s="18">
        <v>852</v>
      </c>
      <c r="Q2158" s="18">
        <v>12</v>
      </c>
      <c r="R2158" s="18" t="str">
        <f>VLOOKUP(AUDITORIA[[#This Row],[LOTE]],[1]ENDEREÇAMENTO!$C$2:$J$9999,8,FALSE)</f>
        <v>Cam.B</v>
      </c>
      <c r="S2158" s="18" t="str">
        <f>VLOOKUP(RIGHT(AUDITORIA[[#This Row],[LOTE]],4),[2]Lotes!$A$2:$E$209,2,FALSE)</f>
        <v>QD.06</v>
      </c>
      <c r="T2158" s="18" t="str">
        <f>VLOOKUP(RIGHT(AUDITORIA[[#This Row],[LOTE]],4),[2]Lotes!$A$2:$E$209,4,FALSE)</f>
        <v>F2</v>
      </c>
      <c r="U21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58" s="19">
        <f>IF(AUDITORIA[[#This Row],[CAT]]="",0,1)</f>
        <v>1</v>
      </c>
      <c r="W2158" s="20">
        <v>46232</v>
      </c>
      <c r="X2158" s="21" t="s">
        <v>906</v>
      </c>
      <c r="Y2158" s="24" t="s">
        <v>901</v>
      </c>
      <c r="Z2158" s="24" t="s">
        <v>902</v>
      </c>
      <c r="AA2158" s="24" t="s">
        <v>903</v>
      </c>
    </row>
    <row r="2159" spans="1:27" ht="14.4" hidden="1" customHeight="1" x14ac:dyDescent="0.3">
      <c r="A2159" s="4" t="s">
        <v>0</v>
      </c>
      <c r="B2159" s="4" t="s">
        <v>17</v>
      </c>
      <c r="C2159" s="16" t="s">
        <v>18</v>
      </c>
      <c r="D2159" s="4">
        <v>10</v>
      </c>
      <c r="E2159" s="4" t="s">
        <v>745</v>
      </c>
      <c r="F2159" t="s">
        <v>688</v>
      </c>
      <c r="G2159" t="s">
        <v>836</v>
      </c>
      <c r="H2159" s="4" t="s">
        <v>55</v>
      </c>
      <c r="I2159" s="4" t="s">
        <v>21</v>
      </c>
      <c r="J2159" s="4" t="s">
        <v>55</v>
      </c>
      <c r="K2159" s="4" t="s">
        <v>21</v>
      </c>
      <c r="L2159" s="4" t="s">
        <v>742</v>
      </c>
      <c r="M2159" s="17">
        <v>30</v>
      </c>
      <c r="N2159" s="17">
        <v>909</v>
      </c>
      <c r="O2159" s="18" t="s">
        <v>55</v>
      </c>
      <c r="P2159" s="18">
        <v>909</v>
      </c>
      <c r="Q2159" s="18">
        <v>30</v>
      </c>
      <c r="R2159" s="18" t="str">
        <f>VLOOKUP(AUDITORIA[[#This Row],[LOTE]],[1]ENDEREÇAMENTO!$C$2:$J$9999,8,FALSE)</f>
        <v>Cam.B</v>
      </c>
      <c r="S2159" s="18" t="str">
        <f>VLOOKUP(RIGHT(AUDITORIA[[#This Row],[LOTE]],4),[2]Lotes!$A$2:$E$209,2,FALSE)</f>
        <v>QD.12</v>
      </c>
      <c r="T2159" s="18" t="str">
        <f>VLOOKUP(RIGHT(AUDITORIA[[#This Row],[LOTE]],4),[2]Lotes!$A$2:$E$209,4,FALSE)</f>
        <v>F2</v>
      </c>
      <c r="U21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59" s="19">
        <f>IF(AUDITORIA[[#This Row],[CAT]]="",0,1)</f>
        <v>1</v>
      </c>
      <c r="W2159" s="20">
        <v>46232</v>
      </c>
      <c r="X2159" s="21" t="s">
        <v>906</v>
      </c>
      <c r="Y2159" s="24" t="s">
        <v>901</v>
      </c>
      <c r="Z2159" s="24" t="s">
        <v>902</v>
      </c>
      <c r="AA2159" s="24" t="s">
        <v>903</v>
      </c>
    </row>
    <row r="2160" spans="1:27" ht="14.4" hidden="1" customHeight="1" x14ac:dyDescent="0.3">
      <c r="A2160" s="4" t="s">
        <v>0</v>
      </c>
      <c r="B2160" s="4" t="s">
        <v>17</v>
      </c>
      <c r="C2160" s="16" t="s">
        <v>18</v>
      </c>
      <c r="D2160" s="4">
        <v>10</v>
      </c>
      <c r="E2160" s="4" t="s">
        <v>745</v>
      </c>
      <c r="F2160" t="s">
        <v>687</v>
      </c>
      <c r="G2160" t="s">
        <v>836</v>
      </c>
      <c r="H2160" s="4" t="s">
        <v>55</v>
      </c>
      <c r="I2160" s="4" t="s">
        <v>20</v>
      </c>
      <c r="J2160" s="4" t="s">
        <v>55</v>
      </c>
      <c r="K2160" s="4" t="s">
        <v>20</v>
      </c>
      <c r="L2160" s="4" t="s">
        <v>742</v>
      </c>
      <c r="M2160" s="17">
        <v>30</v>
      </c>
      <c r="N2160" s="17">
        <v>711</v>
      </c>
      <c r="O2160" s="18" t="s">
        <v>55</v>
      </c>
      <c r="P2160" s="18">
        <v>711</v>
      </c>
      <c r="Q2160" s="18">
        <v>30</v>
      </c>
      <c r="R2160" s="28" t="s">
        <v>931</v>
      </c>
      <c r="S2160" s="28" t="s">
        <v>816</v>
      </c>
      <c r="T2160" s="28" t="s">
        <v>904</v>
      </c>
      <c r="U21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60" s="19">
        <f>IF(AUDITORIA[[#This Row],[CAT]]="",0,1)</f>
        <v>1</v>
      </c>
      <c r="W2160" s="20">
        <v>46232</v>
      </c>
      <c r="X2160" s="21" t="s">
        <v>906</v>
      </c>
      <c r="Y2160" s="24" t="s">
        <v>901</v>
      </c>
      <c r="Z2160" s="24" t="s">
        <v>902</v>
      </c>
      <c r="AA2160" s="24" t="s">
        <v>903</v>
      </c>
    </row>
    <row r="2161" spans="1:27" ht="14.4" hidden="1" customHeight="1" x14ac:dyDescent="0.3">
      <c r="A2161" s="4" t="s">
        <v>0</v>
      </c>
      <c r="B2161" s="4" t="s">
        <v>17</v>
      </c>
      <c r="C2161" s="16" t="s">
        <v>18</v>
      </c>
      <c r="D2161" s="4">
        <v>10</v>
      </c>
      <c r="E2161" s="4" t="s">
        <v>745</v>
      </c>
      <c r="F2161" t="s">
        <v>686</v>
      </c>
      <c r="G2161" t="s">
        <v>836</v>
      </c>
      <c r="H2161" s="4" t="s">
        <v>55</v>
      </c>
      <c r="I2161" s="4" t="s">
        <v>21</v>
      </c>
      <c r="J2161" s="4" t="s">
        <v>55</v>
      </c>
      <c r="K2161" s="4" t="s">
        <v>21</v>
      </c>
      <c r="L2161" s="4" t="s">
        <v>742</v>
      </c>
      <c r="M2161" s="17">
        <v>30</v>
      </c>
      <c r="N2161" s="17">
        <v>900</v>
      </c>
      <c r="O2161" s="18" t="s">
        <v>55</v>
      </c>
      <c r="P2161" s="18">
        <v>900</v>
      </c>
      <c r="Q2161" s="18">
        <v>30</v>
      </c>
      <c r="R2161" s="28" t="s">
        <v>931</v>
      </c>
      <c r="S2161" s="28" t="s">
        <v>921</v>
      </c>
      <c r="T2161" s="28" t="s">
        <v>781</v>
      </c>
      <c r="U21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61" s="19">
        <f>IF(AUDITORIA[[#This Row],[CAT]]="",0,1)</f>
        <v>1</v>
      </c>
      <c r="W2161" s="20">
        <v>46232</v>
      </c>
      <c r="X2161" s="21" t="s">
        <v>906</v>
      </c>
      <c r="Y2161" s="24" t="s">
        <v>901</v>
      </c>
      <c r="Z2161" s="24" t="s">
        <v>902</v>
      </c>
      <c r="AA2161" s="24" t="s">
        <v>903</v>
      </c>
    </row>
    <row r="2162" spans="1:27" ht="14.4" hidden="1" customHeight="1" x14ac:dyDescent="0.3">
      <c r="A2162" s="4" t="s">
        <v>0</v>
      </c>
      <c r="B2162" s="4" t="s">
        <v>17</v>
      </c>
      <c r="C2162" s="16" t="s">
        <v>18</v>
      </c>
      <c r="D2162" s="4">
        <v>10</v>
      </c>
      <c r="E2162" s="4" t="s">
        <v>745</v>
      </c>
      <c r="F2162" t="s">
        <v>685</v>
      </c>
      <c r="G2162" t="s">
        <v>836</v>
      </c>
      <c r="H2162" s="4" t="s">
        <v>55</v>
      </c>
      <c r="I2162" s="4" t="s">
        <v>20</v>
      </c>
      <c r="J2162" s="4" t="s">
        <v>55</v>
      </c>
      <c r="K2162" s="4" t="s">
        <v>20</v>
      </c>
      <c r="L2162" s="4" t="s">
        <v>742</v>
      </c>
      <c r="M2162" s="17">
        <v>30</v>
      </c>
      <c r="N2162" s="17">
        <v>706</v>
      </c>
      <c r="O2162" s="18" t="s">
        <v>55</v>
      </c>
      <c r="P2162" s="18">
        <v>706</v>
      </c>
      <c r="Q2162" s="18">
        <v>30</v>
      </c>
      <c r="R2162" s="18" t="s">
        <v>778</v>
      </c>
      <c r="S2162" s="28" t="s">
        <v>800</v>
      </c>
      <c r="T2162" s="28" t="s">
        <v>782</v>
      </c>
      <c r="U21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62" s="19">
        <f>IF(AUDITORIA[[#This Row],[CAT]]="",0,1)</f>
        <v>1</v>
      </c>
      <c r="W2162" s="20">
        <v>46232</v>
      </c>
      <c r="X2162" s="21" t="s">
        <v>906</v>
      </c>
      <c r="Y2162" s="24" t="s">
        <v>901</v>
      </c>
      <c r="Z2162" s="24" t="s">
        <v>902</v>
      </c>
      <c r="AA2162" s="24" t="s">
        <v>903</v>
      </c>
    </row>
    <row r="2163" spans="1:27" ht="14.4" hidden="1" customHeight="1" x14ac:dyDescent="0.3">
      <c r="A2163" s="4" t="s">
        <v>0</v>
      </c>
      <c r="B2163" s="4" t="s">
        <v>17</v>
      </c>
      <c r="C2163" s="16" t="s">
        <v>18</v>
      </c>
      <c r="D2163" s="4">
        <v>10</v>
      </c>
      <c r="E2163" s="4" t="s">
        <v>745</v>
      </c>
      <c r="F2163" t="s">
        <v>684</v>
      </c>
      <c r="G2163" t="s">
        <v>836</v>
      </c>
      <c r="H2163" s="4" t="s">
        <v>55</v>
      </c>
      <c r="I2163" s="4" t="s">
        <v>21</v>
      </c>
      <c r="J2163" s="4" t="s">
        <v>55</v>
      </c>
      <c r="K2163" s="4" t="s">
        <v>21</v>
      </c>
      <c r="L2163" s="4" t="s">
        <v>742</v>
      </c>
      <c r="M2163" s="17">
        <v>30</v>
      </c>
      <c r="N2163" s="17">
        <v>898</v>
      </c>
      <c r="O2163" s="18" t="s">
        <v>55</v>
      </c>
      <c r="P2163" s="18">
        <v>898</v>
      </c>
      <c r="Q2163" s="18">
        <v>30</v>
      </c>
      <c r="R2163" s="28" t="s">
        <v>931</v>
      </c>
      <c r="S2163" s="18" t="s">
        <v>826</v>
      </c>
      <c r="T2163" s="18" t="s">
        <v>780</v>
      </c>
      <c r="U21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63" s="19">
        <f>IF(AUDITORIA[[#This Row],[CAT]]="",0,1)</f>
        <v>1</v>
      </c>
      <c r="W2163" s="20">
        <v>46232</v>
      </c>
      <c r="X2163" s="21" t="s">
        <v>906</v>
      </c>
      <c r="Y2163" s="24" t="s">
        <v>901</v>
      </c>
      <c r="Z2163" s="24" t="s">
        <v>902</v>
      </c>
      <c r="AA2163" s="24" t="s">
        <v>903</v>
      </c>
    </row>
    <row r="2164" spans="1:27" ht="14.4" hidden="1" customHeight="1" x14ac:dyDescent="0.3">
      <c r="A2164" s="4" t="s">
        <v>0</v>
      </c>
      <c r="B2164" s="4" t="s">
        <v>17</v>
      </c>
      <c r="C2164" s="16" t="s">
        <v>18</v>
      </c>
      <c r="D2164" s="4">
        <v>10</v>
      </c>
      <c r="E2164" s="4" t="s">
        <v>745</v>
      </c>
      <c r="F2164" t="s">
        <v>683</v>
      </c>
      <c r="G2164" t="s">
        <v>836</v>
      </c>
      <c r="H2164" s="4" t="s">
        <v>55</v>
      </c>
      <c r="I2164" s="4" t="s">
        <v>20</v>
      </c>
      <c r="J2164" s="4" t="s">
        <v>55</v>
      </c>
      <c r="K2164" s="4" t="s">
        <v>20</v>
      </c>
      <c r="L2164" s="4" t="s">
        <v>742</v>
      </c>
      <c r="M2164" s="17">
        <v>30</v>
      </c>
      <c r="N2164" s="17">
        <v>705</v>
      </c>
      <c r="O2164" s="18" t="s">
        <v>55</v>
      </c>
      <c r="P2164" s="18">
        <v>705</v>
      </c>
      <c r="Q2164" s="18">
        <v>30</v>
      </c>
      <c r="R2164" s="18" t="s">
        <v>778</v>
      </c>
      <c r="S2164" s="28" t="s">
        <v>800</v>
      </c>
      <c r="T2164" s="28" t="s">
        <v>781</v>
      </c>
      <c r="U21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64" s="19">
        <f>IF(AUDITORIA[[#This Row],[CAT]]="",0,1)</f>
        <v>1</v>
      </c>
      <c r="W2164" s="20">
        <v>46232</v>
      </c>
      <c r="X2164" s="21" t="s">
        <v>906</v>
      </c>
      <c r="Y2164" s="24" t="s">
        <v>901</v>
      </c>
      <c r="Z2164" s="24" t="s">
        <v>902</v>
      </c>
      <c r="AA2164" s="24" t="s">
        <v>903</v>
      </c>
    </row>
    <row r="2165" spans="1:27" ht="14.4" hidden="1" customHeight="1" x14ac:dyDescent="0.3">
      <c r="A2165" s="4" t="s">
        <v>0</v>
      </c>
      <c r="B2165" s="4" t="s">
        <v>17</v>
      </c>
      <c r="C2165" s="16" t="s">
        <v>18</v>
      </c>
      <c r="D2165" s="4">
        <v>10</v>
      </c>
      <c r="E2165" s="4" t="s">
        <v>745</v>
      </c>
      <c r="F2165" t="s">
        <v>682</v>
      </c>
      <c r="G2165" t="s">
        <v>836</v>
      </c>
      <c r="H2165" s="4" t="s">
        <v>55</v>
      </c>
      <c r="I2165" s="4" t="s">
        <v>21</v>
      </c>
      <c r="J2165" s="4" t="s">
        <v>55</v>
      </c>
      <c r="K2165" s="4" t="s">
        <v>21</v>
      </c>
      <c r="L2165" s="4" t="s">
        <v>742</v>
      </c>
      <c r="M2165" s="17">
        <v>27</v>
      </c>
      <c r="N2165" s="17">
        <v>927</v>
      </c>
      <c r="O2165" s="18" t="s">
        <v>55</v>
      </c>
      <c r="P2165" s="18">
        <v>927</v>
      </c>
      <c r="Q2165" s="18">
        <v>27</v>
      </c>
      <c r="R2165" s="18" t="str">
        <f>VLOOKUP(AUDITORIA[[#This Row],[LOTE]],[1]ENDEREÇAMENTO!$C$2:$J$9999,8,FALSE)</f>
        <v>Cam.B</v>
      </c>
      <c r="S2165" s="18" t="str">
        <f>VLOOKUP(RIGHT(AUDITORIA[[#This Row],[LOTE]],4),[2]Lotes!$A$2:$E$209,2,FALSE)</f>
        <v>QD.14</v>
      </c>
      <c r="T2165" s="18" t="str">
        <f>VLOOKUP(RIGHT(AUDITORIA[[#This Row],[LOTE]],4),[2]Lotes!$A$2:$E$209,4,FALSE)</f>
        <v>F3</v>
      </c>
      <c r="U21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65" s="19">
        <f>IF(AUDITORIA[[#This Row],[CAT]]="",0,1)</f>
        <v>1</v>
      </c>
      <c r="W2165" s="20">
        <v>46232</v>
      </c>
      <c r="X2165" s="21" t="s">
        <v>906</v>
      </c>
      <c r="Y2165" s="24" t="s">
        <v>901</v>
      </c>
      <c r="Z2165" s="24" t="s">
        <v>902</v>
      </c>
      <c r="AA2165" s="24" t="s">
        <v>903</v>
      </c>
    </row>
    <row r="2166" spans="1:27" ht="14.4" hidden="1" customHeight="1" x14ac:dyDescent="0.3">
      <c r="A2166" s="4" t="s">
        <v>0</v>
      </c>
      <c r="B2166" s="4" t="s">
        <v>17</v>
      </c>
      <c r="C2166" s="16" t="s">
        <v>18</v>
      </c>
      <c r="D2166" s="4">
        <v>10</v>
      </c>
      <c r="E2166" s="4" t="s">
        <v>745</v>
      </c>
      <c r="F2166" t="s">
        <v>680</v>
      </c>
      <c r="G2166" t="s">
        <v>836</v>
      </c>
      <c r="H2166" s="4" t="s">
        <v>55</v>
      </c>
      <c r="I2166" s="4" t="s">
        <v>20</v>
      </c>
      <c r="J2166" s="4" t="s">
        <v>55</v>
      </c>
      <c r="K2166" s="4" t="s">
        <v>20</v>
      </c>
      <c r="L2166" s="4" t="s">
        <v>742</v>
      </c>
      <c r="M2166" s="17">
        <v>30</v>
      </c>
      <c r="N2166" s="17">
        <v>705</v>
      </c>
      <c r="O2166" s="18" t="s">
        <v>55</v>
      </c>
      <c r="P2166" s="18">
        <v>705</v>
      </c>
      <c r="Q2166" s="18">
        <v>30</v>
      </c>
      <c r="R2166" s="18" t="s">
        <v>778</v>
      </c>
      <c r="S2166" s="28" t="s">
        <v>800</v>
      </c>
      <c r="T2166" s="28" t="s">
        <v>913</v>
      </c>
      <c r="U21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66" s="19">
        <f>IF(AUDITORIA[[#This Row],[CAT]]="",0,1)</f>
        <v>1</v>
      </c>
      <c r="W2166" s="20">
        <v>46232</v>
      </c>
      <c r="X2166" s="21" t="s">
        <v>906</v>
      </c>
      <c r="Y2166" s="24" t="s">
        <v>901</v>
      </c>
      <c r="Z2166" s="24" t="s">
        <v>902</v>
      </c>
      <c r="AA2166" s="24" t="s">
        <v>903</v>
      </c>
    </row>
    <row r="2167" spans="1:27" ht="14.4" hidden="1" customHeight="1" x14ac:dyDescent="0.3">
      <c r="A2167" s="4" t="s">
        <v>0</v>
      </c>
      <c r="B2167" s="4" t="s">
        <v>17</v>
      </c>
      <c r="C2167" s="16" t="s">
        <v>18</v>
      </c>
      <c r="D2167" s="4">
        <v>10</v>
      </c>
      <c r="E2167" s="4" t="s">
        <v>745</v>
      </c>
      <c r="F2167" t="s">
        <v>681</v>
      </c>
      <c r="G2167" t="s">
        <v>836</v>
      </c>
      <c r="H2167" s="4" t="s">
        <v>55</v>
      </c>
      <c r="I2167" s="4" t="s">
        <v>21</v>
      </c>
      <c r="J2167" s="4" t="s">
        <v>55</v>
      </c>
      <c r="K2167" s="4" t="s">
        <v>21</v>
      </c>
      <c r="L2167" s="4" t="s">
        <v>742</v>
      </c>
      <c r="M2167" s="17">
        <v>30</v>
      </c>
      <c r="N2167" s="17">
        <v>904</v>
      </c>
      <c r="O2167" s="18" t="s">
        <v>55</v>
      </c>
      <c r="P2167" s="18">
        <v>904</v>
      </c>
      <c r="Q2167" s="18">
        <v>30</v>
      </c>
      <c r="R2167" s="28" t="s">
        <v>931</v>
      </c>
      <c r="S2167" s="28" t="s">
        <v>824</v>
      </c>
      <c r="T2167" s="28" t="s">
        <v>781</v>
      </c>
      <c r="U21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67" s="19">
        <f>IF(AUDITORIA[[#This Row],[CAT]]="",0,1)</f>
        <v>1</v>
      </c>
      <c r="W2167" s="20">
        <v>46232</v>
      </c>
      <c r="X2167" s="21" t="s">
        <v>906</v>
      </c>
      <c r="Y2167" s="24" t="s">
        <v>901</v>
      </c>
      <c r="Z2167" s="24" t="s">
        <v>902</v>
      </c>
      <c r="AA2167" s="24" t="s">
        <v>903</v>
      </c>
    </row>
    <row r="2168" spans="1:27" ht="14.4" hidden="1" customHeight="1" x14ac:dyDescent="0.3">
      <c r="A2168" s="4" t="s">
        <v>0</v>
      </c>
      <c r="B2168" s="4" t="s">
        <v>17</v>
      </c>
      <c r="C2168" s="16" t="s">
        <v>18</v>
      </c>
      <c r="D2168" s="4">
        <v>10</v>
      </c>
      <c r="E2168" s="4" t="s">
        <v>745</v>
      </c>
      <c r="F2168" t="s">
        <v>679</v>
      </c>
      <c r="G2168" t="s">
        <v>836</v>
      </c>
      <c r="H2168" s="4" t="s">
        <v>55</v>
      </c>
      <c r="I2168" s="4" t="s">
        <v>21</v>
      </c>
      <c r="J2168" s="4" t="s">
        <v>55</v>
      </c>
      <c r="K2168" s="4" t="s">
        <v>21</v>
      </c>
      <c r="L2168" s="4" t="s">
        <v>742</v>
      </c>
      <c r="M2168" s="17">
        <v>27</v>
      </c>
      <c r="N2168" s="17">
        <v>910</v>
      </c>
      <c r="O2168" s="18" t="s">
        <v>55</v>
      </c>
      <c r="P2168" s="18">
        <v>910</v>
      </c>
      <c r="Q2168" s="18">
        <v>27</v>
      </c>
      <c r="R2168" s="28" t="s">
        <v>931</v>
      </c>
      <c r="S2168" s="28" t="s">
        <v>825</v>
      </c>
      <c r="T2168" s="28" t="s">
        <v>937</v>
      </c>
      <c r="U21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68" s="19">
        <f>IF(AUDITORIA[[#This Row],[CAT]]="",0,1)</f>
        <v>1</v>
      </c>
      <c r="W2168" s="20">
        <v>46232</v>
      </c>
      <c r="X2168" s="21" t="s">
        <v>906</v>
      </c>
      <c r="Y2168" s="24" t="s">
        <v>901</v>
      </c>
      <c r="Z2168" s="24" t="s">
        <v>902</v>
      </c>
      <c r="AA2168" s="24" t="s">
        <v>903</v>
      </c>
    </row>
    <row r="2169" spans="1:27" ht="14.4" hidden="1" customHeight="1" x14ac:dyDescent="0.3">
      <c r="A2169" s="4" t="s">
        <v>0</v>
      </c>
      <c r="B2169" s="4" t="s">
        <v>17</v>
      </c>
      <c r="C2169" s="16" t="s">
        <v>18</v>
      </c>
      <c r="D2169" s="4">
        <v>10</v>
      </c>
      <c r="E2169" s="4" t="s">
        <v>745</v>
      </c>
      <c r="F2169" t="s">
        <v>677</v>
      </c>
      <c r="G2169" t="s">
        <v>836</v>
      </c>
      <c r="H2169" s="4" t="s">
        <v>55</v>
      </c>
      <c r="I2169" s="4" t="s">
        <v>20</v>
      </c>
      <c r="J2169" s="4" t="s">
        <v>55</v>
      </c>
      <c r="K2169" s="4" t="s">
        <v>20</v>
      </c>
      <c r="L2169" s="4" t="s">
        <v>742</v>
      </c>
      <c r="M2169" s="17">
        <v>30</v>
      </c>
      <c r="N2169" s="17">
        <v>711</v>
      </c>
      <c r="O2169" s="18" t="s">
        <v>55</v>
      </c>
      <c r="P2169" s="18">
        <v>711</v>
      </c>
      <c r="Q2169" s="18">
        <v>30</v>
      </c>
      <c r="R2169" s="28" t="s">
        <v>931</v>
      </c>
      <c r="S2169" s="28" t="s">
        <v>927</v>
      </c>
      <c r="T2169" s="28" t="s">
        <v>781</v>
      </c>
      <c r="U21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69" s="19">
        <f>IF(AUDITORIA[[#This Row],[CAT]]="",0,1)</f>
        <v>1</v>
      </c>
      <c r="W2169" s="20">
        <v>46232</v>
      </c>
      <c r="X2169" s="21" t="s">
        <v>906</v>
      </c>
      <c r="Y2169" s="24" t="s">
        <v>901</v>
      </c>
      <c r="Z2169" s="24" t="s">
        <v>902</v>
      </c>
      <c r="AA2169" s="24" t="s">
        <v>903</v>
      </c>
    </row>
    <row r="2170" spans="1:27" ht="14.4" hidden="1" customHeight="1" x14ac:dyDescent="0.3">
      <c r="A2170" s="4" t="s">
        <v>0</v>
      </c>
      <c r="B2170" s="4" t="s">
        <v>17</v>
      </c>
      <c r="C2170" s="16" t="s">
        <v>18</v>
      </c>
      <c r="D2170" s="4">
        <v>10</v>
      </c>
      <c r="E2170" s="4" t="s">
        <v>745</v>
      </c>
      <c r="F2170" t="s">
        <v>678</v>
      </c>
      <c r="G2170" t="s">
        <v>836</v>
      </c>
      <c r="H2170" s="4" t="s">
        <v>55</v>
      </c>
      <c r="I2170" s="4" t="s">
        <v>21</v>
      </c>
      <c r="J2170" s="4" t="s">
        <v>55</v>
      </c>
      <c r="K2170" s="4" t="s">
        <v>21</v>
      </c>
      <c r="L2170" s="4" t="s">
        <v>742</v>
      </c>
      <c r="M2170" s="17">
        <v>30</v>
      </c>
      <c r="N2170" s="17">
        <v>902</v>
      </c>
      <c r="O2170" s="18" t="s">
        <v>55</v>
      </c>
      <c r="P2170" s="18">
        <v>902</v>
      </c>
      <c r="Q2170" s="18">
        <v>30</v>
      </c>
      <c r="R2170" s="28" t="s">
        <v>931</v>
      </c>
      <c r="S2170" s="28" t="s">
        <v>926</v>
      </c>
      <c r="T2170" s="28" t="s">
        <v>782</v>
      </c>
      <c r="U21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70" s="19">
        <f>IF(AUDITORIA[[#This Row],[CAT]]="",0,1)</f>
        <v>1</v>
      </c>
      <c r="W2170" s="20">
        <v>46232</v>
      </c>
      <c r="X2170" s="21" t="s">
        <v>906</v>
      </c>
      <c r="Y2170" s="24" t="s">
        <v>901</v>
      </c>
      <c r="Z2170" s="24" t="s">
        <v>902</v>
      </c>
      <c r="AA2170" s="24" t="s">
        <v>903</v>
      </c>
    </row>
    <row r="2171" spans="1:27" ht="14.4" hidden="1" customHeight="1" x14ac:dyDescent="0.3">
      <c r="A2171" s="4" t="s">
        <v>0</v>
      </c>
      <c r="B2171" s="4" t="s">
        <v>17</v>
      </c>
      <c r="C2171" s="16" t="s">
        <v>18</v>
      </c>
      <c r="D2171" s="4">
        <v>10</v>
      </c>
      <c r="E2171" s="4" t="s">
        <v>745</v>
      </c>
      <c r="F2171" t="s">
        <v>676</v>
      </c>
      <c r="G2171" t="s">
        <v>836</v>
      </c>
      <c r="H2171" s="4" t="s">
        <v>55</v>
      </c>
      <c r="I2171" s="4" t="s">
        <v>21</v>
      </c>
      <c r="J2171" s="4" t="s">
        <v>55</v>
      </c>
      <c r="K2171" s="4" t="s">
        <v>21</v>
      </c>
      <c r="L2171" s="4" t="s">
        <v>742</v>
      </c>
      <c r="M2171" s="17">
        <v>30</v>
      </c>
      <c r="N2171" s="17">
        <v>899</v>
      </c>
      <c r="O2171" s="18" t="s">
        <v>55</v>
      </c>
      <c r="P2171" s="18">
        <v>899</v>
      </c>
      <c r="Q2171" s="18">
        <v>30</v>
      </c>
      <c r="R2171" s="18" t="str">
        <f>VLOOKUP(AUDITORIA[[#This Row],[LOTE]],[1]ENDEREÇAMENTO!$C$2:$J$9999,8,FALSE)</f>
        <v>Cam.B</v>
      </c>
      <c r="S2171" s="18" t="str">
        <f>VLOOKUP(RIGHT(AUDITORIA[[#This Row],[LOTE]],4),[2]Lotes!$A$2:$E$209,2,FALSE)</f>
        <v>QD.12</v>
      </c>
      <c r="T2171" s="18" t="str">
        <f>VLOOKUP(RIGHT(AUDITORIA[[#This Row],[LOTE]],4),[2]Lotes!$A$2:$E$209,4,FALSE)</f>
        <v>F3</v>
      </c>
      <c r="U21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71" s="19">
        <f>IF(AUDITORIA[[#This Row],[CAT]]="",0,1)</f>
        <v>1</v>
      </c>
      <c r="W2171" s="20">
        <v>46232</v>
      </c>
      <c r="X2171" s="21" t="s">
        <v>906</v>
      </c>
      <c r="Y2171" s="24" t="s">
        <v>901</v>
      </c>
      <c r="Z2171" s="24" t="s">
        <v>902</v>
      </c>
      <c r="AA2171" s="24" t="s">
        <v>903</v>
      </c>
    </row>
    <row r="2172" spans="1:27" ht="14.4" hidden="1" customHeight="1" x14ac:dyDescent="0.3">
      <c r="A2172" s="4" t="s">
        <v>0</v>
      </c>
      <c r="B2172" s="4" t="s">
        <v>17</v>
      </c>
      <c r="C2172" s="16" t="s">
        <v>18</v>
      </c>
      <c r="D2172" s="4">
        <v>10</v>
      </c>
      <c r="E2172" s="4" t="s">
        <v>745</v>
      </c>
      <c r="F2172" t="s">
        <v>674</v>
      </c>
      <c r="G2172" t="s">
        <v>836</v>
      </c>
      <c r="H2172" s="4" t="s">
        <v>55</v>
      </c>
      <c r="I2172" s="4" t="s">
        <v>20</v>
      </c>
      <c r="J2172" s="4" t="s">
        <v>55</v>
      </c>
      <c r="K2172" s="4" t="s">
        <v>20</v>
      </c>
      <c r="L2172" s="4" t="s">
        <v>742</v>
      </c>
      <c r="M2172" s="17">
        <v>30</v>
      </c>
      <c r="N2172" s="17">
        <v>707</v>
      </c>
      <c r="O2172" s="18" t="s">
        <v>55</v>
      </c>
      <c r="P2172" s="18">
        <v>707</v>
      </c>
      <c r="Q2172" s="18">
        <v>30</v>
      </c>
      <c r="R2172" s="28" t="s">
        <v>931</v>
      </c>
      <c r="S2172" s="28" t="s">
        <v>820</v>
      </c>
      <c r="T2172" s="28" t="s">
        <v>938</v>
      </c>
      <c r="U21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72" s="19">
        <f>IF(AUDITORIA[[#This Row],[CAT]]="",0,1)</f>
        <v>1</v>
      </c>
      <c r="W2172" s="20">
        <v>46232</v>
      </c>
      <c r="X2172" s="21" t="s">
        <v>906</v>
      </c>
      <c r="Y2172" s="24" t="s">
        <v>901</v>
      </c>
      <c r="Z2172" s="24" t="s">
        <v>902</v>
      </c>
      <c r="AA2172" s="24" t="s">
        <v>903</v>
      </c>
    </row>
    <row r="2173" spans="1:27" ht="14.4" hidden="1" customHeight="1" x14ac:dyDescent="0.3">
      <c r="A2173" s="4" t="s">
        <v>0</v>
      </c>
      <c r="B2173" s="4" t="s">
        <v>17</v>
      </c>
      <c r="C2173" s="16" t="s">
        <v>18</v>
      </c>
      <c r="D2173" s="4">
        <v>10</v>
      </c>
      <c r="E2173" s="4" t="s">
        <v>745</v>
      </c>
      <c r="F2173" t="s">
        <v>675</v>
      </c>
      <c r="G2173" t="s">
        <v>836</v>
      </c>
      <c r="H2173" s="4" t="s">
        <v>55</v>
      </c>
      <c r="I2173" s="4" t="s">
        <v>21</v>
      </c>
      <c r="J2173" s="4" t="s">
        <v>55</v>
      </c>
      <c r="K2173" s="4" t="s">
        <v>21</v>
      </c>
      <c r="L2173" s="4" t="s">
        <v>742</v>
      </c>
      <c r="M2173" s="17">
        <v>27</v>
      </c>
      <c r="N2173" s="17">
        <v>917</v>
      </c>
      <c r="O2173" s="18" t="s">
        <v>55</v>
      </c>
      <c r="P2173" s="18">
        <v>917</v>
      </c>
      <c r="Q2173" s="18">
        <v>27</v>
      </c>
      <c r="R2173" s="28" t="s">
        <v>931</v>
      </c>
      <c r="S2173" s="28" t="s">
        <v>825</v>
      </c>
      <c r="T2173" s="28" t="s">
        <v>781</v>
      </c>
      <c r="U21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73" s="19">
        <f>IF(AUDITORIA[[#This Row],[CAT]]="",0,1)</f>
        <v>1</v>
      </c>
      <c r="W2173" s="20">
        <v>46232</v>
      </c>
      <c r="X2173" s="21" t="s">
        <v>906</v>
      </c>
      <c r="Y2173" s="24" t="s">
        <v>901</v>
      </c>
      <c r="Z2173" s="24" t="s">
        <v>902</v>
      </c>
      <c r="AA2173" s="24" t="s">
        <v>903</v>
      </c>
    </row>
    <row r="2174" spans="1:27" ht="14.4" hidden="1" customHeight="1" x14ac:dyDescent="0.3">
      <c r="A2174" s="4" t="s">
        <v>0</v>
      </c>
      <c r="B2174" s="4" t="s">
        <v>17</v>
      </c>
      <c r="C2174" s="16" t="s">
        <v>18</v>
      </c>
      <c r="D2174" s="4">
        <v>10</v>
      </c>
      <c r="E2174" s="4" t="s">
        <v>745</v>
      </c>
      <c r="F2174" t="s">
        <v>673</v>
      </c>
      <c r="G2174" t="s">
        <v>836</v>
      </c>
      <c r="H2174" s="4" t="s">
        <v>55</v>
      </c>
      <c r="I2174" s="4" t="s">
        <v>21</v>
      </c>
      <c r="J2174" s="4" t="s">
        <v>55</v>
      </c>
      <c r="K2174" s="4" t="s">
        <v>21</v>
      </c>
      <c r="L2174" s="4" t="s">
        <v>742</v>
      </c>
      <c r="M2174" s="17">
        <v>30</v>
      </c>
      <c r="N2174" s="17">
        <v>909</v>
      </c>
      <c r="O2174" s="18" t="s">
        <v>55</v>
      </c>
      <c r="P2174" s="18">
        <v>909</v>
      </c>
      <c r="Q2174" s="18">
        <v>30</v>
      </c>
      <c r="R2174" s="18" t="s">
        <v>931</v>
      </c>
      <c r="S2174" s="18" t="s">
        <v>808</v>
      </c>
      <c r="T2174" s="28" t="s">
        <v>782</v>
      </c>
      <c r="U21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74" s="19">
        <f>IF(AUDITORIA[[#This Row],[CAT]]="",0,1)</f>
        <v>1</v>
      </c>
      <c r="W2174" s="20">
        <v>46232</v>
      </c>
      <c r="X2174" s="21" t="s">
        <v>906</v>
      </c>
      <c r="Y2174" s="24" t="s">
        <v>901</v>
      </c>
      <c r="Z2174" s="24" t="s">
        <v>902</v>
      </c>
      <c r="AA2174" s="24" t="s">
        <v>903</v>
      </c>
    </row>
    <row r="2175" spans="1:27" ht="14.4" hidden="1" customHeight="1" x14ac:dyDescent="0.3">
      <c r="A2175" s="4" t="s">
        <v>0</v>
      </c>
      <c r="B2175" s="4" t="s">
        <v>17</v>
      </c>
      <c r="C2175" s="16" t="s">
        <v>18</v>
      </c>
      <c r="D2175" s="4">
        <v>10</v>
      </c>
      <c r="E2175" s="4" t="s">
        <v>745</v>
      </c>
      <c r="F2175" t="s">
        <v>672</v>
      </c>
      <c r="G2175" t="s">
        <v>836</v>
      </c>
      <c r="H2175" s="4" t="s">
        <v>55</v>
      </c>
      <c r="I2175" s="4" t="s">
        <v>20</v>
      </c>
      <c r="J2175" s="4" t="s">
        <v>55</v>
      </c>
      <c r="K2175" s="4" t="s">
        <v>20</v>
      </c>
      <c r="L2175" s="4" t="s">
        <v>742</v>
      </c>
      <c r="M2175" s="17">
        <v>30</v>
      </c>
      <c r="N2175" s="17">
        <v>701</v>
      </c>
      <c r="O2175" s="18" t="s">
        <v>55</v>
      </c>
      <c r="P2175" s="18">
        <v>701</v>
      </c>
      <c r="Q2175" s="18">
        <v>30</v>
      </c>
      <c r="R2175" s="28" t="s">
        <v>931</v>
      </c>
      <c r="S2175" s="28" t="s">
        <v>922</v>
      </c>
      <c r="T2175" s="28" t="s">
        <v>794</v>
      </c>
      <c r="U21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75" s="19">
        <f>IF(AUDITORIA[[#This Row],[CAT]]="",0,1)</f>
        <v>1</v>
      </c>
      <c r="W2175" s="20">
        <v>46232</v>
      </c>
      <c r="X2175" s="21" t="s">
        <v>906</v>
      </c>
      <c r="Y2175" s="24" t="s">
        <v>901</v>
      </c>
      <c r="Z2175" s="24" t="s">
        <v>902</v>
      </c>
      <c r="AA2175" s="24" t="s">
        <v>903</v>
      </c>
    </row>
    <row r="2176" spans="1:27" ht="14.4" hidden="1" customHeight="1" x14ac:dyDescent="0.3">
      <c r="A2176" s="4" t="s">
        <v>0</v>
      </c>
      <c r="B2176" s="4" t="s">
        <v>17</v>
      </c>
      <c r="C2176" s="16" t="s">
        <v>18</v>
      </c>
      <c r="D2176" s="4">
        <v>10</v>
      </c>
      <c r="E2176" s="4" t="s">
        <v>745</v>
      </c>
      <c r="F2176" t="s">
        <v>671</v>
      </c>
      <c r="G2176" t="s">
        <v>836</v>
      </c>
      <c r="H2176" s="4" t="s">
        <v>55</v>
      </c>
      <c r="I2176" s="4" t="s">
        <v>21</v>
      </c>
      <c r="J2176" s="4" t="s">
        <v>55</v>
      </c>
      <c r="K2176" s="4" t="s">
        <v>21</v>
      </c>
      <c r="L2176" s="4" t="s">
        <v>742</v>
      </c>
      <c r="M2176" s="17">
        <v>30</v>
      </c>
      <c r="N2176" s="17">
        <v>887</v>
      </c>
      <c r="O2176" s="18" t="s">
        <v>55</v>
      </c>
      <c r="P2176" s="18">
        <v>887</v>
      </c>
      <c r="Q2176" s="18">
        <v>30</v>
      </c>
      <c r="R2176" s="28" t="s">
        <v>931</v>
      </c>
      <c r="S2176" s="28" t="s">
        <v>927</v>
      </c>
      <c r="T2176" s="28" t="s">
        <v>794</v>
      </c>
      <c r="U21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76" s="19">
        <f>IF(AUDITORIA[[#This Row],[CAT]]="",0,1)</f>
        <v>1</v>
      </c>
      <c r="W2176" s="20">
        <v>46232</v>
      </c>
      <c r="X2176" s="21" t="s">
        <v>906</v>
      </c>
      <c r="Y2176" s="24" t="s">
        <v>901</v>
      </c>
      <c r="Z2176" s="24" t="s">
        <v>902</v>
      </c>
      <c r="AA2176" s="24" t="s">
        <v>903</v>
      </c>
    </row>
    <row r="2177" spans="1:27" ht="14.4" hidden="1" customHeight="1" x14ac:dyDescent="0.3">
      <c r="A2177" s="4" t="s">
        <v>0</v>
      </c>
      <c r="B2177" s="4" t="s">
        <v>17</v>
      </c>
      <c r="C2177" s="16" t="s">
        <v>18</v>
      </c>
      <c r="D2177" s="4">
        <v>10</v>
      </c>
      <c r="E2177" s="4" t="s">
        <v>745</v>
      </c>
      <c r="F2177" t="s">
        <v>669</v>
      </c>
      <c r="G2177" t="s">
        <v>836</v>
      </c>
      <c r="H2177" s="4" t="s">
        <v>55</v>
      </c>
      <c r="I2177" s="4" t="s">
        <v>20</v>
      </c>
      <c r="J2177" s="4" t="s">
        <v>55</v>
      </c>
      <c r="K2177" s="4" t="s">
        <v>20</v>
      </c>
      <c r="L2177" s="4" t="s">
        <v>742</v>
      </c>
      <c r="M2177" s="17">
        <v>30</v>
      </c>
      <c r="N2177" s="17">
        <v>700</v>
      </c>
      <c r="O2177" s="18" t="s">
        <v>55</v>
      </c>
      <c r="P2177" s="18">
        <v>700</v>
      </c>
      <c r="Q2177" s="18">
        <v>30</v>
      </c>
      <c r="R2177" s="28" t="s">
        <v>931</v>
      </c>
      <c r="S2177" s="28" t="s">
        <v>927</v>
      </c>
      <c r="T2177" s="28" t="s">
        <v>782</v>
      </c>
      <c r="U21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77" s="19">
        <f>IF(AUDITORIA[[#This Row],[CAT]]="",0,1)</f>
        <v>1</v>
      </c>
      <c r="W2177" s="20">
        <v>46232</v>
      </c>
      <c r="X2177" s="21" t="s">
        <v>906</v>
      </c>
      <c r="Y2177" s="24" t="s">
        <v>901</v>
      </c>
      <c r="Z2177" s="24" t="s">
        <v>902</v>
      </c>
      <c r="AA2177" s="24" t="s">
        <v>903</v>
      </c>
    </row>
    <row r="2178" spans="1:27" ht="14.4" hidden="1" customHeight="1" x14ac:dyDescent="0.3">
      <c r="A2178" s="4" t="s">
        <v>0</v>
      </c>
      <c r="B2178" s="4" t="s">
        <v>17</v>
      </c>
      <c r="C2178" s="16" t="s">
        <v>18</v>
      </c>
      <c r="D2178" s="4">
        <v>10</v>
      </c>
      <c r="E2178" s="4" t="s">
        <v>745</v>
      </c>
      <c r="F2178" t="s">
        <v>670</v>
      </c>
      <c r="G2178" t="s">
        <v>836</v>
      </c>
      <c r="H2178" s="4" t="s">
        <v>55</v>
      </c>
      <c r="I2178" s="4" t="s">
        <v>21</v>
      </c>
      <c r="J2178" s="4" t="s">
        <v>55</v>
      </c>
      <c r="K2178" s="4" t="s">
        <v>21</v>
      </c>
      <c r="L2178" s="4" t="s">
        <v>742</v>
      </c>
      <c r="M2178" s="17">
        <v>30</v>
      </c>
      <c r="N2178" s="17">
        <v>904</v>
      </c>
      <c r="O2178" s="18" t="s">
        <v>55</v>
      </c>
      <c r="P2178" s="18">
        <v>904</v>
      </c>
      <c r="Q2178" s="18">
        <v>30</v>
      </c>
      <c r="R2178" s="28" t="s">
        <v>931</v>
      </c>
      <c r="S2178" s="28" t="s">
        <v>921</v>
      </c>
      <c r="T2178" s="28" t="s">
        <v>794</v>
      </c>
      <c r="U21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78" s="19">
        <f>IF(AUDITORIA[[#This Row],[CAT]]="",0,1)</f>
        <v>1</v>
      </c>
      <c r="W2178" s="20">
        <v>46232</v>
      </c>
      <c r="X2178" s="21" t="s">
        <v>906</v>
      </c>
      <c r="Y2178" s="24" t="s">
        <v>901</v>
      </c>
      <c r="Z2178" s="24" t="s">
        <v>902</v>
      </c>
      <c r="AA2178" s="24" t="s">
        <v>903</v>
      </c>
    </row>
    <row r="2179" spans="1:27" ht="14.4" hidden="1" customHeight="1" x14ac:dyDescent="0.3">
      <c r="A2179" s="4" t="s">
        <v>0</v>
      </c>
      <c r="B2179" s="4" t="s">
        <v>17</v>
      </c>
      <c r="C2179" s="16" t="s">
        <v>18</v>
      </c>
      <c r="D2179" s="4">
        <v>10</v>
      </c>
      <c r="E2179" s="4" t="s">
        <v>745</v>
      </c>
      <c r="F2179" t="s">
        <v>668</v>
      </c>
      <c r="G2179" t="s">
        <v>836</v>
      </c>
      <c r="H2179" s="4" t="s">
        <v>55</v>
      </c>
      <c r="I2179" s="4" t="s">
        <v>21</v>
      </c>
      <c r="J2179" s="4" t="s">
        <v>55</v>
      </c>
      <c r="K2179" s="4" t="s">
        <v>21</v>
      </c>
      <c r="L2179" s="4" t="s">
        <v>742</v>
      </c>
      <c r="M2179" s="17">
        <v>27</v>
      </c>
      <c r="N2179" s="17">
        <v>920</v>
      </c>
      <c r="O2179" s="18" t="s">
        <v>55</v>
      </c>
      <c r="P2179" s="18">
        <v>920</v>
      </c>
      <c r="Q2179" s="18">
        <v>27</v>
      </c>
      <c r="R2179" s="28" t="s">
        <v>931</v>
      </c>
      <c r="S2179" s="28" t="s">
        <v>926</v>
      </c>
      <c r="T2179" s="28" t="s">
        <v>794</v>
      </c>
      <c r="U21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79" s="19">
        <f>IF(AUDITORIA[[#This Row],[CAT]]="",0,1)</f>
        <v>1</v>
      </c>
      <c r="W2179" s="20">
        <v>46232</v>
      </c>
      <c r="X2179" s="21" t="s">
        <v>906</v>
      </c>
      <c r="Y2179" s="24" t="s">
        <v>901</v>
      </c>
      <c r="Z2179" s="24" t="s">
        <v>902</v>
      </c>
      <c r="AA2179" s="24" t="s">
        <v>903</v>
      </c>
    </row>
    <row r="2180" spans="1:27" ht="14.4" hidden="1" customHeight="1" x14ac:dyDescent="0.3">
      <c r="A2180" s="4" t="s">
        <v>0</v>
      </c>
      <c r="B2180" s="4" t="s">
        <v>17</v>
      </c>
      <c r="C2180" s="16" t="s">
        <v>18</v>
      </c>
      <c r="D2180" s="4">
        <v>10</v>
      </c>
      <c r="E2180" s="4" t="s">
        <v>745</v>
      </c>
      <c r="F2180" t="s">
        <v>666</v>
      </c>
      <c r="G2180" t="s">
        <v>836</v>
      </c>
      <c r="H2180" s="4" t="s">
        <v>55</v>
      </c>
      <c r="I2180" s="4" t="s">
        <v>20</v>
      </c>
      <c r="J2180" s="4" t="s">
        <v>55</v>
      </c>
      <c r="K2180" s="4" t="s">
        <v>20</v>
      </c>
      <c r="L2180" s="4" t="s">
        <v>742</v>
      </c>
      <c r="M2180" s="17">
        <v>30</v>
      </c>
      <c r="N2180" s="17">
        <v>708</v>
      </c>
      <c r="O2180" s="18" t="s">
        <v>55</v>
      </c>
      <c r="P2180" s="18">
        <v>708</v>
      </c>
      <c r="Q2180" s="18">
        <v>30</v>
      </c>
      <c r="R2180" s="28" t="s">
        <v>931</v>
      </c>
      <c r="S2180" s="28" t="s">
        <v>823</v>
      </c>
      <c r="T2180" s="28" t="s">
        <v>781</v>
      </c>
      <c r="U21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80" s="19">
        <f>IF(AUDITORIA[[#This Row],[CAT]]="",0,1)</f>
        <v>1</v>
      </c>
      <c r="W2180" s="20">
        <v>46232</v>
      </c>
      <c r="X2180" s="21" t="s">
        <v>906</v>
      </c>
      <c r="Y2180" s="24" t="s">
        <v>901</v>
      </c>
      <c r="Z2180" s="24" t="s">
        <v>902</v>
      </c>
      <c r="AA2180" s="24" t="s">
        <v>903</v>
      </c>
    </row>
    <row r="2181" spans="1:27" ht="14.4" hidden="1" customHeight="1" x14ac:dyDescent="0.3">
      <c r="A2181" s="4" t="s">
        <v>0</v>
      </c>
      <c r="B2181" s="4" t="s">
        <v>17</v>
      </c>
      <c r="C2181" s="16" t="s">
        <v>18</v>
      </c>
      <c r="D2181" s="4">
        <v>10</v>
      </c>
      <c r="E2181" s="4" t="s">
        <v>745</v>
      </c>
      <c r="F2181" t="s">
        <v>667</v>
      </c>
      <c r="G2181" t="s">
        <v>836</v>
      </c>
      <c r="H2181" s="4" t="s">
        <v>55</v>
      </c>
      <c r="I2181" s="4" t="s">
        <v>21</v>
      </c>
      <c r="J2181" s="4" t="s">
        <v>55</v>
      </c>
      <c r="K2181" s="4" t="s">
        <v>21</v>
      </c>
      <c r="L2181" s="4" t="s">
        <v>742</v>
      </c>
      <c r="M2181" s="17">
        <v>30</v>
      </c>
      <c r="N2181" s="17">
        <v>894</v>
      </c>
      <c r="O2181" s="18" t="s">
        <v>55</v>
      </c>
      <c r="P2181" s="18">
        <v>894</v>
      </c>
      <c r="Q2181" s="18">
        <v>30</v>
      </c>
      <c r="R2181" s="28" t="s">
        <v>931</v>
      </c>
      <c r="S2181" s="28" t="s">
        <v>824</v>
      </c>
      <c r="T2181" s="28" t="s">
        <v>939</v>
      </c>
      <c r="U21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81" s="19">
        <f>IF(AUDITORIA[[#This Row],[CAT]]="",0,1)</f>
        <v>1</v>
      </c>
      <c r="W2181" s="20">
        <v>46232</v>
      </c>
      <c r="X2181" s="21" t="s">
        <v>906</v>
      </c>
      <c r="Y2181" s="24" t="s">
        <v>901</v>
      </c>
      <c r="Z2181" s="24" t="s">
        <v>902</v>
      </c>
      <c r="AA2181" s="24" t="s">
        <v>903</v>
      </c>
    </row>
    <row r="2182" spans="1:27" ht="14.4" hidden="1" customHeight="1" x14ac:dyDescent="0.3">
      <c r="A2182" s="4" t="s">
        <v>0</v>
      </c>
      <c r="B2182" s="4" t="s">
        <v>17</v>
      </c>
      <c r="C2182" s="16" t="s">
        <v>18</v>
      </c>
      <c r="D2182" s="4">
        <v>10</v>
      </c>
      <c r="E2182" s="4" t="s">
        <v>745</v>
      </c>
      <c r="F2182" t="s">
        <v>663</v>
      </c>
      <c r="G2182" t="s">
        <v>836</v>
      </c>
      <c r="H2182" s="4" t="s">
        <v>55</v>
      </c>
      <c r="I2182" s="4" t="s">
        <v>21</v>
      </c>
      <c r="J2182" s="4" t="s">
        <v>55</v>
      </c>
      <c r="K2182" s="4" t="s">
        <v>21</v>
      </c>
      <c r="L2182" s="4" t="s">
        <v>742</v>
      </c>
      <c r="M2182" s="17">
        <v>30</v>
      </c>
      <c r="N2182" s="17">
        <v>903</v>
      </c>
      <c r="O2182" s="18" t="s">
        <v>55</v>
      </c>
      <c r="P2182" s="18">
        <v>903</v>
      </c>
      <c r="Q2182" s="18">
        <v>30</v>
      </c>
      <c r="R2182" s="28" t="s">
        <v>931</v>
      </c>
      <c r="S2182" s="28" t="s">
        <v>921</v>
      </c>
      <c r="T2182" s="28" t="s">
        <v>782</v>
      </c>
      <c r="U21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82" s="19">
        <f>IF(AUDITORIA[[#This Row],[CAT]]="",0,1)</f>
        <v>1</v>
      </c>
      <c r="W2182" s="20">
        <v>46232</v>
      </c>
      <c r="X2182" s="21" t="s">
        <v>906</v>
      </c>
      <c r="Y2182" s="24" t="s">
        <v>901</v>
      </c>
      <c r="Z2182" s="24" t="s">
        <v>902</v>
      </c>
      <c r="AA2182" s="24" t="s">
        <v>903</v>
      </c>
    </row>
    <row r="2183" spans="1:27" ht="14.4" hidden="1" customHeight="1" x14ac:dyDescent="0.3">
      <c r="A2183" s="4" t="s">
        <v>0</v>
      </c>
      <c r="B2183" s="4" t="s">
        <v>17</v>
      </c>
      <c r="C2183" s="16" t="s">
        <v>18</v>
      </c>
      <c r="D2183" s="4">
        <v>10</v>
      </c>
      <c r="E2183" s="4" t="s">
        <v>745</v>
      </c>
      <c r="F2183" t="s">
        <v>665</v>
      </c>
      <c r="G2183" t="s">
        <v>836</v>
      </c>
      <c r="H2183" s="4" t="s">
        <v>55</v>
      </c>
      <c r="I2183" s="4" t="s">
        <v>20</v>
      </c>
      <c r="J2183" s="4" t="s">
        <v>55</v>
      </c>
      <c r="K2183" s="4" t="s">
        <v>20</v>
      </c>
      <c r="L2183" s="4" t="s">
        <v>742</v>
      </c>
      <c r="M2183" s="17">
        <v>30</v>
      </c>
      <c r="N2183" s="17">
        <v>702</v>
      </c>
      <c r="O2183" s="18" t="s">
        <v>55</v>
      </c>
      <c r="P2183" s="18">
        <v>702</v>
      </c>
      <c r="Q2183" s="18">
        <v>30</v>
      </c>
      <c r="R2183" s="28" t="s">
        <v>931</v>
      </c>
      <c r="S2183" s="28" t="s">
        <v>922</v>
      </c>
      <c r="T2183" s="28" t="s">
        <v>782</v>
      </c>
      <c r="U21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83" s="19">
        <f>IF(AUDITORIA[[#This Row],[CAT]]="",0,1)</f>
        <v>1</v>
      </c>
      <c r="W2183" s="20">
        <v>46232</v>
      </c>
      <c r="X2183" s="21" t="s">
        <v>906</v>
      </c>
      <c r="Y2183" s="24" t="s">
        <v>901</v>
      </c>
      <c r="Z2183" s="24" t="s">
        <v>902</v>
      </c>
      <c r="AA2183" s="24" t="s">
        <v>903</v>
      </c>
    </row>
    <row r="2184" spans="1:27" ht="14.4" hidden="1" customHeight="1" x14ac:dyDescent="0.3">
      <c r="A2184" s="4" t="s">
        <v>0</v>
      </c>
      <c r="B2184" s="4" t="s">
        <v>17</v>
      </c>
      <c r="C2184" s="16" t="s">
        <v>18</v>
      </c>
      <c r="D2184" s="4">
        <v>10</v>
      </c>
      <c r="E2184" s="4" t="s">
        <v>745</v>
      </c>
      <c r="F2184" t="s">
        <v>664</v>
      </c>
      <c r="G2184" t="s">
        <v>836</v>
      </c>
      <c r="H2184" s="4" t="s">
        <v>55</v>
      </c>
      <c r="I2184" s="4" t="s">
        <v>21</v>
      </c>
      <c r="J2184" s="4" t="s">
        <v>55</v>
      </c>
      <c r="K2184" s="4" t="s">
        <v>21</v>
      </c>
      <c r="L2184" s="4" t="s">
        <v>742</v>
      </c>
      <c r="M2184" s="17">
        <v>27</v>
      </c>
      <c r="N2184" s="17">
        <v>918</v>
      </c>
      <c r="O2184" s="18" t="s">
        <v>55</v>
      </c>
      <c r="P2184" s="18">
        <v>918</v>
      </c>
      <c r="Q2184" s="18">
        <v>27</v>
      </c>
      <c r="R2184" s="28" t="s">
        <v>931</v>
      </c>
      <c r="S2184" s="28" t="s">
        <v>822</v>
      </c>
      <c r="T2184" s="28" t="s">
        <v>781</v>
      </c>
      <c r="U21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84" s="19">
        <f>IF(AUDITORIA[[#This Row],[CAT]]="",0,1)</f>
        <v>1</v>
      </c>
      <c r="W2184" s="20">
        <v>46232</v>
      </c>
      <c r="X2184" s="21" t="s">
        <v>906</v>
      </c>
      <c r="Y2184" s="24" t="s">
        <v>901</v>
      </c>
      <c r="Z2184" s="24" t="s">
        <v>902</v>
      </c>
      <c r="AA2184" s="24" t="s">
        <v>903</v>
      </c>
    </row>
    <row r="2185" spans="1:27" ht="14.4" hidden="1" customHeight="1" x14ac:dyDescent="0.3">
      <c r="A2185" s="4" t="s">
        <v>0</v>
      </c>
      <c r="B2185" s="4" t="s">
        <v>17</v>
      </c>
      <c r="C2185" s="16" t="s">
        <v>18</v>
      </c>
      <c r="D2185" s="4">
        <v>10</v>
      </c>
      <c r="E2185" s="4" t="s">
        <v>745</v>
      </c>
      <c r="F2185" t="s">
        <v>662</v>
      </c>
      <c r="G2185" t="s">
        <v>836</v>
      </c>
      <c r="H2185" s="4" t="s">
        <v>55</v>
      </c>
      <c r="I2185" s="4" t="s">
        <v>20</v>
      </c>
      <c r="J2185" s="4" t="s">
        <v>55</v>
      </c>
      <c r="K2185" s="4" t="s">
        <v>20</v>
      </c>
      <c r="L2185" s="4" t="s">
        <v>742</v>
      </c>
      <c r="M2185" s="17">
        <v>30</v>
      </c>
      <c r="N2185" s="17">
        <v>692</v>
      </c>
      <c r="O2185" s="18" t="s">
        <v>55</v>
      </c>
      <c r="P2185" s="18">
        <v>692</v>
      </c>
      <c r="Q2185" s="18">
        <v>30</v>
      </c>
      <c r="R2185" s="28" t="s">
        <v>931</v>
      </c>
      <c r="S2185" s="28" t="s">
        <v>823</v>
      </c>
      <c r="T2185" s="28" t="s">
        <v>940</v>
      </c>
      <c r="U21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85" s="19">
        <f>IF(AUDITORIA[[#This Row],[CAT]]="",0,1)</f>
        <v>1</v>
      </c>
      <c r="W2185" s="20">
        <v>46232</v>
      </c>
      <c r="X2185" s="21" t="s">
        <v>906</v>
      </c>
      <c r="Y2185" s="24" t="s">
        <v>901</v>
      </c>
      <c r="Z2185" s="24" t="s">
        <v>902</v>
      </c>
      <c r="AA2185" s="24" t="s">
        <v>903</v>
      </c>
    </row>
    <row r="2186" spans="1:27" ht="14.4" hidden="1" customHeight="1" x14ac:dyDescent="0.3">
      <c r="A2186" s="4" t="s">
        <v>0</v>
      </c>
      <c r="B2186" s="4" t="s">
        <v>17</v>
      </c>
      <c r="C2186" s="16" t="s">
        <v>18</v>
      </c>
      <c r="D2186" s="4">
        <v>10</v>
      </c>
      <c r="E2186" s="4" t="s">
        <v>745</v>
      </c>
      <c r="F2186" t="s">
        <v>661</v>
      </c>
      <c r="G2186" t="s">
        <v>836</v>
      </c>
      <c r="H2186" s="4" t="s">
        <v>55</v>
      </c>
      <c r="I2186" s="4" t="s">
        <v>21</v>
      </c>
      <c r="J2186" s="4" t="s">
        <v>55</v>
      </c>
      <c r="K2186" s="4" t="s">
        <v>21</v>
      </c>
      <c r="L2186" s="4" t="s">
        <v>742</v>
      </c>
      <c r="M2186" s="17">
        <v>30</v>
      </c>
      <c r="N2186" s="17">
        <v>884</v>
      </c>
      <c r="O2186" s="18" t="s">
        <v>55</v>
      </c>
      <c r="P2186" s="18">
        <v>884</v>
      </c>
      <c r="Q2186" s="18">
        <v>30</v>
      </c>
      <c r="R2186" s="28" t="s">
        <v>931</v>
      </c>
      <c r="S2186" s="28" t="s">
        <v>822</v>
      </c>
      <c r="T2186" s="28" t="s">
        <v>940</v>
      </c>
      <c r="U21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86" s="19">
        <f>IF(AUDITORIA[[#This Row],[CAT]]="",0,1)</f>
        <v>1</v>
      </c>
      <c r="W2186" s="20">
        <v>46232</v>
      </c>
      <c r="X2186" s="21" t="s">
        <v>906</v>
      </c>
      <c r="Y2186" s="24" t="s">
        <v>901</v>
      </c>
      <c r="Z2186" s="24" t="s">
        <v>902</v>
      </c>
      <c r="AA2186" s="24" t="s">
        <v>903</v>
      </c>
    </row>
    <row r="2187" spans="1:27" ht="14.4" hidden="1" customHeight="1" x14ac:dyDescent="0.3">
      <c r="A2187" s="4" t="s">
        <v>0</v>
      </c>
      <c r="B2187" s="4" t="s">
        <v>17</v>
      </c>
      <c r="C2187" s="16" t="s">
        <v>18</v>
      </c>
      <c r="D2187" s="4">
        <v>10</v>
      </c>
      <c r="E2187" s="4" t="s">
        <v>745</v>
      </c>
      <c r="F2187" t="s">
        <v>659</v>
      </c>
      <c r="G2187" t="s">
        <v>836</v>
      </c>
      <c r="H2187" s="4" t="s">
        <v>55</v>
      </c>
      <c r="I2187" s="4" t="s">
        <v>20</v>
      </c>
      <c r="J2187" s="4" t="s">
        <v>55</v>
      </c>
      <c r="K2187" s="4" t="s">
        <v>20</v>
      </c>
      <c r="L2187" s="4" t="s">
        <v>742</v>
      </c>
      <c r="M2187" s="17">
        <v>30</v>
      </c>
      <c r="N2187" s="17">
        <v>705</v>
      </c>
      <c r="O2187" s="18" t="s">
        <v>55</v>
      </c>
      <c r="P2187" s="18">
        <v>705</v>
      </c>
      <c r="Q2187" s="18">
        <v>30</v>
      </c>
      <c r="R2187" s="28" t="s">
        <v>931</v>
      </c>
      <c r="S2187" s="28" t="s">
        <v>816</v>
      </c>
      <c r="T2187" s="28" t="s">
        <v>781</v>
      </c>
      <c r="U21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87" s="19">
        <f>IF(AUDITORIA[[#This Row],[CAT]]="",0,1)</f>
        <v>1</v>
      </c>
      <c r="W2187" s="20">
        <v>46232</v>
      </c>
      <c r="X2187" s="21" t="s">
        <v>906</v>
      </c>
      <c r="Y2187" s="24" t="s">
        <v>901</v>
      </c>
      <c r="Z2187" s="24" t="s">
        <v>902</v>
      </c>
      <c r="AA2187" s="24" t="s">
        <v>903</v>
      </c>
    </row>
    <row r="2188" spans="1:27" ht="14.4" hidden="1" customHeight="1" x14ac:dyDescent="0.3">
      <c r="A2188" s="4" t="s">
        <v>0</v>
      </c>
      <c r="B2188" s="4" t="s">
        <v>17</v>
      </c>
      <c r="C2188" s="16" t="s">
        <v>18</v>
      </c>
      <c r="D2188" s="4">
        <v>10</v>
      </c>
      <c r="E2188" s="4" t="s">
        <v>745</v>
      </c>
      <c r="F2188" t="s">
        <v>660</v>
      </c>
      <c r="G2188" t="s">
        <v>836</v>
      </c>
      <c r="H2188" s="4" t="s">
        <v>55</v>
      </c>
      <c r="I2188" s="4" t="s">
        <v>21</v>
      </c>
      <c r="J2188" s="4" t="s">
        <v>55</v>
      </c>
      <c r="K2188" s="4" t="s">
        <v>21</v>
      </c>
      <c r="L2188" s="4" t="s">
        <v>742</v>
      </c>
      <c r="M2188" s="17">
        <v>30</v>
      </c>
      <c r="N2188" s="17">
        <v>901</v>
      </c>
      <c r="O2188" s="18" t="s">
        <v>55</v>
      </c>
      <c r="P2188" s="18">
        <v>901</v>
      </c>
      <c r="Q2188" s="18">
        <v>30</v>
      </c>
      <c r="R2188" s="28" t="s">
        <v>931</v>
      </c>
      <c r="S2188" s="28" t="s">
        <v>928</v>
      </c>
      <c r="T2188" s="28" t="s">
        <v>782</v>
      </c>
      <c r="U21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88" s="19">
        <f>IF(AUDITORIA[[#This Row],[CAT]]="",0,1)</f>
        <v>1</v>
      </c>
      <c r="W2188" s="20">
        <v>46232</v>
      </c>
      <c r="X2188" s="21" t="s">
        <v>906</v>
      </c>
      <c r="Y2188" s="24" t="s">
        <v>901</v>
      </c>
      <c r="Z2188" s="24" t="s">
        <v>902</v>
      </c>
      <c r="AA2188" s="24" t="s">
        <v>903</v>
      </c>
    </row>
    <row r="2189" spans="1:27" ht="14.4" hidden="1" customHeight="1" x14ac:dyDescent="0.3">
      <c r="A2189" s="4" t="s">
        <v>0</v>
      </c>
      <c r="B2189" s="4" t="s">
        <v>17</v>
      </c>
      <c r="C2189" s="16" t="s">
        <v>18</v>
      </c>
      <c r="D2189" s="4">
        <v>10</v>
      </c>
      <c r="E2189" s="4" t="s">
        <v>745</v>
      </c>
      <c r="F2189" t="s">
        <v>658</v>
      </c>
      <c r="G2189" t="s">
        <v>836</v>
      </c>
      <c r="H2189" s="4" t="s">
        <v>55</v>
      </c>
      <c r="I2189" s="4" t="s">
        <v>21</v>
      </c>
      <c r="J2189" s="4" t="s">
        <v>55</v>
      </c>
      <c r="K2189" s="4" t="s">
        <v>21</v>
      </c>
      <c r="L2189" s="4" t="s">
        <v>742</v>
      </c>
      <c r="M2189" s="17">
        <v>30</v>
      </c>
      <c r="N2189" s="17">
        <v>896</v>
      </c>
      <c r="O2189" s="18" t="s">
        <v>55</v>
      </c>
      <c r="P2189" s="18">
        <v>896</v>
      </c>
      <c r="Q2189" s="18">
        <v>30</v>
      </c>
      <c r="R2189" s="28" t="s">
        <v>931</v>
      </c>
      <c r="S2189" s="28" t="s">
        <v>928</v>
      </c>
      <c r="T2189" s="28" t="s">
        <v>794</v>
      </c>
      <c r="U21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89" s="19">
        <f>IF(AUDITORIA[[#This Row],[CAT]]="",0,1)</f>
        <v>1</v>
      </c>
      <c r="W2189" s="20">
        <v>46232</v>
      </c>
      <c r="X2189" s="21" t="s">
        <v>906</v>
      </c>
      <c r="Y2189" s="24" t="s">
        <v>901</v>
      </c>
      <c r="Z2189" s="24" t="s">
        <v>902</v>
      </c>
      <c r="AA2189" s="24" t="s">
        <v>903</v>
      </c>
    </row>
    <row r="2190" spans="1:27" ht="14.4" hidden="1" customHeight="1" x14ac:dyDescent="0.3">
      <c r="A2190" s="4" t="s">
        <v>0</v>
      </c>
      <c r="B2190" s="4" t="s">
        <v>17</v>
      </c>
      <c r="C2190" s="16" t="s">
        <v>18</v>
      </c>
      <c r="D2190" s="4">
        <v>10</v>
      </c>
      <c r="E2190" s="4" t="s">
        <v>745</v>
      </c>
      <c r="F2190" t="s">
        <v>657</v>
      </c>
      <c r="G2190" t="s">
        <v>836</v>
      </c>
      <c r="H2190" s="4" t="s">
        <v>55</v>
      </c>
      <c r="I2190" s="4" t="s">
        <v>20</v>
      </c>
      <c r="J2190" s="4" t="s">
        <v>55</v>
      </c>
      <c r="K2190" s="4" t="s">
        <v>20</v>
      </c>
      <c r="L2190" s="4" t="s">
        <v>742</v>
      </c>
      <c r="M2190" s="17">
        <v>29</v>
      </c>
      <c r="N2190" s="17">
        <v>710</v>
      </c>
      <c r="O2190" s="18" t="s">
        <v>55</v>
      </c>
      <c r="P2190" s="18">
        <v>710</v>
      </c>
      <c r="Q2190" s="18">
        <v>29</v>
      </c>
      <c r="R2190" s="18" t="str">
        <f>VLOOKUP(AUDITORIA[[#This Row],[LOTE]],[1]ENDEREÇAMENTO!$C$2:$J$9999,8,FALSE)</f>
        <v>Cam.B</v>
      </c>
      <c r="S2190" s="18" t="str">
        <f>VLOOKUP(RIGHT(AUDITORIA[[#This Row],[LOTE]],4),[2]Lotes!$A$2:$E$209,2,FALSE)</f>
        <v>QD.11</v>
      </c>
      <c r="T2190" s="18" t="str">
        <f>VLOOKUP(RIGHT(AUDITORIA[[#This Row],[LOTE]],4),[2]Lotes!$A$2:$E$209,4,FALSE)</f>
        <v>F1</v>
      </c>
      <c r="U21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90" s="19">
        <f>IF(AUDITORIA[[#This Row],[CAT]]="",0,1)</f>
        <v>1</v>
      </c>
      <c r="W2190" s="20">
        <v>46232</v>
      </c>
      <c r="X2190" s="21" t="s">
        <v>906</v>
      </c>
      <c r="Y2190" s="24" t="s">
        <v>901</v>
      </c>
      <c r="Z2190" s="24" t="s">
        <v>902</v>
      </c>
      <c r="AA2190" s="24" t="s">
        <v>903</v>
      </c>
    </row>
    <row r="2191" spans="1:27" ht="14.4" hidden="1" customHeight="1" x14ac:dyDescent="0.3">
      <c r="A2191" s="4" t="s">
        <v>0</v>
      </c>
      <c r="B2191" s="4" t="s">
        <v>17</v>
      </c>
      <c r="C2191" s="16" t="s">
        <v>18</v>
      </c>
      <c r="D2191" s="4">
        <v>10</v>
      </c>
      <c r="E2191" s="4" t="s">
        <v>745</v>
      </c>
      <c r="F2191" t="s">
        <v>656</v>
      </c>
      <c r="G2191" t="s">
        <v>836</v>
      </c>
      <c r="H2191" s="4" t="s">
        <v>55</v>
      </c>
      <c r="I2191" s="4" t="s">
        <v>21</v>
      </c>
      <c r="J2191" s="4" t="s">
        <v>55</v>
      </c>
      <c r="K2191" s="4" t="s">
        <v>21</v>
      </c>
      <c r="L2191" s="4" t="s">
        <v>742</v>
      </c>
      <c r="M2191" s="17">
        <v>24</v>
      </c>
      <c r="N2191" s="17">
        <v>925</v>
      </c>
      <c r="O2191" s="18" t="s">
        <v>55</v>
      </c>
      <c r="P2191" s="18">
        <v>925</v>
      </c>
      <c r="Q2191" s="18">
        <v>24</v>
      </c>
      <c r="R2191" s="18" t="str">
        <f>VLOOKUP(AUDITORIA[[#This Row],[LOTE]],[1]ENDEREÇAMENTO!$C$2:$J$9999,8,FALSE)</f>
        <v>Cam.B</v>
      </c>
      <c r="S2191" s="18" t="str">
        <f>VLOOKUP(RIGHT(AUDITORIA[[#This Row],[LOTE]],4),[2]Lotes!$A$2:$E$209,2,FALSE)</f>
        <v>QD.14</v>
      </c>
      <c r="T2191" s="18" t="str">
        <f>VLOOKUP(RIGHT(AUDITORIA[[#This Row],[LOTE]],4),[2]Lotes!$A$2:$E$209,4,FALSE)</f>
        <v>F2</v>
      </c>
      <c r="U21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91" s="19">
        <f>IF(AUDITORIA[[#This Row],[CAT]]="",0,1)</f>
        <v>1</v>
      </c>
      <c r="W2191" s="20">
        <v>46232</v>
      </c>
      <c r="X2191" s="21" t="s">
        <v>906</v>
      </c>
      <c r="Y2191" s="24" t="s">
        <v>901</v>
      </c>
      <c r="Z2191" s="24" t="s">
        <v>902</v>
      </c>
      <c r="AA2191" s="24" t="s">
        <v>903</v>
      </c>
    </row>
    <row r="2192" spans="1:27" ht="14.4" hidden="1" customHeight="1" x14ac:dyDescent="0.3">
      <c r="A2192" s="4" t="s">
        <v>0</v>
      </c>
      <c r="B2192" s="4" t="s">
        <v>17</v>
      </c>
      <c r="C2192" s="16" t="s">
        <v>18</v>
      </c>
      <c r="D2192" s="4">
        <v>10</v>
      </c>
      <c r="E2192" s="4" t="s">
        <v>745</v>
      </c>
      <c r="F2192" t="s">
        <v>655</v>
      </c>
      <c r="G2192" t="s">
        <v>837</v>
      </c>
      <c r="H2192" s="4" t="s">
        <v>55</v>
      </c>
      <c r="I2192" s="4" t="s">
        <v>20</v>
      </c>
      <c r="J2192" s="4" t="s">
        <v>55</v>
      </c>
      <c r="K2192" s="4" t="s">
        <v>20</v>
      </c>
      <c r="L2192" s="4" t="s">
        <v>742</v>
      </c>
      <c r="M2192" s="17">
        <v>30</v>
      </c>
      <c r="N2192" s="17">
        <v>629</v>
      </c>
      <c r="O2192" s="18" t="s">
        <v>55</v>
      </c>
      <c r="P2192" s="18">
        <v>629</v>
      </c>
      <c r="Q2192" s="18">
        <v>30</v>
      </c>
      <c r="R2192" s="18" t="s">
        <v>931</v>
      </c>
      <c r="S2192" s="18" t="s">
        <v>792</v>
      </c>
      <c r="T2192" s="18" t="str">
        <f>VLOOKUP(RIGHT(AUDITORIA[[#This Row],[LOTE]],4),[2]Lotes!$A$2:$E$209,4,FALSE)</f>
        <v>F1</v>
      </c>
      <c r="U21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92" s="19">
        <f>IF(AUDITORIA[[#This Row],[CAT]]="",0,1)</f>
        <v>1</v>
      </c>
      <c r="W2192" s="20">
        <v>46232</v>
      </c>
      <c r="X2192" s="21" t="s">
        <v>906</v>
      </c>
      <c r="Y2192" s="24" t="s">
        <v>901</v>
      </c>
      <c r="Z2192" s="24" t="s">
        <v>902</v>
      </c>
      <c r="AA2192" s="24" t="s">
        <v>903</v>
      </c>
    </row>
    <row r="2193" spans="1:27" ht="14.4" hidden="1" customHeight="1" x14ac:dyDescent="0.3">
      <c r="A2193" s="4" t="s">
        <v>0</v>
      </c>
      <c r="B2193" s="4" t="s">
        <v>17</v>
      </c>
      <c r="C2193" s="16" t="s">
        <v>18</v>
      </c>
      <c r="D2193" s="4">
        <v>10</v>
      </c>
      <c r="E2193" s="4" t="s">
        <v>745</v>
      </c>
      <c r="F2193" t="s">
        <v>654</v>
      </c>
      <c r="G2193" t="s">
        <v>837</v>
      </c>
      <c r="H2193" s="4" t="s">
        <v>55</v>
      </c>
      <c r="I2193" s="4" t="s">
        <v>21</v>
      </c>
      <c r="J2193" s="4" t="s">
        <v>55</v>
      </c>
      <c r="K2193" s="4" t="s">
        <v>21</v>
      </c>
      <c r="L2193" s="4" t="s">
        <v>742</v>
      </c>
      <c r="M2193" s="17">
        <v>30</v>
      </c>
      <c r="N2193" s="17">
        <v>814</v>
      </c>
      <c r="O2193" s="18" t="s">
        <v>55</v>
      </c>
      <c r="P2193" s="18">
        <v>814</v>
      </c>
      <c r="Q2193" s="18">
        <v>30</v>
      </c>
      <c r="R2193" s="28" t="s">
        <v>931</v>
      </c>
      <c r="S2193" s="28" t="s">
        <v>929</v>
      </c>
      <c r="T2193" s="28" t="s">
        <v>782</v>
      </c>
      <c r="U21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93" s="19">
        <f>IF(AUDITORIA[[#This Row],[CAT]]="",0,1)</f>
        <v>1</v>
      </c>
      <c r="W2193" s="20">
        <v>46232</v>
      </c>
      <c r="X2193" s="21" t="s">
        <v>906</v>
      </c>
      <c r="Y2193" s="24" t="s">
        <v>901</v>
      </c>
      <c r="Z2193" s="24" t="s">
        <v>902</v>
      </c>
      <c r="AA2193" s="24" t="s">
        <v>903</v>
      </c>
    </row>
    <row r="2194" spans="1:27" ht="14.4" hidden="1" customHeight="1" x14ac:dyDescent="0.3">
      <c r="A2194" s="4" t="s">
        <v>0</v>
      </c>
      <c r="B2194" s="4" t="s">
        <v>17</v>
      </c>
      <c r="C2194" s="16" t="s">
        <v>18</v>
      </c>
      <c r="D2194" s="4">
        <v>10</v>
      </c>
      <c r="E2194" s="4" t="s">
        <v>745</v>
      </c>
      <c r="F2194" t="s">
        <v>653</v>
      </c>
      <c r="G2194" t="s">
        <v>837</v>
      </c>
      <c r="H2194" s="4" t="s">
        <v>55</v>
      </c>
      <c r="I2194" s="4" t="s">
        <v>20</v>
      </c>
      <c r="J2194" s="4" t="s">
        <v>55</v>
      </c>
      <c r="K2194" s="4" t="s">
        <v>20</v>
      </c>
      <c r="L2194" s="4" t="s">
        <v>742</v>
      </c>
      <c r="M2194" s="17">
        <v>30</v>
      </c>
      <c r="N2194" s="17">
        <v>651</v>
      </c>
      <c r="O2194" s="18" t="s">
        <v>55</v>
      </c>
      <c r="P2194" s="18">
        <v>651</v>
      </c>
      <c r="Q2194" s="18">
        <v>30</v>
      </c>
      <c r="R2194" s="28" t="s">
        <v>931</v>
      </c>
      <c r="S2194" s="18" t="s">
        <v>792</v>
      </c>
      <c r="T2194" s="18" t="str">
        <f>VLOOKUP(RIGHT(AUDITORIA[[#This Row],[LOTE]],4),[2]Lotes!$A$2:$E$209,4,FALSE)</f>
        <v>F2</v>
      </c>
      <c r="U21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94" s="19">
        <f>IF(AUDITORIA[[#This Row],[CAT]]="",0,1)</f>
        <v>1</v>
      </c>
      <c r="W2194" s="20">
        <v>46232</v>
      </c>
      <c r="X2194" s="21" t="s">
        <v>906</v>
      </c>
      <c r="Y2194" s="24" t="s">
        <v>901</v>
      </c>
      <c r="Z2194" s="24" t="s">
        <v>902</v>
      </c>
      <c r="AA2194" s="24" t="s">
        <v>903</v>
      </c>
    </row>
    <row r="2195" spans="1:27" ht="14.4" hidden="1" customHeight="1" x14ac:dyDescent="0.3">
      <c r="A2195" s="4" t="s">
        <v>0</v>
      </c>
      <c r="B2195" s="4" t="s">
        <v>17</v>
      </c>
      <c r="C2195" s="16" t="s">
        <v>18</v>
      </c>
      <c r="D2195" s="4">
        <v>10</v>
      </c>
      <c r="E2195" s="4" t="s">
        <v>745</v>
      </c>
      <c r="F2195" t="s">
        <v>652</v>
      </c>
      <c r="G2195" t="s">
        <v>837</v>
      </c>
      <c r="H2195" s="4" t="s">
        <v>55</v>
      </c>
      <c r="I2195" s="4" t="s">
        <v>21</v>
      </c>
      <c r="J2195" s="4" t="s">
        <v>55</v>
      </c>
      <c r="K2195" s="4" t="s">
        <v>21</v>
      </c>
      <c r="L2195" s="4" t="s">
        <v>742</v>
      </c>
      <c r="M2195" s="17">
        <v>30</v>
      </c>
      <c r="N2195" s="17">
        <v>834</v>
      </c>
      <c r="O2195" s="18" t="s">
        <v>55</v>
      </c>
      <c r="P2195" s="18">
        <v>834</v>
      </c>
      <c r="Q2195" s="18">
        <v>30</v>
      </c>
      <c r="R2195" s="28" t="s">
        <v>931</v>
      </c>
      <c r="S2195" s="28" t="s">
        <v>821</v>
      </c>
      <c r="T2195" s="28" t="s">
        <v>936</v>
      </c>
      <c r="U21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95" s="19">
        <f>IF(AUDITORIA[[#This Row],[CAT]]="",0,1)</f>
        <v>1</v>
      </c>
      <c r="W2195" s="20">
        <v>46232</v>
      </c>
      <c r="X2195" s="21" t="s">
        <v>906</v>
      </c>
      <c r="Y2195" s="24" t="s">
        <v>901</v>
      </c>
      <c r="Z2195" s="24" t="s">
        <v>902</v>
      </c>
      <c r="AA2195" s="24" t="s">
        <v>903</v>
      </c>
    </row>
    <row r="2196" spans="1:27" ht="14.4" hidden="1" customHeight="1" x14ac:dyDescent="0.3">
      <c r="A2196" s="4" t="s">
        <v>0</v>
      </c>
      <c r="B2196" s="4" t="s">
        <v>17</v>
      </c>
      <c r="C2196" s="16" t="s">
        <v>18</v>
      </c>
      <c r="D2196" s="4">
        <v>10</v>
      </c>
      <c r="E2196" s="4" t="s">
        <v>745</v>
      </c>
      <c r="F2196" t="s">
        <v>651</v>
      </c>
      <c r="G2196" t="s">
        <v>837</v>
      </c>
      <c r="H2196" s="4" t="s">
        <v>55</v>
      </c>
      <c r="I2196" s="4" t="s">
        <v>20</v>
      </c>
      <c r="J2196" s="4" t="s">
        <v>55</v>
      </c>
      <c r="K2196" s="4" t="s">
        <v>20</v>
      </c>
      <c r="L2196" s="4" t="s">
        <v>742</v>
      </c>
      <c r="M2196" s="17">
        <v>30</v>
      </c>
      <c r="N2196" s="17">
        <v>628</v>
      </c>
      <c r="O2196" s="18" t="s">
        <v>55</v>
      </c>
      <c r="P2196" s="18">
        <v>628</v>
      </c>
      <c r="Q2196" s="18">
        <v>30</v>
      </c>
      <c r="R2196" s="28" t="s">
        <v>931</v>
      </c>
      <c r="S2196" s="18" t="s">
        <v>779</v>
      </c>
      <c r="T2196" s="18" t="str">
        <f>VLOOKUP(RIGHT(AUDITORIA[[#This Row],[LOTE]],4),[2]Lotes!$A$2:$E$209,4,FALSE)</f>
        <v>F3</v>
      </c>
      <c r="U21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96" s="19">
        <f>IF(AUDITORIA[[#This Row],[CAT]]="",0,1)</f>
        <v>1</v>
      </c>
      <c r="W2196" s="20">
        <v>46232</v>
      </c>
      <c r="X2196" s="21" t="s">
        <v>906</v>
      </c>
      <c r="Y2196" s="24" t="s">
        <v>901</v>
      </c>
      <c r="Z2196" s="24" t="s">
        <v>902</v>
      </c>
      <c r="AA2196" s="24" t="s">
        <v>903</v>
      </c>
    </row>
    <row r="2197" spans="1:27" ht="14.4" hidden="1" customHeight="1" x14ac:dyDescent="0.3">
      <c r="A2197" s="4" t="s">
        <v>0</v>
      </c>
      <c r="B2197" s="4" t="s">
        <v>17</v>
      </c>
      <c r="C2197" s="16" t="s">
        <v>18</v>
      </c>
      <c r="D2197" s="4">
        <v>10</v>
      </c>
      <c r="E2197" s="4" t="s">
        <v>745</v>
      </c>
      <c r="F2197" t="s">
        <v>650</v>
      </c>
      <c r="G2197" t="s">
        <v>837</v>
      </c>
      <c r="H2197" s="4" t="s">
        <v>55</v>
      </c>
      <c r="I2197" s="4" t="s">
        <v>21</v>
      </c>
      <c r="J2197" s="4" t="s">
        <v>55</v>
      </c>
      <c r="K2197" s="4" t="s">
        <v>21</v>
      </c>
      <c r="L2197" s="4" t="s">
        <v>742</v>
      </c>
      <c r="M2197" s="17">
        <v>30</v>
      </c>
      <c r="N2197" s="17">
        <v>828</v>
      </c>
      <c r="O2197" s="18" t="s">
        <v>55</v>
      </c>
      <c r="P2197" s="18">
        <v>828</v>
      </c>
      <c r="Q2197" s="18">
        <v>30</v>
      </c>
      <c r="R2197" s="28" t="s">
        <v>931</v>
      </c>
      <c r="S2197" s="28" t="s">
        <v>779</v>
      </c>
      <c r="T2197" s="28" t="s">
        <v>935</v>
      </c>
      <c r="U21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97" s="19">
        <f>IF(AUDITORIA[[#This Row],[CAT]]="",0,1)</f>
        <v>1</v>
      </c>
      <c r="W2197" s="20">
        <v>46232</v>
      </c>
      <c r="X2197" s="21" t="s">
        <v>906</v>
      </c>
      <c r="Y2197" s="24" t="s">
        <v>901</v>
      </c>
      <c r="Z2197" s="24" t="s">
        <v>902</v>
      </c>
      <c r="AA2197" s="24" t="s">
        <v>903</v>
      </c>
    </row>
    <row r="2198" spans="1:27" ht="14.4" hidden="1" customHeight="1" x14ac:dyDescent="0.3">
      <c r="A2198" s="4" t="s">
        <v>0</v>
      </c>
      <c r="B2198" s="4" t="s">
        <v>17</v>
      </c>
      <c r="C2198" s="16" t="s">
        <v>18</v>
      </c>
      <c r="D2198" s="4">
        <v>10</v>
      </c>
      <c r="E2198" s="4" t="s">
        <v>745</v>
      </c>
      <c r="F2198" t="s">
        <v>649</v>
      </c>
      <c r="G2198" t="s">
        <v>837</v>
      </c>
      <c r="H2198" s="4" t="s">
        <v>55</v>
      </c>
      <c r="I2198" s="4" t="s">
        <v>20</v>
      </c>
      <c r="J2198" s="4" t="s">
        <v>55</v>
      </c>
      <c r="K2198" s="4" t="s">
        <v>20</v>
      </c>
      <c r="L2198" s="4" t="s">
        <v>742</v>
      </c>
      <c r="M2198" s="17">
        <v>30</v>
      </c>
      <c r="N2198" s="17">
        <v>649</v>
      </c>
      <c r="O2198" s="18" t="s">
        <v>55</v>
      </c>
      <c r="P2198" s="18">
        <v>649</v>
      </c>
      <c r="Q2198" s="18">
        <v>30</v>
      </c>
      <c r="R2198" s="18" t="s">
        <v>931</v>
      </c>
      <c r="S2198" s="18" t="s">
        <v>789</v>
      </c>
      <c r="T2198" s="18" t="s">
        <v>782</v>
      </c>
      <c r="U21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98" s="19">
        <f>IF(AUDITORIA[[#This Row],[CAT]]="",0,1)</f>
        <v>1</v>
      </c>
      <c r="W2198" s="20">
        <v>46232</v>
      </c>
      <c r="X2198" s="21" t="s">
        <v>906</v>
      </c>
      <c r="Y2198" s="24" t="s">
        <v>901</v>
      </c>
      <c r="Z2198" s="24" t="s">
        <v>902</v>
      </c>
      <c r="AA2198" s="24" t="s">
        <v>903</v>
      </c>
    </row>
    <row r="2199" spans="1:27" ht="14.4" hidden="1" customHeight="1" x14ac:dyDescent="0.3">
      <c r="A2199" s="4" t="s">
        <v>0</v>
      </c>
      <c r="B2199" s="4" t="s">
        <v>17</v>
      </c>
      <c r="C2199" s="16" t="s">
        <v>18</v>
      </c>
      <c r="D2199" s="4">
        <v>10</v>
      </c>
      <c r="E2199" s="4" t="s">
        <v>745</v>
      </c>
      <c r="F2199" t="s">
        <v>648</v>
      </c>
      <c r="G2199" t="s">
        <v>837</v>
      </c>
      <c r="H2199" s="4" t="s">
        <v>55</v>
      </c>
      <c r="I2199" s="4" t="s">
        <v>21</v>
      </c>
      <c r="J2199" s="4" t="s">
        <v>55</v>
      </c>
      <c r="K2199" s="4" t="s">
        <v>21</v>
      </c>
      <c r="L2199" s="4" t="s">
        <v>742</v>
      </c>
      <c r="M2199" s="17">
        <v>30</v>
      </c>
      <c r="N2199" s="17">
        <v>862</v>
      </c>
      <c r="O2199" s="18" t="s">
        <v>55</v>
      </c>
      <c r="P2199" s="18">
        <v>862</v>
      </c>
      <c r="Q2199" s="18">
        <v>30</v>
      </c>
      <c r="R2199" s="28" t="s">
        <v>931</v>
      </c>
      <c r="S2199" s="28" t="s">
        <v>929</v>
      </c>
      <c r="T2199" s="28" t="s">
        <v>781</v>
      </c>
      <c r="U21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199" s="19">
        <f>IF(AUDITORIA[[#This Row],[CAT]]="",0,1)</f>
        <v>1</v>
      </c>
      <c r="W2199" s="20">
        <v>46232</v>
      </c>
      <c r="X2199" s="21" t="s">
        <v>906</v>
      </c>
      <c r="Y2199" s="24" t="s">
        <v>901</v>
      </c>
      <c r="Z2199" s="24" t="s">
        <v>902</v>
      </c>
      <c r="AA2199" s="24" t="s">
        <v>903</v>
      </c>
    </row>
    <row r="2200" spans="1:27" ht="14.4" hidden="1" customHeight="1" x14ac:dyDescent="0.3">
      <c r="A2200" s="4" t="s">
        <v>0</v>
      </c>
      <c r="B2200" s="4" t="s">
        <v>17</v>
      </c>
      <c r="C2200" s="16" t="s">
        <v>18</v>
      </c>
      <c r="D2200" s="4">
        <v>10</v>
      </c>
      <c r="E2200" s="4" t="s">
        <v>745</v>
      </c>
      <c r="F2200" t="s">
        <v>647</v>
      </c>
      <c r="G2200" t="s">
        <v>837</v>
      </c>
      <c r="H2200" s="4" t="s">
        <v>55</v>
      </c>
      <c r="I2200" s="4" t="s">
        <v>20</v>
      </c>
      <c r="J2200" s="4" t="s">
        <v>55</v>
      </c>
      <c r="K2200" s="4" t="s">
        <v>20</v>
      </c>
      <c r="L2200" s="4" t="s">
        <v>742</v>
      </c>
      <c r="M2200" s="17">
        <v>30</v>
      </c>
      <c r="N2200" s="17">
        <v>664</v>
      </c>
      <c r="O2200" s="18" t="s">
        <v>55</v>
      </c>
      <c r="P2200" s="18">
        <v>664</v>
      </c>
      <c r="Q2200" s="18">
        <v>30</v>
      </c>
      <c r="R2200" s="28" t="s">
        <v>931</v>
      </c>
      <c r="S2200" s="28" t="s">
        <v>810</v>
      </c>
      <c r="T2200" s="28" t="s">
        <v>781</v>
      </c>
      <c r="U22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00" s="19">
        <f>IF(AUDITORIA[[#This Row],[CAT]]="",0,1)</f>
        <v>1</v>
      </c>
      <c r="W2200" s="20">
        <v>46232</v>
      </c>
      <c r="X2200" s="21" t="s">
        <v>906</v>
      </c>
      <c r="Y2200" s="24" t="s">
        <v>901</v>
      </c>
      <c r="Z2200" s="24" t="s">
        <v>902</v>
      </c>
      <c r="AA2200" s="24" t="s">
        <v>903</v>
      </c>
    </row>
    <row r="2201" spans="1:27" ht="14.4" hidden="1" customHeight="1" x14ac:dyDescent="0.3">
      <c r="A2201" s="4" t="s">
        <v>0</v>
      </c>
      <c r="B2201" s="4" t="s">
        <v>17</v>
      </c>
      <c r="C2201" s="16" t="s">
        <v>18</v>
      </c>
      <c r="D2201" s="4">
        <v>10</v>
      </c>
      <c r="E2201" s="4" t="s">
        <v>745</v>
      </c>
      <c r="F2201" t="s">
        <v>646</v>
      </c>
      <c r="G2201" t="s">
        <v>837</v>
      </c>
      <c r="H2201" s="4" t="s">
        <v>55</v>
      </c>
      <c r="I2201" s="4" t="s">
        <v>21</v>
      </c>
      <c r="J2201" s="4" t="s">
        <v>55</v>
      </c>
      <c r="K2201" s="4" t="s">
        <v>21</v>
      </c>
      <c r="L2201" s="4" t="s">
        <v>742</v>
      </c>
      <c r="M2201" s="17">
        <v>30</v>
      </c>
      <c r="N2201" s="17">
        <v>852</v>
      </c>
      <c r="O2201" s="18" t="s">
        <v>55</v>
      </c>
      <c r="P2201" s="18">
        <v>852</v>
      </c>
      <c r="Q2201" s="18">
        <v>30</v>
      </c>
      <c r="R2201" s="28" t="s">
        <v>931</v>
      </c>
      <c r="S2201" s="18" t="s">
        <v>779</v>
      </c>
      <c r="T2201" s="18" t="str">
        <f>VLOOKUP(RIGHT(AUDITORIA[[#This Row],[LOTE]],4),[2]Lotes!$A$2:$E$209,4,FALSE)</f>
        <v>F2</v>
      </c>
      <c r="U22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01" s="19">
        <f>IF(AUDITORIA[[#This Row],[CAT]]="",0,1)</f>
        <v>1</v>
      </c>
      <c r="W2201" s="20">
        <v>46232</v>
      </c>
      <c r="X2201" s="21" t="s">
        <v>906</v>
      </c>
      <c r="Y2201" s="24" t="s">
        <v>901</v>
      </c>
      <c r="Z2201" s="24" t="s">
        <v>902</v>
      </c>
      <c r="AA2201" s="24" t="s">
        <v>903</v>
      </c>
    </row>
    <row r="2202" spans="1:27" ht="14.4" hidden="1" customHeight="1" x14ac:dyDescent="0.3">
      <c r="A2202" s="4" t="s">
        <v>0</v>
      </c>
      <c r="B2202" s="4" t="s">
        <v>17</v>
      </c>
      <c r="C2202" s="16" t="s">
        <v>18</v>
      </c>
      <c r="D2202" s="4">
        <v>10</v>
      </c>
      <c r="E2202" s="4" t="s">
        <v>745</v>
      </c>
      <c r="F2202" t="s">
        <v>644</v>
      </c>
      <c r="G2202" t="s">
        <v>837</v>
      </c>
      <c r="H2202" s="4" t="s">
        <v>55</v>
      </c>
      <c r="I2202" s="4" t="s">
        <v>20</v>
      </c>
      <c r="J2202" s="4" t="s">
        <v>55</v>
      </c>
      <c r="K2202" s="4" t="s">
        <v>20</v>
      </c>
      <c r="L2202" s="4" t="s">
        <v>742</v>
      </c>
      <c r="M2202" s="17">
        <v>30</v>
      </c>
      <c r="N2202" s="17">
        <v>645</v>
      </c>
      <c r="O2202" s="18" t="s">
        <v>55</v>
      </c>
      <c r="P2202" s="18">
        <v>645</v>
      </c>
      <c r="Q2202" s="18">
        <v>30</v>
      </c>
      <c r="R2202" s="28" t="s">
        <v>931</v>
      </c>
      <c r="S2202" s="28" t="s">
        <v>810</v>
      </c>
      <c r="T2202" s="28" t="s">
        <v>781</v>
      </c>
      <c r="U22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02" s="19">
        <f>IF(AUDITORIA[[#This Row],[CAT]]="",0,1)</f>
        <v>1</v>
      </c>
      <c r="W2202" s="20">
        <v>46232</v>
      </c>
      <c r="X2202" s="21" t="s">
        <v>906</v>
      </c>
      <c r="Y2202" s="24" t="s">
        <v>901</v>
      </c>
      <c r="Z2202" s="24" t="s">
        <v>902</v>
      </c>
      <c r="AA2202" s="24" t="s">
        <v>903</v>
      </c>
    </row>
    <row r="2203" spans="1:27" ht="14.4" hidden="1" customHeight="1" x14ac:dyDescent="0.3">
      <c r="A2203" s="4" t="s">
        <v>0</v>
      </c>
      <c r="B2203" s="4" t="s">
        <v>17</v>
      </c>
      <c r="C2203" s="16" t="s">
        <v>18</v>
      </c>
      <c r="D2203" s="4">
        <v>10</v>
      </c>
      <c r="E2203" s="4" t="s">
        <v>745</v>
      </c>
      <c r="F2203" t="s">
        <v>645</v>
      </c>
      <c r="G2203" t="s">
        <v>837</v>
      </c>
      <c r="H2203" s="4" t="s">
        <v>55</v>
      </c>
      <c r="I2203" s="4" t="s">
        <v>21</v>
      </c>
      <c r="J2203" s="4" t="s">
        <v>55</v>
      </c>
      <c r="K2203" s="4" t="s">
        <v>21</v>
      </c>
      <c r="L2203" s="4" t="s">
        <v>742</v>
      </c>
      <c r="M2203" s="17">
        <v>30</v>
      </c>
      <c r="N2203" s="17">
        <v>835</v>
      </c>
      <c r="O2203" s="18" t="s">
        <v>55</v>
      </c>
      <c r="P2203" s="18">
        <v>835</v>
      </c>
      <c r="Q2203" s="18">
        <v>30</v>
      </c>
      <c r="R2203" s="28" t="s">
        <v>931</v>
      </c>
      <c r="S2203" s="28" t="s">
        <v>929</v>
      </c>
      <c r="T2203" s="28" t="s">
        <v>794</v>
      </c>
      <c r="U22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03" s="19">
        <f>IF(AUDITORIA[[#This Row],[CAT]]="",0,1)</f>
        <v>1</v>
      </c>
      <c r="W2203" s="20">
        <v>46232</v>
      </c>
      <c r="X2203" s="21" t="s">
        <v>906</v>
      </c>
      <c r="Y2203" s="24" t="s">
        <v>901</v>
      </c>
      <c r="Z2203" s="24" t="s">
        <v>902</v>
      </c>
      <c r="AA2203" s="24" t="s">
        <v>903</v>
      </c>
    </row>
    <row r="2204" spans="1:27" ht="14.4" hidden="1" customHeight="1" x14ac:dyDescent="0.3">
      <c r="A2204" s="4" t="s">
        <v>0</v>
      </c>
      <c r="B2204" s="4" t="s">
        <v>17</v>
      </c>
      <c r="C2204" s="16" t="s">
        <v>18</v>
      </c>
      <c r="D2204" s="4">
        <v>10</v>
      </c>
      <c r="E2204" s="4" t="s">
        <v>745</v>
      </c>
      <c r="F2204" t="s">
        <v>643</v>
      </c>
      <c r="G2204" t="s">
        <v>837</v>
      </c>
      <c r="H2204" s="4" t="s">
        <v>55</v>
      </c>
      <c r="I2204" s="4" t="s">
        <v>21</v>
      </c>
      <c r="J2204" s="4" t="s">
        <v>55</v>
      </c>
      <c r="K2204" s="4" t="s">
        <v>21</v>
      </c>
      <c r="L2204" s="4" t="s">
        <v>742</v>
      </c>
      <c r="M2204" s="17">
        <v>30</v>
      </c>
      <c r="N2204" s="17">
        <v>826</v>
      </c>
      <c r="O2204" s="18" t="s">
        <v>55</v>
      </c>
      <c r="P2204" s="18">
        <v>826</v>
      </c>
      <c r="Q2204" s="18">
        <v>30</v>
      </c>
      <c r="R2204" s="18" t="str">
        <f>VLOOKUP(AUDITORIA[[#This Row],[LOTE]],[1]ENDEREÇAMENTO!$C$2:$J$9999,8,FALSE)</f>
        <v>Cam.B</v>
      </c>
      <c r="S2204" s="18" t="str">
        <f>VLOOKUP(RIGHT(AUDITORIA[[#This Row],[LOTE]],4),[2]Lotes!$A$2:$E$209,2,FALSE)</f>
        <v>QD.10</v>
      </c>
      <c r="T2204" s="18" t="str">
        <f>VLOOKUP(RIGHT(AUDITORIA[[#This Row],[LOTE]],4),[2]Lotes!$A$2:$E$209,4,FALSE)</f>
        <v>F3</v>
      </c>
      <c r="U22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04" s="19">
        <f>IF(AUDITORIA[[#This Row],[CAT]]="",0,1)</f>
        <v>1</v>
      </c>
      <c r="W2204" s="20">
        <v>46232</v>
      </c>
      <c r="X2204" s="21" t="s">
        <v>906</v>
      </c>
      <c r="Y2204" s="24" t="s">
        <v>901</v>
      </c>
      <c r="Z2204" s="24" t="s">
        <v>902</v>
      </c>
      <c r="AA2204" s="24" t="s">
        <v>903</v>
      </c>
    </row>
    <row r="2205" spans="1:27" ht="14.4" hidden="1" customHeight="1" x14ac:dyDescent="0.3">
      <c r="A2205" s="4" t="s">
        <v>0</v>
      </c>
      <c r="B2205" s="4" t="s">
        <v>17</v>
      </c>
      <c r="C2205" s="16" t="s">
        <v>18</v>
      </c>
      <c r="D2205" s="4">
        <v>10</v>
      </c>
      <c r="E2205" s="4" t="s">
        <v>745</v>
      </c>
      <c r="F2205" t="s">
        <v>642</v>
      </c>
      <c r="G2205" t="s">
        <v>281</v>
      </c>
      <c r="H2205" s="4" t="s">
        <v>31</v>
      </c>
      <c r="I2205" s="4" t="s">
        <v>20</v>
      </c>
      <c r="J2205" s="4" t="s">
        <v>31</v>
      </c>
      <c r="K2205" s="4" t="s">
        <v>20</v>
      </c>
      <c r="L2205" s="4" t="s">
        <v>742</v>
      </c>
      <c r="M2205" s="17">
        <v>30</v>
      </c>
      <c r="N2205" s="17">
        <v>729</v>
      </c>
      <c r="O2205" s="18" t="s">
        <v>31</v>
      </c>
      <c r="P2205" s="18">
        <v>729</v>
      </c>
      <c r="Q2205" s="18">
        <v>30</v>
      </c>
      <c r="R2205" s="18" t="str">
        <f>VLOOKUP(AUDITORIA[[#This Row],[LOTE]],[1]ENDEREÇAMENTO!$C$2:$J$9999,8,FALSE)</f>
        <v>Cam.B</v>
      </c>
      <c r="S2205" s="18" t="str">
        <f>VLOOKUP(RIGHT(AUDITORIA[[#This Row],[LOTE]],4),[2]Lotes!$A$2:$E$209,2,FALSE)</f>
        <v>QD.23</v>
      </c>
      <c r="T2205" s="18" t="str">
        <f>VLOOKUP(RIGHT(AUDITORIA[[#This Row],[LOTE]],4),[2]Lotes!$A$2:$E$209,4,FALSE)</f>
        <v>F2</v>
      </c>
      <c r="U22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05" s="19">
        <f>IF(AUDITORIA[[#This Row],[CAT]]="",0,1)</f>
        <v>1</v>
      </c>
      <c r="W2205" s="20">
        <v>46232</v>
      </c>
      <c r="X2205" s="21" t="s">
        <v>906</v>
      </c>
      <c r="Y2205" s="24" t="s">
        <v>901</v>
      </c>
      <c r="Z2205" s="24" t="s">
        <v>902</v>
      </c>
      <c r="AA2205" s="24" t="s">
        <v>903</v>
      </c>
    </row>
    <row r="2206" spans="1:27" ht="14.4" hidden="1" customHeight="1" x14ac:dyDescent="0.3">
      <c r="A2206" s="4" t="s">
        <v>0</v>
      </c>
      <c r="B2206" s="4" t="s">
        <v>17</v>
      </c>
      <c r="C2206" s="16" t="s">
        <v>18</v>
      </c>
      <c r="D2206" s="4">
        <v>10</v>
      </c>
      <c r="E2206" s="4" t="s">
        <v>745</v>
      </c>
      <c r="F2206" t="s">
        <v>641</v>
      </c>
      <c r="G2206" t="s">
        <v>281</v>
      </c>
      <c r="H2206" s="4" t="s">
        <v>31</v>
      </c>
      <c r="I2206" s="4" t="s">
        <v>21</v>
      </c>
      <c r="J2206" s="4" t="s">
        <v>31</v>
      </c>
      <c r="K2206" s="4" t="s">
        <v>21</v>
      </c>
      <c r="L2206" s="4" t="s">
        <v>742</v>
      </c>
      <c r="M2206" s="17">
        <v>30</v>
      </c>
      <c r="N2206" s="17">
        <v>929</v>
      </c>
      <c r="O2206" s="18" t="s">
        <v>31</v>
      </c>
      <c r="P2206" s="18">
        <v>929</v>
      </c>
      <c r="Q2206" s="18">
        <v>30</v>
      </c>
      <c r="R2206" s="18" t="str">
        <f>VLOOKUP(AUDITORIA[[#This Row],[LOTE]],[1]ENDEREÇAMENTO!$C$2:$J$9999,8,FALSE)</f>
        <v>Cam.B</v>
      </c>
      <c r="S2206" s="18" t="str">
        <f>VLOOKUP(RIGHT(AUDITORIA[[#This Row],[LOTE]],4),[2]Lotes!$A$2:$E$209,2,FALSE)</f>
        <v>QD.29</v>
      </c>
      <c r="T2206" s="18" t="str">
        <f>VLOOKUP(RIGHT(AUDITORIA[[#This Row],[LOTE]],4),[2]Lotes!$A$2:$E$209,4,FALSE)</f>
        <v>F3</v>
      </c>
      <c r="U22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06" s="19">
        <f>IF(AUDITORIA[[#This Row],[CAT]]="",0,1)</f>
        <v>1</v>
      </c>
      <c r="W2206" s="20">
        <v>46232</v>
      </c>
      <c r="X2206" s="21" t="s">
        <v>906</v>
      </c>
      <c r="Y2206" s="24" t="s">
        <v>901</v>
      </c>
      <c r="Z2206" s="24" t="s">
        <v>902</v>
      </c>
      <c r="AA2206" s="24" t="s">
        <v>903</v>
      </c>
    </row>
    <row r="2207" spans="1:27" ht="14.4" hidden="1" customHeight="1" x14ac:dyDescent="0.3">
      <c r="A2207" s="4" t="s">
        <v>0</v>
      </c>
      <c r="B2207" s="4" t="s">
        <v>17</v>
      </c>
      <c r="C2207" s="16" t="s">
        <v>18</v>
      </c>
      <c r="D2207" s="4">
        <v>10</v>
      </c>
      <c r="E2207" s="4" t="s">
        <v>745</v>
      </c>
      <c r="F2207" t="s">
        <v>639</v>
      </c>
      <c r="G2207" t="s">
        <v>281</v>
      </c>
      <c r="H2207" s="4" t="s">
        <v>31</v>
      </c>
      <c r="I2207" s="4" t="s">
        <v>21</v>
      </c>
      <c r="J2207" s="4" t="s">
        <v>31</v>
      </c>
      <c r="K2207" s="4" t="s">
        <v>21</v>
      </c>
      <c r="L2207" s="4" t="s">
        <v>742</v>
      </c>
      <c r="M2207" s="17">
        <v>30</v>
      </c>
      <c r="N2207" s="17">
        <v>913</v>
      </c>
      <c r="O2207" s="18" t="s">
        <v>31</v>
      </c>
      <c r="P2207" s="18">
        <v>913</v>
      </c>
      <c r="Q2207" s="18">
        <v>30</v>
      </c>
      <c r="R2207" s="18" t="str">
        <f>VLOOKUP(AUDITORIA[[#This Row],[LOTE]],[1]ENDEREÇAMENTO!$C$2:$J$9999,8,FALSE)</f>
        <v>Cam.B</v>
      </c>
      <c r="S2207" s="18" t="str">
        <f>VLOOKUP(RIGHT(AUDITORIA[[#This Row],[LOTE]],4),[2]Lotes!$A$2:$E$209,2,FALSE)</f>
        <v>QD.29</v>
      </c>
      <c r="T2207" s="18" t="str">
        <f>VLOOKUP(RIGHT(AUDITORIA[[#This Row],[LOTE]],4),[2]Lotes!$A$2:$E$209,4,FALSE)</f>
        <v>F1</v>
      </c>
      <c r="U22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07" s="19">
        <f>IF(AUDITORIA[[#This Row],[CAT]]="",0,1)</f>
        <v>1</v>
      </c>
      <c r="W2207" s="20">
        <v>46232</v>
      </c>
      <c r="X2207" s="21" t="s">
        <v>906</v>
      </c>
      <c r="Y2207" s="24" t="s">
        <v>901</v>
      </c>
      <c r="Z2207" s="24" t="s">
        <v>902</v>
      </c>
      <c r="AA2207" s="24" t="s">
        <v>903</v>
      </c>
    </row>
    <row r="2208" spans="1:27" ht="14.4" hidden="1" customHeight="1" x14ac:dyDescent="0.3">
      <c r="A2208" s="4" t="s">
        <v>0</v>
      </c>
      <c r="B2208" s="4" t="s">
        <v>17</v>
      </c>
      <c r="C2208" s="16" t="s">
        <v>18</v>
      </c>
      <c r="D2208" s="4">
        <v>10</v>
      </c>
      <c r="E2208" s="4" t="s">
        <v>745</v>
      </c>
      <c r="F2208" t="s">
        <v>640</v>
      </c>
      <c r="G2208" t="s">
        <v>281</v>
      </c>
      <c r="H2208" s="4" t="s">
        <v>31</v>
      </c>
      <c r="I2208" s="4" t="s">
        <v>20</v>
      </c>
      <c r="J2208" s="4" t="s">
        <v>31</v>
      </c>
      <c r="K2208" s="4" t="s">
        <v>20</v>
      </c>
      <c r="L2208" s="4" t="s">
        <v>742</v>
      </c>
      <c r="M2208" s="17">
        <v>30</v>
      </c>
      <c r="N2208" s="17">
        <v>760</v>
      </c>
      <c r="O2208" s="18" t="s">
        <v>31</v>
      </c>
      <c r="P2208" s="18">
        <v>760</v>
      </c>
      <c r="Q2208" s="18">
        <v>30</v>
      </c>
      <c r="R2208" s="18" t="str">
        <f>VLOOKUP(AUDITORIA[[#This Row],[LOTE]],[1]ENDEREÇAMENTO!$C$2:$J$9999,8,FALSE)</f>
        <v>Cam.B</v>
      </c>
      <c r="S2208" s="18" t="str">
        <f>VLOOKUP(RIGHT(AUDITORIA[[#This Row],[LOTE]],4),[2]Lotes!$A$2:$E$209,2,FALSE)</f>
        <v>QD.23</v>
      </c>
      <c r="T2208" s="18" t="str">
        <f>VLOOKUP(RIGHT(AUDITORIA[[#This Row],[LOTE]],4),[2]Lotes!$A$2:$E$209,4,FALSE)</f>
        <v>F1</v>
      </c>
      <c r="U22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08" s="19">
        <f>IF(AUDITORIA[[#This Row],[CAT]]="",0,1)</f>
        <v>1</v>
      </c>
      <c r="W2208" s="20">
        <v>46232</v>
      </c>
      <c r="X2208" s="21" t="s">
        <v>906</v>
      </c>
      <c r="Y2208" s="24" t="s">
        <v>901</v>
      </c>
      <c r="Z2208" s="24" t="s">
        <v>902</v>
      </c>
      <c r="AA2208" s="24" t="s">
        <v>903</v>
      </c>
    </row>
    <row r="2209" spans="1:27" ht="14.4" hidden="1" customHeight="1" x14ac:dyDescent="0.3">
      <c r="A2209" s="4" t="s">
        <v>0</v>
      </c>
      <c r="B2209" s="4" t="s">
        <v>17</v>
      </c>
      <c r="C2209" s="16" t="s">
        <v>18</v>
      </c>
      <c r="D2209" s="4">
        <v>10</v>
      </c>
      <c r="E2209" s="4" t="s">
        <v>745</v>
      </c>
      <c r="F2209" t="s">
        <v>638</v>
      </c>
      <c r="G2209" t="s">
        <v>281</v>
      </c>
      <c r="H2209" s="4" t="s">
        <v>31</v>
      </c>
      <c r="I2209" s="4" t="s">
        <v>20</v>
      </c>
      <c r="J2209" s="4" t="s">
        <v>31</v>
      </c>
      <c r="K2209" s="4" t="s">
        <v>20</v>
      </c>
      <c r="L2209" s="4" t="s">
        <v>742</v>
      </c>
      <c r="M2209" s="17">
        <v>0</v>
      </c>
      <c r="N2209" s="17">
        <v>740</v>
      </c>
      <c r="O2209" s="18" t="s">
        <v>31</v>
      </c>
      <c r="P2209" s="18" t="s">
        <v>905</v>
      </c>
      <c r="Q2209" s="18">
        <v>0</v>
      </c>
      <c r="R2209" s="18" t="s">
        <v>905</v>
      </c>
      <c r="S2209" s="18" t="s">
        <v>905</v>
      </c>
      <c r="T2209" s="18" t="s">
        <v>905</v>
      </c>
      <c r="U22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09" s="19">
        <v>0</v>
      </c>
      <c r="W2209" s="20">
        <v>46232</v>
      </c>
      <c r="X2209" s="21" t="s">
        <v>906</v>
      </c>
      <c r="Y2209" s="24" t="s">
        <v>901</v>
      </c>
      <c r="Z2209" s="24" t="s">
        <v>902</v>
      </c>
      <c r="AA2209" s="24" t="s">
        <v>903</v>
      </c>
    </row>
    <row r="2210" spans="1:27" ht="14.4" hidden="1" customHeight="1" x14ac:dyDescent="0.3">
      <c r="A2210" s="4" t="s">
        <v>0</v>
      </c>
      <c r="B2210" s="4" t="s">
        <v>17</v>
      </c>
      <c r="C2210" s="16" t="s">
        <v>18</v>
      </c>
      <c r="D2210" s="4">
        <v>10</v>
      </c>
      <c r="E2210" s="4" t="s">
        <v>745</v>
      </c>
      <c r="F2210" t="s">
        <v>636</v>
      </c>
      <c r="G2210" t="s">
        <v>281</v>
      </c>
      <c r="H2210" s="4" t="s">
        <v>31</v>
      </c>
      <c r="I2210" s="4" t="s">
        <v>21</v>
      </c>
      <c r="J2210" s="4" t="s">
        <v>31</v>
      </c>
      <c r="K2210" s="4" t="s">
        <v>21</v>
      </c>
      <c r="L2210" s="4" t="s">
        <v>742</v>
      </c>
      <c r="M2210" s="17">
        <v>30</v>
      </c>
      <c r="N2210" s="17">
        <v>900</v>
      </c>
      <c r="O2210" s="18" t="s">
        <v>31</v>
      </c>
      <c r="P2210" s="18">
        <v>900</v>
      </c>
      <c r="Q2210" s="18">
        <v>30</v>
      </c>
      <c r="R2210" s="18" t="str">
        <f>VLOOKUP(AUDITORIA[[#This Row],[LOTE]],[1]ENDEREÇAMENTO!$C$2:$J$9999,8,FALSE)</f>
        <v>Cam.B</v>
      </c>
      <c r="S2210" s="18" t="str">
        <f>VLOOKUP(RIGHT(AUDITORIA[[#This Row],[LOTE]],4),[2]Lotes!$A$2:$E$209,2,FALSE)</f>
        <v>QD.29</v>
      </c>
      <c r="T2210" s="18" t="str">
        <f>VLOOKUP(RIGHT(AUDITORIA[[#This Row],[LOTE]],4),[2]Lotes!$A$2:$E$209,4,FALSE)</f>
        <v>F2</v>
      </c>
      <c r="U22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10" s="19">
        <f>IF(AUDITORIA[[#This Row],[CAT]]="",0,1)</f>
        <v>1</v>
      </c>
      <c r="W2210" s="20">
        <v>46232</v>
      </c>
      <c r="X2210" s="21" t="s">
        <v>906</v>
      </c>
      <c r="Y2210" s="24" t="s">
        <v>901</v>
      </c>
      <c r="Z2210" s="24" t="s">
        <v>902</v>
      </c>
      <c r="AA2210" s="24" t="s">
        <v>903</v>
      </c>
    </row>
    <row r="2211" spans="1:27" ht="14.4" hidden="1" customHeight="1" x14ac:dyDescent="0.3">
      <c r="A2211" s="4" t="s">
        <v>0</v>
      </c>
      <c r="B2211" s="4" t="s">
        <v>17</v>
      </c>
      <c r="C2211" s="16" t="s">
        <v>18</v>
      </c>
      <c r="D2211" s="4">
        <v>10</v>
      </c>
      <c r="E2211" s="4" t="s">
        <v>745</v>
      </c>
      <c r="F2211" t="s">
        <v>637</v>
      </c>
      <c r="G2211" t="s">
        <v>281</v>
      </c>
      <c r="H2211" s="4" t="s">
        <v>31</v>
      </c>
      <c r="I2211" s="4" t="s">
        <v>20</v>
      </c>
      <c r="J2211" s="4" t="s">
        <v>31</v>
      </c>
      <c r="K2211" s="4" t="s">
        <v>20</v>
      </c>
      <c r="L2211" s="4" t="s">
        <v>742</v>
      </c>
      <c r="M2211" s="17">
        <v>6</v>
      </c>
      <c r="N2211" s="17">
        <v>733</v>
      </c>
      <c r="O2211" s="18" t="s">
        <v>31</v>
      </c>
      <c r="P2211" s="18">
        <v>733</v>
      </c>
      <c r="Q2211" s="18">
        <v>6</v>
      </c>
      <c r="R2211" s="18" t="str">
        <f>VLOOKUP(AUDITORIA[[#This Row],[LOTE]],[1]ENDEREÇAMENTO!$C$2:$J$9999,8,FALSE)</f>
        <v>Cam.B</v>
      </c>
      <c r="S2211" s="18" t="str">
        <f>VLOOKUP(RIGHT(AUDITORIA[[#This Row],[LOTE]],4),[2]Lotes!$A$2:$E$209,2,FALSE)</f>
        <v>QD.05</v>
      </c>
      <c r="T2211" s="18" t="str">
        <f>VLOOKUP(RIGHT(AUDITORIA[[#This Row],[LOTE]],4),[2]Lotes!$A$2:$E$209,4,FALSE)</f>
        <v>F3</v>
      </c>
      <c r="U22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11" s="19">
        <f>IF(AUDITORIA[[#This Row],[CAT]]="",0,1)</f>
        <v>1</v>
      </c>
      <c r="W2211" s="20">
        <v>46232</v>
      </c>
      <c r="X2211" s="21" t="s">
        <v>906</v>
      </c>
      <c r="Y2211" s="24" t="s">
        <v>901</v>
      </c>
      <c r="Z2211" s="24" t="s">
        <v>902</v>
      </c>
      <c r="AA2211" s="24" t="s">
        <v>903</v>
      </c>
    </row>
    <row r="2212" spans="1:27" ht="14.4" hidden="1" customHeight="1" x14ac:dyDescent="0.3">
      <c r="A2212" s="4" t="s">
        <v>0</v>
      </c>
      <c r="B2212" s="4" t="s">
        <v>17</v>
      </c>
      <c r="C2212" s="16" t="s">
        <v>18</v>
      </c>
      <c r="D2212" s="4">
        <v>10</v>
      </c>
      <c r="E2212" s="4" t="s">
        <v>745</v>
      </c>
      <c r="F2212" t="s">
        <v>635</v>
      </c>
      <c r="G2212" t="s">
        <v>625</v>
      </c>
      <c r="H2212" s="4" t="s">
        <v>31</v>
      </c>
      <c r="I2212" s="4" t="s">
        <v>21</v>
      </c>
      <c r="J2212" s="4" t="s">
        <v>31</v>
      </c>
      <c r="K2212" s="4" t="s">
        <v>21</v>
      </c>
      <c r="L2212" s="4" t="s">
        <v>742</v>
      </c>
      <c r="M2212" s="17">
        <v>30</v>
      </c>
      <c r="N2212" s="17">
        <v>712</v>
      </c>
      <c r="O2212" s="18" t="s">
        <v>31</v>
      </c>
      <c r="P2212" s="18">
        <v>712</v>
      </c>
      <c r="Q2212" s="18">
        <v>30</v>
      </c>
      <c r="R2212" s="28" t="s">
        <v>931</v>
      </c>
      <c r="S2212" s="28" t="s">
        <v>813</v>
      </c>
      <c r="T2212" s="28" t="s">
        <v>780</v>
      </c>
      <c r="U22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12" s="19">
        <f>IF(AUDITORIA[[#This Row],[CAT]]="",0,1)</f>
        <v>1</v>
      </c>
      <c r="W2212" s="20">
        <v>46232</v>
      </c>
      <c r="X2212" s="21" t="s">
        <v>906</v>
      </c>
      <c r="Y2212" s="24" t="s">
        <v>901</v>
      </c>
      <c r="Z2212" s="24" t="s">
        <v>902</v>
      </c>
      <c r="AA2212" s="24" t="s">
        <v>903</v>
      </c>
    </row>
    <row r="2213" spans="1:27" ht="14.4" hidden="1" customHeight="1" x14ac:dyDescent="0.3">
      <c r="A2213" s="4" t="s">
        <v>0</v>
      </c>
      <c r="B2213" s="4" t="s">
        <v>17</v>
      </c>
      <c r="C2213" s="16" t="s">
        <v>18</v>
      </c>
      <c r="D2213" s="4">
        <v>10</v>
      </c>
      <c r="E2213" s="4" t="s">
        <v>745</v>
      </c>
      <c r="F2213" t="s">
        <v>634</v>
      </c>
      <c r="G2213" t="s">
        <v>625</v>
      </c>
      <c r="H2213" s="4" t="s">
        <v>31</v>
      </c>
      <c r="I2213" s="4" t="s">
        <v>21</v>
      </c>
      <c r="J2213" s="4" t="s">
        <v>31</v>
      </c>
      <c r="K2213" s="4" t="s">
        <v>21</v>
      </c>
      <c r="L2213" s="4" t="s">
        <v>742</v>
      </c>
      <c r="M2213" s="17">
        <v>30</v>
      </c>
      <c r="N2213" s="17">
        <v>720</v>
      </c>
      <c r="O2213" s="18" t="s">
        <v>31</v>
      </c>
      <c r="P2213" s="18">
        <v>720</v>
      </c>
      <c r="Q2213" s="18">
        <v>30</v>
      </c>
      <c r="R2213" s="28" t="s">
        <v>931</v>
      </c>
      <c r="S2213" s="28" t="s">
        <v>813</v>
      </c>
      <c r="T2213" s="28" t="s">
        <v>781</v>
      </c>
      <c r="U22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13" s="19">
        <f>IF(AUDITORIA[[#This Row],[CAT]]="",0,1)</f>
        <v>1</v>
      </c>
      <c r="W2213" s="20">
        <v>46232</v>
      </c>
      <c r="X2213" s="21" t="s">
        <v>906</v>
      </c>
      <c r="Y2213" s="24" t="s">
        <v>901</v>
      </c>
      <c r="Z2213" s="24" t="s">
        <v>902</v>
      </c>
      <c r="AA2213" s="24" t="s">
        <v>903</v>
      </c>
    </row>
    <row r="2214" spans="1:27" ht="14.4" hidden="1" customHeight="1" x14ac:dyDescent="0.3">
      <c r="A2214" s="4" t="s">
        <v>0</v>
      </c>
      <c r="B2214" s="4" t="s">
        <v>17</v>
      </c>
      <c r="C2214" s="16" t="s">
        <v>18</v>
      </c>
      <c r="D2214" s="4">
        <v>10</v>
      </c>
      <c r="E2214" s="4" t="s">
        <v>745</v>
      </c>
      <c r="F2214" t="s">
        <v>632</v>
      </c>
      <c r="G2214" t="s">
        <v>625</v>
      </c>
      <c r="H2214" s="4" t="s">
        <v>31</v>
      </c>
      <c r="I2214" s="4" t="s">
        <v>20</v>
      </c>
      <c r="J2214" s="4" t="s">
        <v>31</v>
      </c>
      <c r="K2214" s="4" t="s">
        <v>20</v>
      </c>
      <c r="L2214" s="4" t="s">
        <v>742</v>
      </c>
      <c r="M2214" s="17">
        <v>30</v>
      </c>
      <c r="N2214" s="17">
        <v>583</v>
      </c>
      <c r="O2214" s="18" t="s">
        <v>31</v>
      </c>
      <c r="P2214" s="18">
        <v>583</v>
      </c>
      <c r="Q2214" s="18">
        <v>30</v>
      </c>
      <c r="R2214" s="28" t="s">
        <v>931</v>
      </c>
      <c r="S2214" s="28" t="s">
        <v>811</v>
      </c>
      <c r="T2214" s="28" t="s">
        <v>904</v>
      </c>
      <c r="U22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14" s="19">
        <f>IF(AUDITORIA[[#This Row],[CAT]]="",0,1)</f>
        <v>1</v>
      </c>
      <c r="W2214" s="20">
        <v>46232</v>
      </c>
      <c r="X2214" s="21" t="s">
        <v>906</v>
      </c>
      <c r="Y2214" s="24" t="s">
        <v>901</v>
      </c>
      <c r="Z2214" s="24" t="s">
        <v>902</v>
      </c>
      <c r="AA2214" s="24" t="s">
        <v>903</v>
      </c>
    </row>
    <row r="2215" spans="1:27" ht="14.4" hidden="1" customHeight="1" x14ac:dyDescent="0.3">
      <c r="A2215" s="4" t="s">
        <v>0</v>
      </c>
      <c r="B2215" s="4" t="s">
        <v>17</v>
      </c>
      <c r="C2215" s="16" t="s">
        <v>18</v>
      </c>
      <c r="D2215" s="4">
        <v>10</v>
      </c>
      <c r="E2215" s="4" t="s">
        <v>745</v>
      </c>
      <c r="F2215" t="s">
        <v>633</v>
      </c>
      <c r="G2215" t="s">
        <v>625</v>
      </c>
      <c r="H2215" s="4" t="s">
        <v>31</v>
      </c>
      <c r="I2215" s="4" t="s">
        <v>21</v>
      </c>
      <c r="J2215" s="4" t="s">
        <v>31</v>
      </c>
      <c r="K2215" s="4" t="s">
        <v>21</v>
      </c>
      <c r="L2215" s="4" t="s">
        <v>742</v>
      </c>
      <c r="M2215" s="17">
        <v>30</v>
      </c>
      <c r="N2215" s="17">
        <v>770</v>
      </c>
      <c r="O2215" s="18" t="s">
        <v>31</v>
      </c>
      <c r="P2215" s="18">
        <v>770</v>
      </c>
      <c r="Q2215" s="18">
        <v>30</v>
      </c>
      <c r="R2215" s="28" t="s">
        <v>931</v>
      </c>
      <c r="S2215" s="28" t="s">
        <v>907</v>
      </c>
      <c r="T2215" s="28" t="s">
        <v>794</v>
      </c>
      <c r="U22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15" s="19">
        <f>IF(AUDITORIA[[#This Row],[CAT]]="",0,1)</f>
        <v>1</v>
      </c>
      <c r="W2215" s="20">
        <v>46232</v>
      </c>
      <c r="X2215" s="21" t="s">
        <v>906</v>
      </c>
      <c r="Y2215" s="24" t="s">
        <v>901</v>
      </c>
      <c r="Z2215" s="24" t="s">
        <v>902</v>
      </c>
      <c r="AA2215" s="24" t="s">
        <v>903</v>
      </c>
    </row>
    <row r="2216" spans="1:27" ht="14.4" hidden="1" customHeight="1" x14ac:dyDescent="0.3">
      <c r="A2216" s="4" t="s">
        <v>0</v>
      </c>
      <c r="B2216" s="4" t="s">
        <v>17</v>
      </c>
      <c r="C2216" s="16" t="s">
        <v>18</v>
      </c>
      <c r="D2216" s="4">
        <v>10</v>
      </c>
      <c r="E2216" s="4" t="s">
        <v>745</v>
      </c>
      <c r="F2216" t="s">
        <v>631</v>
      </c>
      <c r="G2216" t="s">
        <v>625</v>
      </c>
      <c r="H2216" s="4" t="s">
        <v>31</v>
      </c>
      <c r="I2216" s="4" t="s">
        <v>21</v>
      </c>
      <c r="J2216" s="4" t="s">
        <v>31</v>
      </c>
      <c r="K2216" s="4" t="s">
        <v>21</v>
      </c>
      <c r="L2216" s="4" t="s">
        <v>742</v>
      </c>
      <c r="M2216" s="17">
        <v>30</v>
      </c>
      <c r="N2216" s="17">
        <v>718</v>
      </c>
      <c r="O2216" s="18" t="s">
        <v>31</v>
      </c>
      <c r="P2216" s="18">
        <v>718</v>
      </c>
      <c r="Q2216" s="18">
        <v>30</v>
      </c>
      <c r="R2216" s="28" t="s">
        <v>931</v>
      </c>
      <c r="S2216" s="28" t="s">
        <v>907</v>
      </c>
      <c r="T2216" s="28" t="s">
        <v>782</v>
      </c>
      <c r="U22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16" s="19">
        <f>IF(AUDITORIA[[#This Row],[CAT]]="",0,1)</f>
        <v>1</v>
      </c>
      <c r="W2216" s="20">
        <v>46232</v>
      </c>
      <c r="X2216" s="21" t="s">
        <v>906</v>
      </c>
      <c r="Y2216" s="24" t="s">
        <v>901</v>
      </c>
      <c r="Z2216" s="24" t="s">
        <v>902</v>
      </c>
      <c r="AA2216" s="24" t="s">
        <v>903</v>
      </c>
    </row>
    <row r="2217" spans="1:27" ht="14.4" hidden="1" customHeight="1" x14ac:dyDescent="0.3">
      <c r="A2217" s="4" t="s">
        <v>0</v>
      </c>
      <c r="B2217" s="4" t="s">
        <v>17</v>
      </c>
      <c r="C2217" s="16" t="s">
        <v>18</v>
      </c>
      <c r="D2217" s="4">
        <v>10</v>
      </c>
      <c r="E2217" s="4" t="s">
        <v>745</v>
      </c>
      <c r="F2217" t="s">
        <v>627</v>
      </c>
      <c r="G2217" t="s">
        <v>625</v>
      </c>
      <c r="H2217" s="4" t="s">
        <v>31</v>
      </c>
      <c r="I2217" s="4" t="s">
        <v>20</v>
      </c>
      <c r="J2217" s="4" t="s">
        <v>31</v>
      </c>
      <c r="K2217" s="4" t="s">
        <v>20</v>
      </c>
      <c r="L2217" s="4" t="s">
        <v>742</v>
      </c>
      <c r="M2217" s="17">
        <v>30</v>
      </c>
      <c r="N2217" s="17">
        <v>544</v>
      </c>
      <c r="O2217" s="18" t="s">
        <v>31</v>
      </c>
      <c r="P2217" s="18">
        <v>544</v>
      </c>
      <c r="Q2217" s="18">
        <v>30</v>
      </c>
      <c r="R2217" s="28" t="s">
        <v>931</v>
      </c>
      <c r="S2217" s="28" t="s">
        <v>811</v>
      </c>
      <c r="T2217" s="28" t="s">
        <v>781</v>
      </c>
      <c r="U22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17" s="19">
        <f>IF(AUDITORIA[[#This Row],[CAT]]="",0,1)</f>
        <v>1</v>
      </c>
      <c r="W2217" s="20">
        <v>46232</v>
      </c>
      <c r="X2217" s="21" t="s">
        <v>906</v>
      </c>
      <c r="Y2217" s="24" t="s">
        <v>901</v>
      </c>
      <c r="Z2217" s="24" t="s">
        <v>902</v>
      </c>
      <c r="AA2217" s="24" t="s">
        <v>903</v>
      </c>
    </row>
    <row r="2218" spans="1:27" ht="14.4" hidden="1" customHeight="1" x14ac:dyDescent="0.3">
      <c r="A2218" s="4" t="s">
        <v>0</v>
      </c>
      <c r="B2218" s="4" t="s">
        <v>17</v>
      </c>
      <c r="C2218" s="16" t="s">
        <v>18</v>
      </c>
      <c r="D2218" s="4">
        <v>10</v>
      </c>
      <c r="E2218" s="4" t="s">
        <v>745</v>
      </c>
      <c r="F2218" t="s">
        <v>630</v>
      </c>
      <c r="G2218" t="s">
        <v>625</v>
      </c>
      <c r="H2218" s="4" t="s">
        <v>31</v>
      </c>
      <c r="I2218" s="4" t="s">
        <v>21</v>
      </c>
      <c r="J2218" s="4" t="s">
        <v>31</v>
      </c>
      <c r="K2218" s="4" t="s">
        <v>21</v>
      </c>
      <c r="L2218" s="4" t="s">
        <v>742</v>
      </c>
      <c r="M2218" s="17">
        <v>30</v>
      </c>
      <c r="N2218" s="17">
        <v>720</v>
      </c>
      <c r="O2218" s="18" t="s">
        <v>31</v>
      </c>
      <c r="P2218" s="18">
        <v>720</v>
      </c>
      <c r="Q2218" s="18">
        <v>30</v>
      </c>
      <c r="R2218" s="28" t="s">
        <v>931</v>
      </c>
      <c r="S2218" s="28" t="s">
        <v>908</v>
      </c>
      <c r="T2218" s="28" t="s">
        <v>781</v>
      </c>
      <c r="U22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18" s="19">
        <f>IF(AUDITORIA[[#This Row],[CAT]]="",0,1)</f>
        <v>1</v>
      </c>
      <c r="W2218" s="20">
        <v>46232</v>
      </c>
      <c r="X2218" s="21" t="s">
        <v>906</v>
      </c>
      <c r="Y2218" s="24" t="s">
        <v>901</v>
      </c>
      <c r="Z2218" s="24" t="s">
        <v>902</v>
      </c>
      <c r="AA2218" s="24" t="s">
        <v>903</v>
      </c>
    </row>
    <row r="2219" spans="1:27" ht="14.4" hidden="1" customHeight="1" x14ac:dyDescent="0.3">
      <c r="A2219" s="4" t="s">
        <v>0</v>
      </c>
      <c r="B2219" s="4" t="s">
        <v>17</v>
      </c>
      <c r="C2219" s="16" t="s">
        <v>18</v>
      </c>
      <c r="D2219" s="4">
        <v>10</v>
      </c>
      <c r="E2219" s="4" t="s">
        <v>745</v>
      </c>
      <c r="F2219" t="s">
        <v>629</v>
      </c>
      <c r="G2219" t="s">
        <v>625</v>
      </c>
      <c r="H2219" s="4" t="s">
        <v>31</v>
      </c>
      <c r="I2219" s="4" t="s">
        <v>21</v>
      </c>
      <c r="J2219" s="4" t="s">
        <v>31</v>
      </c>
      <c r="K2219" s="4" t="s">
        <v>21</v>
      </c>
      <c r="L2219" s="4" t="s">
        <v>742</v>
      </c>
      <c r="M2219" s="17">
        <v>30</v>
      </c>
      <c r="N2219" s="17">
        <v>717</v>
      </c>
      <c r="O2219" s="18" t="s">
        <v>31</v>
      </c>
      <c r="P2219" s="18">
        <v>717</v>
      </c>
      <c r="Q2219" s="18">
        <v>30</v>
      </c>
      <c r="R2219" s="28" t="s">
        <v>931</v>
      </c>
      <c r="S2219" s="28" t="s">
        <v>908</v>
      </c>
      <c r="T2219" s="28" t="s">
        <v>782</v>
      </c>
      <c r="U22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19" s="19">
        <f>IF(AUDITORIA[[#This Row],[CAT]]="",0,1)</f>
        <v>1</v>
      </c>
      <c r="W2219" s="20">
        <v>46232</v>
      </c>
      <c r="X2219" s="21" t="s">
        <v>906</v>
      </c>
      <c r="Y2219" s="24" t="s">
        <v>901</v>
      </c>
      <c r="Z2219" s="24" t="s">
        <v>902</v>
      </c>
      <c r="AA2219" s="24" t="s">
        <v>903</v>
      </c>
    </row>
    <row r="2220" spans="1:27" ht="14.4" hidden="1" customHeight="1" x14ac:dyDescent="0.3">
      <c r="A2220" s="4" t="s">
        <v>0</v>
      </c>
      <c r="B2220" s="4" t="s">
        <v>17</v>
      </c>
      <c r="C2220" s="16" t="s">
        <v>18</v>
      </c>
      <c r="D2220" s="4">
        <v>10</v>
      </c>
      <c r="E2220" s="4" t="s">
        <v>745</v>
      </c>
      <c r="F2220" t="s">
        <v>628</v>
      </c>
      <c r="G2220" t="s">
        <v>625</v>
      </c>
      <c r="H2220" s="4" t="s">
        <v>31</v>
      </c>
      <c r="I2220" s="4" t="s">
        <v>21</v>
      </c>
      <c r="J2220" s="4" t="s">
        <v>31</v>
      </c>
      <c r="K2220" s="4" t="s">
        <v>21</v>
      </c>
      <c r="L2220" s="4" t="s">
        <v>742</v>
      </c>
      <c r="M2220" s="17">
        <v>30</v>
      </c>
      <c r="N2220" s="17">
        <v>725</v>
      </c>
      <c r="O2220" s="18" t="s">
        <v>31</v>
      </c>
      <c r="P2220" s="18">
        <v>725</v>
      </c>
      <c r="Q2220" s="18">
        <v>30</v>
      </c>
      <c r="R2220" s="28" t="s">
        <v>931</v>
      </c>
      <c r="S2220" s="28" t="s">
        <v>812</v>
      </c>
      <c r="T2220" s="28" t="s">
        <v>780</v>
      </c>
      <c r="U22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20" s="19">
        <f>IF(AUDITORIA[[#This Row],[CAT]]="",0,1)</f>
        <v>1</v>
      </c>
      <c r="W2220" s="20">
        <v>46232</v>
      </c>
      <c r="X2220" s="21" t="s">
        <v>906</v>
      </c>
      <c r="Y2220" s="24" t="s">
        <v>901</v>
      </c>
      <c r="Z2220" s="24" t="s">
        <v>902</v>
      </c>
      <c r="AA2220" s="24" t="s">
        <v>903</v>
      </c>
    </row>
    <row r="2221" spans="1:27" ht="14.4" hidden="1" customHeight="1" x14ac:dyDescent="0.3">
      <c r="A2221" s="4" t="s">
        <v>0</v>
      </c>
      <c r="B2221" s="4" t="s">
        <v>17</v>
      </c>
      <c r="C2221" s="16" t="s">
        <v>18</v>
      </c>
      <c r="D2221" s="4">
        <v>10</v>
      </c>
      <c r="E2221" s="4" t="s">
        <v>745</v>
      </c>
      <c r="F2221" t="s">
        <v>624</v>
      </c>
      <c r="G2221" t="s">
        <v>625</v>
      </c>
      <c r="H2221" s="4" t="s">
        <v>31</v>
      </c>
      <c r="I2221" s="4" t="s">
        <v>21</v>
      </c>
      <c r="J2221" s="4" t="s">
        <v>31</v>
      </c>
      <c r="K2221" s="4" t="s">
        <v>21</v>
      </c>
      <c r="L2221" s="4" t="s">
        <v>742</v>
      </c>
      <c r="M2221" s="17">
        <v>18</v>
      </c>
      <c r="N2221" s="17">
        <v>723</v>
      </c>
      <c r="O2221" s="18" t="s">
        <v>31</v>
      </c>
      <c r="P2221" s="18">
        <v>723</v>
      </c>
      <c r="Q2221" s="18">
        <v>18</v>
      </c>
      <c r="R2221" s="18" t="str">
        <f>VLOOKUP(AUDITORIA[[#This Row],[LOTE]],[1]ENDEREÇAMENTO!$C$2:$J$9999,8,FALSE)</f>
        <v>Cam.B</v>
      </c>
      <c r="S2221" s="18" t="str">
        <f>VLOOKUP(RIGHT(AUDITORIA[[#This Row],[LOTE]],4),[2]Lotes!$A$2:$E$209,2,FALSE)</f>
        <v>QD.06</v>
      </c>
      <c r="T2221" s="18" t="str">
        <f>VLOOKUP(RIGHT(AUDITORIA[[#This Row],[LOTE]],4),[2]Lotes!$A$2:$E$209,4,FALSE)</f>
        <v>F1</v>
      </c>
      <c r="U22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21" s="19">
        <f>IF(AUDITORIA[[#This Row],[CAT]]="",0,1)</f>
        <v>1</v>
      </c>
      <c r="W2221" s="20">
        <v>46232</v>
      </c>
      <c r="X2221" s="21" t="s">
        <v>906</v>
      </c>
      <c r="Y2221" s="24" t="s">
        <v>901</v>
      </c>
      <c r="Z2221" s="24" t="s">
        <v>902</v>
      </c>
      <c r="AA2221" s="24" t="s">
        <v>903</v>
      </c>
    </row>
    <row r="2222" spans="1:27" ht="14.4" hidden="1" customHeight="1" x14ac:dyDescent="0.3">
      <c r="A2222" s="4" t="s">
        <v>0</v>
      </c>
      <c r="B2222" s="4" t="s">
        <v>17</v>
      </c>
      <c r="C2222" s="16" t="s">
        <v>18</v>
      </c>
      <c r="D2222" s="4">
        <v>10</v>
      </c>
      <c r="E2222" s="4" t="s">
        <v>745</v>
      </c>
      <c r="F2222" t="s">
        <v>626</v>
      </c>
      <c r="G2222" t="s">
        <v>625</v>
      </c>
      <c r="H2222" s="4" t="s">
        <v>31</v>
      </c>
      <c r="I2222" s="4" t="s">
        <v>20</v>
      </c>
      <c r="J2222" s="4" t="s">
        <v>31</v>
      </c>
      <c r="K2222" s="4" t="s">
        <v>20</v>
      </c>
      <c r="L2222" s="4" t="s">
        <v>742</v>
      </c>
      <c r="M2222" s="17">
        <v>9</v>
      </c>
      <c r="N2222" s="17">
        <v>553</v>
      </c>
      <c r="O2222" s="18" t="s">
        <v>31</v>
      </c>
      <c r="P2222" s="18">
        <v>553</v>
      </c>
      <c r="Q2222" s="18">
        <v>9</v>
      </c>
      <c r="R2222" s="18" t="str">
        <f>VLOOKUP(AUDITORIA[[#This Row],[LOTE]],[1]ENDEREÇAMENTO!$C$2:$J$9999,8,FALSE)</f>
        <v>Cam.B</v>
      </c>
      <c r="S2222" s="18" t="str">
        <f>VLOOKUP(RIGHT(AUDITORIA[[#This Row],[LOTE]],4),[2]Lotes!$A$2:$E$209,2,FALSE)</f>
        <v>QD.05</v>
      </c>
      <c r="T2222" s="18" t="str">
        <f>VLOOKUP(RIGHT(AUDITORIA[[#This Row],[LOTE]],4),[2]Lotes!$A$2:$E$209,4,FALSE)</f>
        <v>F2</v>
      </c>
      <c r="U22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22" s="19">
        <f>IF(AUDITORIA[[#This Row],[CAT]]="",0,1)</f>
        <v>1</v>
      </c>
      <c r="W2222" s="20">
        <v>46232</v>
      </c>
      <c r="X2222" s="21" t="s">
        <v>906</v>
      </c>
      <c r="Y2222" s="24" t="s">
        <v>901</v>
      </c>
      <c r="Z2222" s="24" t="s">
        <v>902</v>
      </c>
      <c r="AA2222" s="24" t="s">
        <v>903</v>
      </c>
    </row>
    <row r="2223" spans="1:27" ht="14.4" hidden="1" customHeight="1" x14ac:dyDescent="0.3">
      <c r="A2223" s="4" t="s">
        <v>0</v>
      </c>
      <c r="B2223" s="4" t="s">
        <v>17</v>
      </c>
      <c r="C2223" s="16" t="s">
        <v>18</v>
      </c>
      <c r="D2223" s="4">
        <v>10</v>
      </c>
      <c r="E2223" s="4" t="s">
        <v>745</v>
      </c>
      <c r="F2223" t="s">
        <v>623</v>
      </c>
      <c r="G2223" t="s">
        <v>836</v>
      </c>
      <c r="H2223" s="4" t="s">
        <v>55</v>
      </c>
      <c r="I2223" s="4" t="s">
        <v>21</v>
      </c>
      <c r="J2223" s="4" t="s">
        <v>55</v>
      </c>
      <c r="K2223" s="4" t="s">
        <v>21</v>
      </c>
      <c r="L2223" s="4" t="s">
        <v>742</v>
      </c>
      <c r="M2223" s="17">
        <v>30</v>
      </c>
      <c r="N2223" s="17">
        <v>906</v>
      </c>
      <c r="O2223" s="18" t="s">
        <v>55</v>
      </c>
      <c r="P2223" s="18">
        <v>906</v>
      </c>
      <c r="Q2223" s="18">
        <v>30</v>
      </c>
      <c r="R2223" s="28" t="s">
        <v>931</v>
      </c>
      <c r="S2223" s="28" t="s">
        <v>910</v>
      </c>
      <c r="T2223" s="28" t="s">
        <v>794</v>
      </c>
      <c r="U22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23" s="19">
        <f>IF(AUDITORIA[[#This Row],[CAT]]="",0,1)</f>
        <v>1</v>
      </c>
      <c r="W2223" s="20">
        <v>46232</v>
      </c>
      <c r="X2223" s="21" t="s">
        <v>906</v>
      </c>
      <c r="Y2223" s="24" t="s">
        <v>901</v>
      </c>
      <c r="Z2223" s="24" t="s">
        <v>902</v>
      </c>
      <c r="AA2223" s="24" t="s">
        <v>903</v>
      </c>
    </row>
    <row r="2224" spans="1:27" ht="14.4" hidden="1" customHeight="1" x14ac:dyDescent="0.3">
      <c r="A2224" s="4" t="s">
        <v>0</v>
      </c>
      <c r="B2224" s="4" t="s">
        <v>17</v>
      </c>
      <c r="C2224" s="16" t="s">
        <v>18</v>
      </c>
      <c r="D2224" s="4">
        <v>10</v>
      </c>
      <c r="E2224" s="4" t="s">
        <v>745</v>
      </c>
      <c r="F2224" t="s">
        <v>621</v>
      </c>
      <c r="G2224" t="s">
        <v>836</v>
      </c>
      <c r="H2224" s="4" t="s">
        <v>55</v>
      </c>
      <c r="I2224" s="4" t="s">
        <v>20</v>
      </c>
      <c r="J2224" s="4" t="s">
        <v>55</v>
      </c>
      <c r="K2224" s="4" t="s">
        <v>20</v>
      </c>
      <c r="L2224" s="4" t="s">
        <v>742</v>
      </c>
      <c r="M2224" s="17">
        <v>30</v>
      </c>
      <c r="N2224" s="17">
        <v>702</v>
      </c>
      <c r="O2224" s="18" t="s">
        <v>55</v>
      </c>
      <c r="P2224" s="18">
        <v>702</v>
      </c>
      <c r="Q2224" s="18">
        <v>30</v>
      </c>
      <c r="R2224" s="28" t="s">
        <v>931</v>
      </c>
      <c r="S2224" s="28" t="s">
        <v>908</v>
      </c>
      <c r="T2224" s="28" t="s">
        <v>794</v>
      </c>
      <c r="U22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24" s="19">
        <f>IF(AUDITORIA[[#This Row],[CAT]]="",0,1)</f>
        <v>1</v>
      </c>
      <c r="W2224" s="20">
        <v>46232</v>
      </c>
      <c r="X2224" s="21" t="s">
        <v>906</v>
      </c>
      <c r="Y2224" s="24" t="s">
        <v>901</v>
      </c>
      <c r="Z2224" s="24" t="s">
        <v>902</v>
      </c>
      <c r="AA2224" s="24" t="s">
        <v>903</v>
      </c>
    </row>
    <row r="2225" spans="1:27" ht="14.4" hidden="1" customHeight="1" x14ac:dyDescent="0.3">
      <c r="A2225" s="4" t="s">
        <v>0</v>
      </c>
      <c r="B2225" s="4" t="s">
        <v>17</v>
      </c>
      <c r="C2225" s="16" t="s">
        <v>18</v>
      </c>
      <c r="D2225" s="4">
        <v>10</v>
      </c>
      <c r="E2225" s="4" t="s">
        <v>745</v>
      </c>
      <c r="F2225" t="s">
        <v>622</v>
      </c>
      <c r="G2225" t="s">
        <v>836</v>
      </c>
      <c r="H2225" s="4" t="s">
        <v>55</v>
      </c>
      <c r="I2225" s="4" t="s">
        <v>21</v>
      </c>
      <c r="J2225" s="4" t="s">
        <v>55</v>
      </c>
      <c r="K2225" s="4" t="s">
        <v>21</v>
      </c>
      <c r="L2225" s="4" t="s">
        <v>742</v>
      </c>
      <c r="M2225" s="17">
        <v>27</v>
      </c>
      <c r="N2225" s="17">
        <v>936</v>
      </c>
      <c r="O2225" s="18" t="s">
        <v>55</v>
      </c>
      <c r="P2225" s="18">
        <v>936</v>
      </c>
      <c r="Q2225" s="18">
        <v>27</v>
      </c>
      <c r="R2225" s="28" t="s">
        <v>931</v>
      </c>
      <c r="S2225" s="28" t="s">
        <v>910</v>
      </c>
      <c r="T2225" s="28" t="s">
        <v>782</v>
      </c>
      <c r="U22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25" s="19">
        <f>IF(AUDITORIA[[#This Row],[CAT]]="",0,1)</f>
        <v>1</v>
      </c>
      <c r="W2225" s="20">
        <v>46232</v>
      </c>
      <c r="X2225" s="21" t="s">
        <v>906</v>
      </c>
      <c r="Y2225" s="24" t="s">
        <v>901</v>
      </c>
      <c r="Z2225" s="24" t="s">
        <v>902</v>
      </c>
      <c r="AA2225" s="24" t="s">
        <v>903</v>
      </c>
    </row>
    <row r="2226" spans="1:27" ht="14.4" hidden="1" customHeight="1" x14ac:dyDescent="0.3">
      <c r="A2226" s="4" t="s">
        <v>0</v>
      </c>
      <c r="B2226" s="4" t="s">
        <v>17</v>
      </c>
      <c r="C2226" s="16" t="s">
        <v>18</v>
      </c>
      <c r="D2226" s="4">
        <v>10</v>
      </c>
      <c r="E2226" s="4" t="s">
        <v>745</v>
      </c>
      <c r="F2226" t="s">
        <v>620</v>
      </c>
      <c r="G2226" t="s">
        <v>836</v>
      </c>
      <c r="H2226" s="4" t="s">
        <v>55</v>
      </c>
      <c r="I2226" s="4" t="s">
        <v>21</v>
      </c>
      <c r="J2226" s="4" t="s">
        <v>55</v>
      </c>
      <c r="K2226" s="4" t="s">
        <v>21</v>
      </c>
      <c r="L2226" s="4" t="s">
        <v>742</v>
      </c>
      <c r="M2226" s="17">
        <v>14</v>
      </c>
      <c r="N2226" s="17">
        <v>920</v>
      </c>
      <c r="O2226" s="18" t="s">
        <v>55</v>
      </c>
      <c r="P2226" s="18">
        <v>920</v>
      </c>
      <c r="Q2226" s="18">
        <v>14</v>
      </c>
      <c r="R2226" s="18" t="str">
        <f>VLOOKUP(AUDITORIA[[#This Row],[LOTE]],[1]ENDEREÇAMENTO!$C$2:$J$9999,8,FALSE)</f>
        <v>Cam.B</v>
      </c>
      <c r="S2226" s="18" t="str">
        <f>VLOOKUP(RIGHT(AUDITORIA[[#This Row],[LOTE]],4),[2]Lotes!$A$2:$E$209,2,FALSE)</f>
        <v>QD.07</v>
      </c>
      <c r="T2226" s="18" t="str">
        <f>VLOOKUP(RIGHT(AUDITORIA[[#This Row],[LOTE]],4),[2]Lotes!$A$2:$E$209,4,FALSE)</f>
        <v>F1</v>
      </c>
      <c r="U22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26" s="19">
        <f>IF(AUDITORIA[[#This Row],[CAT]]="",0,1)</f>
        <v>1</v>
      </c>
      <c r="W2226" s="20">
        <v>46232</v>
      </c>
      <c r="X2226" s="21" t="s">
        <v>906</v>
      </c>
      <c r="Y2226" s="24" t="s">
        <v>901</v>
      </c>
      <c r="Z2226" s="24" t="s">
        <v>902</v>
      </c>
      <c r="AA2226" s="24" t="s">
        <v>903</v>
      </c>
    </row>
    <row r="2227" spans="1:27" ht="14.4" hidden="1" customHeight="1" x14ac:dyDescent="0.3">
      <c r="A2227" s="4" t="s">
        <v>0</v>
      </c>
      <c r="B2227" s="4" t="s">
        <v>17</v>
      </c>
      <c r="C2227" s="16" t="s">
        <v>18</v>
      </c>
      <c r="D2227" s="4">
        <v>10</v>
      </c>
      <c r="E2227" s="4" t="s">
        <v>745</v>
      </c>
      <c r="F2227" t="s">
        <v>619</v>
      </c>
      <c r="G2227" t="s">
        <v>836</v>
      </c>
      <c r="H2227" s="4" t="s">
        <v>55</v>
      </c>
      <c r="I2227" s="4" t="s">
        <v>20</v>
      </c>
      <c r="J2227" s="4" t="s">
        <v>55</v>
      </c>
      <c r="K2227" s="4" t="s">
        <v>20</v>
      </c>
      <c r="L2227" s="4" t="s">
        <v>742</v>
      </c>
      <c r="M2227" s="17">
        <v>8</v>
      </c>
      <c r="N2227" s="17">
        <v>715</v>
      </c>
      <c r="O2227" s="18" t="s">
        <v>55</v>
      </c>
      <c r="P2227" s="18">
        <v>715</v>
      </c>
      <c r="Q2227" s="18">
        <v>8</v>
      </c>
      <c r="R2227" s="18" t="str">
        <f>VLOOKUP(AUDITORIA[[#This Row],[LOTE]],[1]ENDEREÇAMENTO!$C$2:$J$9999,8,FALSE)</f>
        <v>Cam.B</v>
      </c>
      <c r="S2227" s="18" t="str">
        <f>VLOOKUP(RIGHT(AUDITORIA[[#This Row],[LOTE]],4),[2]Lotes!$A$2:$E$209,2,FALSE)</f>
        <v>QD.05</v>
      </c>
      <c r="T2227" s="18" t="str">
        <f>VLOOKUP(RIGHT(AUDITORIA[[#This Row],[LOTE]],4),[2]Lotes!$A$2:$E$209,4,FALSE)</f>
        <v>F5</v>
      </c>
      <c r="U22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27" s="19">
        <f>IF(AUDITORIA[[#This Row],[CAT]]="",0,1)</f>
        <v>1</v>
      </c>
      <c r="W2227" s="20">
        <v>46232</v>
      </c>
      <c r="X2227" s="21" t="s">
        <v>906</v>
      </c>
      <c r="Y2227" s="24" t="s">
        <v>901</v>
      </c>
      <c r="Z2227" s="24" t="s">
        <v>902</v>
      </c>
      <c r="AA2227" s="24" t="s">
        <v>903</v>
      </c>
    </row>
    <row r="2228" spans="1:27" ht="14.4" hidden="1" customHeight="1" x14ac:dyDescent="0.3">
      <c r="A2228" s="4" t="s">
        <v>0</v>
      </c>
      <c r="B2228" s="4" t="s">
        <v>17</v>
      </c>
      <c r="C2228" s="16" t="s">
        <v>18</v>
      </c>
      <c r="D2228" s="4">
        <v>10</v>
      </c>
      <c r="E2228" s="4" t="s">
        <v>745</v>
      </c>
      <c r="F2228" t="s">
        <v>618</v>
      </c>
      <c r="G2228" t="s">
        <v>837</v>
      </c>
      <c r="H2228" s="4" t="s">
        <v>55</v>
      </c>
      <c r="I2228" s="4" t="s">
        <v>20</v>
      </c>
      <c r="J2228" s="4" t="s">
        <v>55</v>
      </c>
      <c r="K2228" s="4" t="s">
        <v>20</v>
      </c>
      <c r="L2228" s="4" t="s">
        <v>742</v>
      </c>
      <c r="M2228" s="17">
        <v>30</v>
      </c>
      <c r="N2228" s="17">
        <v>652</v>
      </c>
      <c r="O2228" s="18" t="s">
        <v>55</v>
      </c>
      <c r="P2228" s="18">
        <v>652</v>
      </c>
      <c r="Q2228" s="18">
        <v>30</v>
      </c>
      <c r="R2228" s="18" t="str">
        <f>VLOOKUP(AUDITORIA[[#This Row],[LOTE]],[1]ENDEREÇAMENTO!$C$2:$J$9999,8,FALSE)</f>
        <v>Cam.B</v>
      </c>
      <c r="S2228" s="18" t="str">
        <f>VLOOKUP(RIGHT(AUDITORIA[[#This Row],[LOTE]],4),[2]Lotes!$A$2:$E$209,2,FALSE)</f>
        <v>QD.08</v>
      </c>
      <c r="T2228" s="18" t="str">
        <f>VLOOKUP(RIGHT(AUDITORIA[[#This Row],[LOTE]],4),[2]Lotes!$A$2:$E$209,4,FALSE)</f>
        <v>F1</v>
      </c>
      <c r="U22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28" s="19">
        <f>IF(AUDITORIA[[#This Row],[CAT]]="",0,1)</f>
        <v>1</v>
      </c>
      <c r="W2228" s="20">
        <v>46232</v>
      </c>
      <c r="X2228" s="21" t="s">
        <v>906</v>
      </c>
      <c r="Y2228" s="24" t="s">
        <v>901</v>
      </c>
      <c r="Z2228" s="24" t="s">
        <v>902</v>
      </c>
      <c r="AA2228" s="24" t="s">
        <v>903</v>
      </c>
    </row>
    <row r="2229" spans="1:27" ht="14.4" hidden="1" customHeight="1" x14ac:dyDescent="0.3">
      <c r="A2229" s="4" t="s">
        <v>0</v>
      </c>
      <c r="B2229" s="4" t="s">
        <v>17</v>
      </c>
      <c r="C2229" s="16" t="s">
        <v>18</v>
      </c>
      <c r="D2229" s="4">
        <v>10</v>
      </c>
      <c r="E2229" s="4" t="s">
        <v>745</v>
      </c>
      <c r="F2229" t="s">
        <v>617</v>
      </c>
      <c r="G2229" t="s">
        <v>837</v>
      </c>
      <c r="H2229" s="4" t="s">
        <v>55</v>
      </c>
      <c r="I2229" s="4" t="s">
        <v>21</v>
      </c>
      <c r="J2229" s="4" t="s">
        <v>55</v>
      </c>
      <c r="K2229" s="4" t="s">
        <v>21</v>
      </c>
      <c r="L2229" s="4" t="s">
        <v>742</v>
      </c>
      <c r="M2229" s="17">
        <v>30</v>
      </c>
      <c r="N2229" s="17">
        <v>837</v>
      </c>
      <c r="O2229" s="18" t="s">
        <v>55</v>
      </c>
      <c r="P2229" s="18">
        <v>837</v>
      </c>
      <c r="Q2229" s="18">
        <v>30</v>
      </c>
      <c r="R2229" s="18" t="str">
        <f>VLOOKUP(AUDITORIA[[#This Row],[LOTE]],[1]ENDEREÇAMENTO!$C$2:$J$9999,8,FALSE)</f>
        <v>Cam.B</v>
      </c>
      <c r="S2229" s="18" t="str">
        <f>VLOOKUP(RIGHT(AUDITORIA[[#This Row],[LOTE]],4),[2]Lotes!$A$2:$E$209,2,FALSE)</f>
        <v>QD.09</v>
      </c>
      <c r="T2229" s="18" t="str">
        <f>VLOOKUP(RIGHT(AUDITORIA[[#This Row],[LOTE]],4),[2]Lotes!$A$2:$E$209,4,FALSE)</f>
        <v>F2</v>
      </c>
      <c r="U22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29" s="19">
        <f>IF(AUDITORIA[[#This Row],[CAT]]="",0,1)</f>
        <v>1</v>
      </c>
      <c r="W2229" s="20">
        <v>46232</v>
      </c>
      <c r="X2229" s="21" t="s">
        <v>906</v>
      </c>
      <c r="Y2229" s="24" t="s">
        <v>901</v>
      </c>
      <c r="Z2229" s="24" t="s">
        <v>902</v>
      </c>
      <c r="AA2229" s="24" t="s">
        <v>903</v>
      </c>
    </row>
    <row r="2230" spans="1:27" ht="14.4" hidden="1" customHeight="1" x14ac:dyDescent="0.3">
      <c r="A2230" s="4" t="s">
        <v>0</v>
      </c>
      <c r="B2230" s="4" t="s">
        <v>17</v>
      </c>
      <c r="C2230" s="16" t="s">
        <v>18</v>
      </c>
      <c r="D2230" s="4">
        <v>10</v>
      </c>
      <c r="E2230" s="4" t="s">
        <v>745</v>
      </c>
      <c r="F2230" t="s">
        <v>616</v>
      </c>
      <c r="G2230" t="s">
        <v>837</v>
      </c>
      <c r="H2230" s="4" t="s">
        <v>55</v>
      </c>
      <c r="I2230" s="4" t="s">
        <v>20</v>
      </c>
      <c r="J2230" s="4" t="s">
        <v>55</v>
      </c>
      <c r="K2230" s="4" t="s">
        <v>20</v>
      </c>
      <c r="L2230" s="4" t="s">
        <v>742</v>
      </c>
      <c r="M2230" s="17">
        <v>30</v>
      </c>
      <c r="N2230" s="17">
        <v>660</v>
      </c>
      <c r="O2230" s="18" t="s">
        <v>55</v>
      </c>
      <c r="P2230" s="18">
        <v>660</v>
      </c>
      <c r="Q2230" s="18">
        <v>30</v>
      </c>
      <c r="R2230" s="18" t="str">
        <f>VLOOKUP(AUDITORIA[[#This Row],[LOTE]],[1]ENDEREÇAMENTO!$C$2:$J$9999,8,FALSE)</f>
        <v>Cam.B</v>
      </c>
      <c r="S2230" s="18" t="str">
        <f>VLOOKUP(RIGHT(AUDITORIA[[#This Row],[LOTE]],4),[2]Lotes!$A$2:$E$209,2,FALSE)</f>
        <v>QD.08</v>
      </c>
      <c r="T2230" s="18" t="str">
        <f>VLOOKUP(RIGHT(AUDITORIA[[#This Row],[LOTE]],4),[2]Lotes!$A$2:$E$209,4,FALSE)</f>
        <v>F2</v>
      </c>
      <c r="U22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30" s="19">
        <f>IF(AUDITORIA[[#This Row],[CAT]]="",0,1)</f>
        <v>1</v>
      </c>
      <c r="W2230" s="20">
        <v>46232</v>
      </c>
      <c r="X2230" s="21" t="s">
        <v>906</v>
      </c>
      <c r="Y2230" s="24" t="s">
        <v>901</v>
      </c>
      <c r="Z2230" s="24" t="s">
        <v>902</v>
      </c>
      <c r="AA2230" s="24" t="s">
        <v>903</v>
      </c>
    </row>
    <row r="2231" spans="1:27" ht="14.4" hidden="1" customHeight="1" x14ac:dyDescent="0.3">
      <c r="A2231" s="4" t="s">
        <v>0</v>
      </c>
      <c r="B2231" s="4" t="s">
        <v>17</v>
      </c>
      <c r="C2231" s="16" t="s">
        <v>18</v>
      </c>
      <c r="D2231" s="4">
        <v>10</v>
      </c>
      <c r="E2231" s="4" t="s">
        <v>745</v>
      </c>
      <c r="F2231" t="s">
        <v>615</v>
      </c>
      <c r="G2231" t="s">
        <v>837</v>
      </c>
      <c r="H2231" s="4" t="s">
        <v>55</v>
      </c>
      <c r="I2231" s="4" t="s">
        <v>21</v>
      </c>
      <c r="J2231" s="4" t="s">
        <v>55</v>
      </c>
      <c r="K2231" s="4" t="s">
        <v>21</v>
      </c>
      <c r="L2231" s="4" t="s">
        <v>742</v>
      </c>
      <c r="M2231" s="17">
        <v>30</v>
      </c>
      <c r="N2231" s="17">
        <v>833</v>
      </c>
      <c r="O2231" s="18" t="s">
        <v>55</v>
      </c>
      <c r="P2231" s="18">
        <v>833</v>
      </c>
      <c r="Q2231" s="18">
        <v>30</v>
      </c>
      <c r="R2231" s="18" t="str">
        <f>VLOOKUP(AUDITORIA[[#This Row],[LOTE]],[1]ENDEREÇAMENTO!$C$2:$J$9999,8,FALSE)</f>
        <v>Cam.B</v>
      </c>
      <c r="S2231" s="18" t="str">
        <f>VLOOKUP(RIGHT(AUDITORIA[[#This Row],[LOTE]],4),[2]Lotes!$A$2:$E$209,2,FALSE)</f>
        <v>QD.10</v>
      </c>
      <c r="T2231" s="18" t="str">
        <f>VLOOKUP(RIGHT(AUDITORIA[[#This Row],[LOTE]],4),[2]Lotes!$A$2:$E$209,4,FALSE)</f>
        <v>F2</v>
      </c>
      <c r="U22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31" s="19">
        <f>IF(AUDITORIA[[#This Row],[CAT]]="",0,1)</f>
        <v>1</v>
      </c>
      <c r="W2231" s="20">
        <v>46232</v>
      </c>
      <c r="X2231" s="21" t="s">
        <v>906</v>
      </c>
      <c r="Y2231" s="24" t="s">
        <v>901</v>
      </c>
      <c r="Z2231" s="24" t="s">
        <v>902</v>
      </c>
      <c r="AA2231" s="24" t="s">
        <v>903</v>
      </c>
    </row>
    <row r="2232" spans="1:27" ht="14.4" hidden="1" customHeight="1" x14ac:dyDescent="0.3">
      <c r="A2232" s="4" t="s">
        <v>0</v>
      </c>
      <c r="B2232" s="4" t="s">
        <v>17</v>
      </c>
      <c r="C2232" s="16" t="s">
        <v>18</v>
      </c>
      <c r="D2232" s="4">
        <v>10</v>
      </c>
      <c r="E2232" s="4" t="s">
        <v>745</v>
      </c>
      <c r="F2232" t="s">
        <v>613</v>
      </c>
      <c r="G2232" t="s">
        <v>837</v>
      </c>
      <c r="H2232" s="4" t="s">
        <v>55</v>
      </c>
      <c r="I2232" s="4" t="s">
        <v>20</v>
      </c>
      <c r="J2232" s="4" t="s">
        <v>55</v>
      </c>
      <c r="K2232" s="4" t="s">
        <v>20</v>
      </c>
      <c r="L2232" s="4" t="s">
        <v>742</v>
      </c>
      <c r="M2232" s="17">
        <v>30</v>
      </c>
      <c r="N2232" s="17">
        <v>645</v>
      </c>
      <c r="O2232" s="18" t="s">
        <v>55</v>
      </c>
      <c r="P2232" s="18">
        <v>645</v>
      </c>
      <c r="Q2232" s="18">
        <v>30</v>
      </c>
      <c r="R2232" s="18" t="str">
        <f>VLOOKUP(AUDITORIA[[#This Row],[LOTE]],[1]ENDEREÇAMENTO!$C$2:$J$9999,8,FALSE)</f>
        <v>Cam.B</v>
      </c>
      <c r="S2232" s="18" t="str">
        <f>VLOOKUP(RIGHT(AUDITORIA[[#This Row],[LOTE]],4),[2]Lotes!$A$2:$E$209,2,FALSE)</f>
        <v>QD.08</v>
      </c>
      <c r="T2232" s="18" t="str">
        <f>VLOOKUP(RIGHT(AUDITORIA[[#This Row],[LOTE]],4),[2]Lotes!$A$2:$E$209,4,FALSE)</f>
        <v>F3</v>
      </c>
      <c r="U22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32" s="19">
        <f>IF(AUDITORIA[[#This Row],[CAT]]="",0,1)</f>
        <v>1</v>
      </c>
      <c r="W2232" s="20">
        <v>46232</v>
      </c>
      <c r="X2232" s="21" t="s">
        <v>906</v>
      </c>
      <c r="Y2232" s="24" t="s">
        <v>901</v>
      </c>
      <c r="Z2232" s="24" t="s">
        <v>902</v>
      </c>
      <c r="AA2232" s="24" t="s">
        <v>903</v>
      </c>
    </row>
    <row r="2233" spans="1:27" ht="14.4" hidden="1" customHeight="1" x14ac:dyDescent="0.3">
      <c r="A2233" s="4" t="s">
        <v>0</v>
      </c>
      <c r="B2233" s="4" t="s">
        <v>17</v>
      </c>
      <c r="C2233" s="16" t="s">
        <v>18</v>
      </c>
      <c r="D2233" s="4">
        <v>10</v>
      </c>
      <c r="E2233" s="4" t="s">
        <v>745</v>
      </c>
      <c r="F2233" t="s">
        <v>614</v>
      </c>
      <c r="G2233" t="s">
        <v>837</v>
      </c>
      <c r="H2233" s="4" t="s">
        <v>55</v>
      </c>
      <c r="I2233" s="4" t="s">
        <v>21</v>
      </c>
      <c r="J2233" s="4" t="s">
        <v>55</v>
      </c>
      <c r="K2233" s="4" t="s">
        <v>21</v>
      </c>
      <c r="L2233" s="4" t="s">
        <v>742</v>
      </c>
      <c r="M2233" s="17">
        <v>30</v>
      </c>
      <c r="N2233" s="17">
        <v>833</v>
      </c>
      <c r="O2233" s="18" t="s">
        <v>55</v>
      </c>
      <c r="P2233" s="18">
        <v>833</v>
      </c>
      <c r="Q2233" s="18">
        <v>30</v>
      </c>
      <c r="R2233" s="18" t="str">
        <f>VLOOKUP(AUDITORIA[[#This Row],[LOTE]],[1]ENDEREÇAMENTO!$C$2:$J$9999,8,FALSE)</f>
        <v>Cam.C</v>
      </c>
      <c r="S2233" s="18" t="str">
        <f>VLOOKUP(RIGHT(AUDITORIA[[#This Row],[LOTE]],4),[2]Lotes!$A$2:$E$209,2,FALSE)</f>
        <v>QD.21</v>
      </c>
      <c r="T2233" s="18" t="str">
        <f>VLOOKUP(RIGHT(AUDITORIA[[#This Row],[LOTE]],4),[2]Lotes!$A$2:$E$209,4,FALSE)</f>
        <v>F2</v>
      </c>
      <c r="U22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33" s="19">
        <f>IF(AUDITORIA[[#This Row],[CAT]]="",0,1)</f>
        <v>1</v>
      </c>
      <c r="W2233" s="20">
        <v>46232</v>
      </c>
      <c r="X2233" s="21" t="s">
        <v>906</v>
      </c>
      <c r="Y2233" s="24" t="s">
        <v>901</v>
      </c>
      <c r="Z2233" s="24" t="s">
        <v>902</v>
      </c>
      <c r="AA2233" s="24" t="s">
        <v>903</v>
      </c>
    </row>
    <row r="2234" spans="1:27" ht="14.4" hidden="1" customHeight="1" x14ac:dyDescent="0.3">
      <c r="A2234" s="4" t="s">
        <v>0</v>
      </c>
      <c r="B2234" s="4" t="s">
        <v>17</v>
      </c>
      <c r="C2234" s="16" t="s">
        <v>18</v>
      </c>
      <c r="D2234" s="4">
        <v>10</v>
      </c>
      <c r="E2234" s="4" t="s">
        <v>745</v>
      </c>
      <c r="F2234" t="s">
        <v>773</v>
      </c>
      <c r="G2234" t="s">
        <v>837</v>
      </c>
      <c r="H2234" s="4" t="s">
        <v>55</v>
      </c>
      <c r="I2234" s="4" t="s">
        <v>21</v>
      </c>
      <c r="J2234" s="4" t="s">
        <v>55</v>
      </c>
      <c r="K2234" s="4" t="s">
        <v>21</v>
      </c>
      <c r="L2234" s="4" t="s">
        <v>742</v>
      </c>
      <c r="M2234" s="17">
        <v>30</v>
      </c>
      <c r="N2234" s="17">
        <v>824</v>
      </c>
      <c r="O2234" s="18" t="s">
        <v>55</v>
      </c>
      <c r="P2234" s="18">
        <v>824</v>
      </c>
      <c r="Q2234" s="18">
        <v>30</v>
      </c>
      <c r="R2234" s="18" t="str">
        <f>VLOOKUP(AUDITORIA[[#This Row],[LOTE]],[1]ENDEREÇAMENTO!$C$2:$J$9999,8,FALSE)</f>
        <v>Cam.B</v>
      </c>
      <c r="S2234" s="18" t="str">
        <f>VLOOKUP(RIGHT(AUDITORIA[[#This Row],[LOTE]],4),[2]Lotes!$A$2:$E$209,2,FALSE)</f>
        <v>QD.09</v>
      </c>
      <c r="T2234" s="18" t="str">
        <f>VLOOKUP(RIGHT(AUDITORIA[[#This Row],[LOTE]],4),[2]Lotes!$A$2:$E$209,4,FALSE)</f>
        <v>F1</v>
      </c>
      <c r="U22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34" s="19">
        <f>IF(AUDITORIA[[#This Row],[CAT]]="",0,1)</f>
        <v>1</v>
      </c>
      <c r="W2234" s="20">
        <v>46232</v>
      </c>
      <c r="X2234" s="21" t="s">
        <v>906</v>
      </c>
      <c r="Y2234" s="24" t="s">
        <v>901</v>
      </c>
      <c r="Z2234" s="24" t="s">
        <v>902</v>
      </c>
      <c r="AA2234" s="24" t="s">
        <v>903</v>
      </c>
    </row>
    <row r="2235" spans="1:27" ht="14.4" hidden="1" customHeight="1" x14ac:dyDescent="0.3">
      <c r="A2235" s="4" t="s">
        <v>0</v>
      </c>
      <c r="B2235" s="4" t="s">
        <v>17</v>
      </c>
      <c r="C2235" s="16" t="s">
        <v>18</v>
      </c>
      <c r="D2235" s="4">
        <v>10</v>
      </c>
      <c r="E2235" s="4" t="s">
        <v>745</v>
      </c>
      <c r="F2235" t="s">
        <v>612</v>
      </c>
      <c r="G2235" t="s">
        <v>837</v>
      </c>
      <c r="H2235" s="4" t="s">
        <v>55</v>
      </c>
      <c r="I2235" s="4" t="s">
        <v>20</v>
      </c>
      <c r="J2235" s="4" t="s">
        <v>55</v>
      </c>
      <c r="K2235" s="4" t="s">
        <v>20</v>
      </c>
      <c r="L2235" s="4" t="s">
        <v>742</v>
      </c>
      <c r="M2235" s="17">
        <v>30</v>
      </c>
      <c r="N2235" s="17">
        <v>628</v>
      </c>
      <c r="O2235" s="18" t="s">
        <v>55</v>
      </c>
      <c r="P2235" s="18">
        <v>628</v>
      </c>
      <c r="Q2235" s="18">
        <v>30</v>
      </c>
      <c r="R2235" s="18" t="str">
        <f>VLOOKUP(AUDITORIA[[#This Row],[LOTE]],[1]ENDEREÇAMENTO!$C$2:$J$9999,8,FALSE)</f>
        <v>Cam.C</v>
      </c>
      <c r="S2235" s="18" t="str">
        <f>VLOOKUP(RIGHT(AUDITORIA[[#This Row],[LOTE]],4),[2]Lotes!$A$2:$E$209,2,FALSE)</f>
        <v>QD.12</v>
      </c>
      <c r="T2235" s="18" t="str">
        <f>VLOOKUP(RIGHT(AUDITORIA[[#This Row],[LOTE]],4),[2]Lotes!$A$2:$E$209,4,FALSE)</f>
        <v>F3</v>
      </c>
      <c r="U22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35" s="19">
        <f>IF(AUDITORIA[[#This Row],[CAT]]="",0,1)</f>
        <v>1</v>
      </c>
      <c r="W2235" s="20">
        <v>46232</v>
      </c>
      <c r="X2235" s="21" t="s">
        <v>906</v>
      </c>
      <c r="Y2235" s="24" t="s">
        <v>901</v>
      </c>
      <c r="Z2235" s="24" t="s">
        <v>902</v>
      </c>
      <c r="AA2235" s="24" t="s">
        <v>903</v>
      </c>
    </row>
    <row r="2236" spans="1:27" ht="14.4" hidden="1" customHeight="1" x14ac:dyDescent="0.3">
      <c r="A2236" s="4" t="s">
        <v>0</v>
      </c>
      <c r="B2236" s="4" t="s">
        <v>17</v>
      </c>
      <c r="C2236" s="16" t="s">
        <v>18</v>
      </c>
      <c r="D2236" s="4">
        <v>10</v>
      </c>
      <c r="E2236" s="4" t="s">
        <v>745</v>
      </c>
      <c r="F2236" t="s">
        <v>610</v>
      </c>
      <c r="G2236" t="s">
        <v>837</v>
      </c>
      <c r="H2236" s="4" t="s">
        <v>55</v>
      </c>
      <c r="I2236" s="4" t="s">
        <v>20</v>
      </c>
      <c r="J2236" s="4" t="s">
        <v>55</v>
      </c>
      <c r="K2236" s="4" t="s">
        <v>20</v>
      </c>
      <c r="L2236" s="4" t="s">
        <v>742</v>
      </c>
      <c r="M2236" s="17">
        <v>30</v>
      </c>
      <c r="N2236" s="17">
        <v>635</v>
      </c>
      <c r="O2236" s="18" t="s">
        <v>55</v>
      </c>
      <c r="P2236" s="18">
        <v>635</v>
      </c>
      <c r="Q2236" s="18">
        <v>30</v>
      </c>
      <c r="R2236" s="18" t="str">
        <f>VLOOKUP(AUDITORIA[[#This Row],[LOTE]],[1]ENDEREÇAMENTO!$C$2:$J$9999,8,FALSE)</f>
        <v>Cam.C</v>
      </c>
      <c r="S2236" s="18" t="str">
        <f>VLOOKUP(RIGHT(AUDITORIA[[#This Row],[LOTE]],4),[2]Lotes!$A$2:$E$209,2,FALSE)</f>
        <v>QD.12</v>
      </c>
      <c r="T2236" s="18" t="str">
        <f>VLOOKUP(RIGHT(AUDITORIA[[#This Row],[LOTE]],4),[2]Lotes!$A$2:$E$209,4,FALSE)</f>
        <v>F2</v>
      </c>
      <c r="U22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36" s="19">
        <f>IF(AUDITORIA[[#This Row],[CAT]]="",0,1)</f>
        <v>1</v>
      </c>
      <c r="W2236" s="20">
        <v>46232</v>
      </c>
      <c r="X2236" s="21" t="s">
        <v>906</v>
      </c>
      <c r="Y2236" s="24" t="s">
        <v>901</v>
      </c>
      <c r="Z2236" s="24" t="s">
        <v>902</v>
      </c>
      <c r="AA2236" s="24" t="s">
        <v>903</v>
      </c>
    </row>
    <row r="2237" spans="1:27" ht="14.4" hidden="1" customHeight="1" x14ac:dyDescent="0.3">
      <c r="A2237" s="4" t="s">
        <v>0</v>
      </c>
      <c r="B2237" s="4" t="s">
        <v>17</v>
      </c>
      <c r="C2237" s="16" t="s">
        <v>18</v>
      </c>
      <c r="D2237" s="4">
        <v>10</v>
      </c>
      <c r="E2237" s="4" t="s">
        <v>745</v>
      </c>
      <c r="F2237" t="s">
        <v>611</v>
      </c>
      <c r="G2237" t="s">
        <v>837</v>
      </c>
      <c r="H2237" s="4" t="s">
        <v>55</v>
      </c>
      <c r="I2237" s="4" t="s">
        <v>21</v>
      </c>
      <c r="J2237" s="4" t="s">
        <v>55</v>
      </c>
      <c r="K2237" s="4" t="s">
        <v>21</v>
      </c>
      <c r="L2237" s="4" t="s">
        <v>742</v>
      </c>
      <c r="M2237" s="17">
        <v>30</v>
      </c>
      <c r="N2237" s="17">
        <v>827</v>
      </c>
      <c r="O2237" s="18" t="s">
        <v>55</v>
      </c>
      <c r="P2237" s="18">
        <v>827</v>
      </c>
      <c r="Q2237" s="18">
        <v>30</v>
      </c>
      <c r="R2237" s="18" t="str">
        <f>VLOOKUP(AUDITORIA[[#This Row],[LOTE]],[1]ENDEREÇAMENTO!$C$2:$J$9999,8,FALSE)</f>
        <v>Cam.C</v>
      </c>
      <c r="S2237" s="18" t="str">
        <f>VLOOKUP(RIGHT(AUDITORIA[[#This Row],[LOTE]],4),[2]Lotes!$A$2:$E$209,2,FALSE)</f>
        <v>QD.21</v>
      </c>
      <c r="T2237" s="18" t="str">
        <f>VLOOKUP(RIGHT(AUDITORIA[[#This Row],[LOTE]],4),[2]Lotes!$A$2:$E$209,4,FALSE)</f>
        <v>F1</v>
      </c>
      <c r="U22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37" s="19">
        <f>IF(AUDITORIA[[#This Row],[CAT]]="",0,1)</f>
        <v>1</v>
      </c>
      <c r="W2237" s="20">
        <v>46232</v>
      </c>
      <c r="X2237" s="21" t="s">
        <v>906</v>
      </c>
      <c r="Y2237" s="24" t="s">
        <v>901</v>
      </c>
      <c r="Z2237" s="24" t="s">
        <v>902</v>
      </c>
      <c r="AA2237" s="24" t="s">
        <v>903</v>
      </c>
    </row>
    <row r="2238" spans="1:27" ht="14.4" hidden="1" customHeight="1" x14ac:dyDescent="0.3">
      <c r="A2238" s="4" t="s">
        <v>0</v>
      </c>
      <c r="B2238" s="4" t="s">
        <v>17</v>
      </c>
      <c r="C2238" s="16" t="s">
        <v>18</v>
      </c>
      <c r="D2238" s="4">
        <v>10</v>
      </c>
      <c r="E2238" s="4" t="s">
        <v>745</v>
      </c>
      <c r="F2238" t="s">
        <v>609</v>
      </c>
      <c r="G2238" t="s">
        <v>837</v>
      </c>
      <c r="H2238" s="4" t="s">
        <v>55</v>
      </c>
      <c r="I2238" s="4" t="s">
        <v>21</v>
      </c>
      <c r="J2238" s="4" t="s">
        <v>55</v>
      </c>
      <c r="K2238" s="4" t="s">
        <v>21</v>
      </c>
      <c r="L2238" s="4" t="s">
        <v>742</v>
      </c>
      <c r="M2238" s="17">
        <v>30</v>
      </c>
      <c r="N2238" s="17">
        <v>835</v>
      </c>
      <c r="O2238" s="18" t="s">
        <v>55</v>
      </c>
      <c r="P2238" s="18">
        <v>835</v>
      </c>
      <c r="Q2238" s="18">
        <v>30</v>
      </c>
      <c r="R2238" s="18" t="str">
        <f>VLOOKUP(AUDITORIA[[#This Row],[LOTE]],[1]ENDEREÇAMENTO!$C$2:$J$9999,8,FALSE)</f>
        <v>Cam.B</v>
      </c>
      <c r="S2238" s="18" t="str">
        <f>VLOOKUP(RIGHT(AUDITORIA[[#This Row],[LOTE]],4),[2]Lotes!$A$2:$E$209,2,FALSE)</f>
        <v>QD.09</v>
      </c>
      <c r="T2238" s="18" t="str">
        <f>VLOOKUP(RIGHT(AUDITORIA[[#This Row],[LOTE]],4),[2]Lotes!$A$2:$E$209,4,FALSE)</f>
        <v>F3</v>
      </c>
      <c r="U22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38" s="19">
        <f>IF(AUDITORIA[[#This Row],[CAT]]="",0,1)</f>
        <v>1</v>
      </c>
      <c r="W2238" s="20">
        <v>46232</v>
      </c>
      <c r="X2238" s="21" t="s">
        <v>906</v>
      </c>
      <c r="Y2238" s="24" t="s">
        <v>901</v>
      </c>
      <c r="Z2238" s="24" t="s">
        <v>902</v>
      </c>
      <c r="AA2238" s="24" t="s">
        <v>903</v>
      </c>
    </row>
    <row r="2239" spans="1:27" ht="14.4" hidden="1" customHeight="1" x14ac:dyDescent="0.3">
      <c r="A2239" s="4" t="s">
        <v>0</v>
      </c>
      <c r="B2239" s="4" t="s">
        <v>17</v>
      </c>
      <c r="C2239" s="16" t="s">
        <v>18</v>
      </c>
      <c r="D2239" s="4">
        <v>10</v>
      </c>
      <c r="E2239" s="4" t="s">
        <v>745</v>
      </c>
      <c r="F2239" t="s">
        <v>608</v>
      </c>
      <c r="G2239" t="s">
        <v>837</v>
      </c>
      <c r="H2239" s="4" t="s">
        <v>55</v>
      </c>
      <c r="I2239" s="4" t="s">
        <v>20</v>
      </c>
      <c r="J2239" s="4" t="s">
        <v>55</v>
      </c>
      <c r="K2239" s="4" t="s">
        <v>20</v>
      </c>
      <c r="L2239" s="4" t="s">
        <v>742</v>
      </c>
      <c r="M2239" s="17">
        <v>30</v>
      </c>
      <c r="N2239" s="17">
        <v>648</v>
      </c>
      <c r="O2239" s="18" t="s">
        <v>55</v>
      </c>
      <c r="P2239" s="18">
        <v>648</v>
      </c>
      <c r="Q2239" s="18">
        <v>30</v>
      </c>
      <c r="R2239" s="18" t="str">
        <f>VLOOKUP(AUDITORIA[[#This Row],[LOTE]],[1]ENDEREÇAMENTO!$C$2:$J$9999,8,FALSE)</f>
        <v>Cam.C</v>
      </c>
      <c r="S2239" s="18" t="str">
        <f>VLOOKUP(RIGHT(AUDITORIA[[#This Row],[LOTE]],4),[2]Lotes!$A$2:$E$209,2,FALSE)</f>
        <v>QD.12</v>
      </c>
      <c r="T2239" s="18" t="str">
        <f>VLOOKUP(RIGHT(AUDITORIA[[#This Row],[LOTE]],4),[2]Lotes!$A$2:$E$209,4,FALSE)</f>
        <v>F1</v>
      </c>
      <c r="U22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39" s="19">
        <f>IF(AUDITORIA[[#This Row],[CAT]]="",0,1)</f>
        <v>1</v>
      </c>
      <c r="W2239" s="20">
        <v>46232</v>
      </c>
      <c r="X2239" s="21" t="s">
        <v>906</v>
      </c>
      <c r="Y2239" s="24" t="s">
        <v>901</v>
      </c>
      <c r="Z2239" s="24" t="s">
        <v>902</v>
      </c>
      <c r="AA2239" s="24" t="s">
        <v>903</v>
      </c>
    </row>
    <row r="2240" spans="1:27" ht="14.4" hidden="1" customHeight="1" x14ac:dyDescent="0.3">
      <c r="A2240" s="4" t="s">
        <v>0</v>
      </c>
      <c r="B2240" s="4" t="s">
        <v>17</v>
      </c>
      <c r="C2240" s="16" t="s">
        <v>18</v>
      </c>
      <c r="D2240" s="4">
        <v>10</v>
      </c>
      <c r="E2240" s="4" t="s">
        <v>745</v>
      </c>
      <c r="F2240" t="s">
        <v>607</v>
      </c>
      <c r="G2240" t="s">
        <v>837</v>
      </c>
      <c r="H2240" s="4" t="s">
        <v>55</v>
      </c>
      <c r="I2240" s="4" t="s">
        <v>21</v>
      </c>
      <c r="J2240" s="4" t="s">
        <v>55</v>
      </c>
      <c r="K2240" s="4" t="s">
        <v>21</v>
      </c>
      <c r="L2240" s="4" t="s">
        <v>742</v>
      </c>
      <c r="M2240" s="17">
        <v>30</v>
      </c>
      <c r="N2240" s="17">
        <v>828</v>
      </c>
      <c r="O2240" s="18" t="s">
        <v>55</v>
      </c>
      <c r="P2240" s="18">
        <v>828</v>
      </c>
      <c r="Q2240" s="18">
        <v>30</v>
      </c>
      <c r="R2240" s="18" t="str">
        <f>VLOOKUP(AUDITORIA[[#This Row],[LOTE]],[1]ENDEREÇAMENTO!$C$2:$J$9999,8,FALSE)</f>
        <v>Cam.C</v>
      </c>
      <c r="S2240" s="18" t="str">
        <f>VLOOKUP(RIGHT(AUDITORIA[[#This Row],[LOTE]],4),[2]Lotes!$A$2:$E$209,2,FALSE)</f>
        <v>QD.36</v>
      </c>
      <c r="T2240" s="18" t="str">
        <f>VLOOKUP(RIGHT(AUDITORIA[[#This Row],[LOTE]],4),[2]Lotes!$A$2:$E$209,4,FALSE)</f>
        <v>F2</v>
      </c>
      <c r="U22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40" s="19">
        <f>IF(AUDITORIA[[#This Row],[CAT]]="",0,1)</f>
        <v>1</v>
      </c>
      <c r="W2240" s="20">
        <v>46232</v>
      </c>
      <c r="X2240" s="21" t="s">
        <v>906</v>
      </c>
      <c r="Y2240" s="24" t="s">
        <v>901</v>
      </c>
      <c r="Z2240" s="24" t="s">
        <v>902</v>
      </c>
      <c r="AA2240" s="24" t="s">
        <v>903</v>
      </c>
    </row>
    <row r="2241" spans="1:27" ht="14.4" hidden="1" customHeight="1" x14ac:dyDescent="0.3">
      <c r="A2241" s="4" t="s">
        <v>0</v>
      </c>
      <c r="B2241" s="4" t="s">
        <v>17</v>
      </c>
      <c r="C2241" s="16" t="s">
        <v>18</v>
      </c>
      <c r="D2241" s="4">
        <v>10</v>
      </c>
      <c r="E2241" s="4" t="s">
        <v>745</v>
      </c>
      <c r="F2241" t="s">
        <v>771</v>
      </c>
      <c r="G2241" t="s">
        <v>837</v>
      </c>
      <c r="H2241" s="4" t="s">
        <v>55</v>
      </c>
      <c r="I2241" s="4" t="s">
        <v>20</v>
      </c>
      <c r="J2241" s="4" t="s">
        <v>55</v>
      </c>
      <c r="K2241" s="4" t="s">
        <v>20</v>
      </c>
      <c r="L2241" s="4" t="s">
        <v>742</v>
      </c>
      <c r="M2241" s="17">
        <v>30</v>
      </c>
      <c r="N2241" s="17">
        <v>641</v>
      </c>
      <c r="O2241" s="18" t="s">
        <v>55</v>
      </c>
      <c r="P2241" s="18">
        <v>641</v>
      </c>
      <c r="Q2241" s="18">
        <v>30</v>
      </c>
      <c r="R2241" s="18" t="str">
        <f>VLOOKUP(AUDITORIA[[#This Row],[LOTE]],[1]ENDEREÇAMENTO!$C$2:$J$9999,8,FALSE)</f>
        <v>Cam.C</v>
      </c>
      <c r="S2241" s="18" t="str">
        <f>VLOOKUP(RIGHT(AUDITORIA[[#This Row],[LOTE]],4),[2]Lotes!$A$2:$E$209,2,FALSE)</f>
        <v>QD.21</v>
      </c>
      <c r="T2241" s="18" t="str">
        <f>VLOOKUP(RIGHT(AUDITORIA[[#This Row],[LOTE]],4),[2]Lotes!$A$2:$E$209,4,FALSE)</f>
        <v>F3</v>
      </c>
      <c r="U22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41" s="19">
        <f>IF(AUDITORIA[[#This Row],[CAT]]="",0,1)</f>
        <v>1</v>
      </c>
      <c r="W2241" s="20">
        <v>46232</v>
      </c>
      <c r="X2241" s="21" t="s">
        <v>906</v>
      </c>
      <c r="Y2241" s="24" t="s">
        <v>901</v>
      </c>
      <c r="Z2241" s="24" t="s">
        <v>902</v>
      </c>
      <c r="AA2241" s="24" t="s">
        <v>903</v>
      </c>
    </row>
    <row r="2242" spans="1:27" ht="14.4" hidden="1" customHeight="1" x14ac:dyDescent="0.3">
      <c r="A2242" s="4" t="s">
        <v>0</v>
      </c>
      <c r="B2242" s="4" t="s">
        <v>17</v>
      </c>
      <c r="C2242" s="16" t="s">
        <v>18</v>
      </c>
      <c r="D2242" s="4">
        <v>10</v>
      </c>
      <c r="E2242" s="4" t="s">
        <v>745</v>
      </c>
      <c r="F2242" t="s">
        <v>772</v>
      </c>
      <c r="G2242" t="s">
        <v>837</v>
      </c>
      <c r="H2242" s="4" t="s">
        <v>55</v>
      </c>
      <c r="I2242" s="4" t="s">
        <v>21</v>
      </c>
      <c r="J2242" s="4" t="s">
        <v>55</v>
      </c>
      <c r="K2242" s="4" t="s">
        <v>21</v>
      </c>
      <c r="L2242" s="4" t="s">
        <v>742</v>
      </c>
      <c r="M2242" s="17">
        <v>30</v>
      </c>
      <c r="N2242" s="17">
        <v>840</v>
      </c>
      <c r="O2242" s="18" t="s">
        <v>55</v>
      </c>
      <c r="P2242" s="18">
        <v>840</v>
      </c>
      <c r="Q2242" s="18">
        <v>30</v>
      </c>
      <c r="R2242" s="18" t="str">
        <f>VLOOKUP(AUDITORIA[[#This Row],[LOTE]],[1]ENDEREÇAMENTO!$C$2:$J$9999,8,FALSE)</f>
        <v>Cam.C</v>
      </c>
      <c r="S2242" s="18" t="str">
        <f>VLOOKUP(RIGHT(AUDITORIA[[#This Row],[LOTE]],4),[2]Lotes!$A$2:$E$209,2,FALSE)</f>
        <v>QD.36</v>
      </c>
      <c r="T2242" s="18" t="str">
        <f>VLOOKUP(RIGHT(AUDITORIA[[#This Row],[LOTE]],4),[2]Lotes!$A$2:$E$209,4,FALSE)</f>
        <v>F3</v>
      </c>
      <c r="U22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42" s="19">
        <f>IF(AUDITORIA[[#This Row],[CAT]]="",0,1)</f>
        <v>1</v>
      </c>
      <c r="W2242" s="20">
        <v>46232</v>
      </c>
      <c r="X2242" s="21" t="s">
        <v>906</v>
      </c>
      <c r="Y2242" s="24" t="s">
        <v>901</v>
      </c>
      <c r="Z2242" s="24" t="s">
        <v>902</v>
      </c>
      <c r="AA2242" s="24" t="s">
        <v>903</v>
      </c>
    </row>
    <row r="2243" spans="1:27" ht="14.4" hidden="1" customHeight="1" x14ac:dyDescent="0.3">
      <c r="A2243" s="4" t="s">
        <v>0</v>
      </c>
      <c r="B2243" s="4" t="s">
        <v>17</v>
      </c>
      <c r="C2243" s="16" t="s">
        <v>18</v>
      </c>
      <c r="D2243" s="4">
        <v>10</v>
      </c>
      <c r="E2243" s="4" t="s">
        <v>745</v>
      </c>
      <c r="F2243" t="s">
        <v>769</v>
      </c>
      <c r="G2243" t="s">
        <v>837</v>
      </c>
      <c r="H2243" s="4" t="s">
        <v>55</v>
      </c>
      <c r="I2243" s="4" t="s">
        <v>21</v>
      </c>
      <c r="J2243" s="4" t="s">
        <v>55</v>
      </c>
      <c r="K2243" s="4" t="s">
        <v>21</v>
      </c>
      <c r="L2243" s="4" t="s">
        <v>742</v>
      </c>
      <c r="M2243" s="17">
        <v>18</v>
      </c>
      <c r="N2243" s="17">
        <v>836</v>
      </c>
      <c r="O2243" s="18" t="s">
        <v>55</v>
      </c>
      <c r="P2243" s="18">
        <v>836</v>
      </c>
      <c r="Q2243" s="18">
        <v>18</v>
      </c>
      <c r="R2243" s="18" t="str">
        <f>VLOOKUP(AUDITORIA[[#This Row],[LOTE]],[1]ENDEREÇAMENTO!$C$2:$J$9999,8,FALSE)</f>
        <v>Cam.B</v>
      </c>
      <c r="S2243" s="18" t="str">
        <f>VLOOKUP(RIGHT(AUDITORIA[[#This Row],[LOTE]],4),[2]Lotes!$A$2:$E$209,2,FALSE)</f>
        <v>QD.06</v>
      </c>
      <c r="T2243" s="18" t="str">
        <f>VLOOKUP(RIGHT(AUDITORIA[[#This Row],[LOTE]],4),[2]Lotes!$A$2:$E$209,4,FALSE)</f>
        <v>F3</v>
      </c>
      <c r="U22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43" s="19">
        <f>IF(AUDITORIA[[#This Row],[CAT]]="",0,1)</f>
        <v>1</v>
      </c>
      <c r="W2243" s="20">
        <v>46232</v>
      </c>
      <c r="X2243" s="21" t="s">
        <v>906</v>
      </c>
      <c r="Y2243" s="24" t="s">
        <v>901</v>
      </c>
      <c r="Z2243" s="24" t="s">
        <v>902</v>
      </c>
      <c r="AA2243" s="24" t="s">
        <v>903</v>
      </c>
    </row>
    <row r="2244" spans="1:27" ht="14.4" hidden="1" customHeight="1" x14ac:dyDescent="0.3">
      <c r="A2244" s="4" t="s">
        <v>0</v>
      </c>
      <c r="B2244" s="4" t="s">
        <v>17</v>
      </c>
      <c r="C2244" s="16" t="s">
        <v>18</v>
      </c>
      <c r="D2244" s="4">
        <v>10</v>
      </c>
      <c r="E2244" s="4" t="s">
        <v>745</v>
      </c>
      <c r="F2244" t="s">
        <v>770</v>
      </c>
      <c r="G2244" t="s">
        <v>837</v>
      </c>
      <c r="H2244" s="4" t="s">
        <v>55</v>
      </c>
      <c r="I2244" s="4" t="s">
        <v>20</v>
      </c>
      <c r="J2244" s="4" t="s">
        <v>55</v>
      </c>
      <c r="K2244" s="4" t="s">
        <v>20</v>
      </c>
      <c r="L2244" s="4" t="s">
        <v>742</v>
      </c>
      <c r="M2244" s="17">
        <v>10</v>
      </c>
      <c r="N2244" s="17">
        <v>652</v>
      </c>
      <c r="O2244" s="18" t="s">
        <v>55</v>
      </c>
      <c r="P2244" s="18">
        <v>652</v>
      </c>
      <c r="Q2244" s="18">
        <v>10</v>
      </c>
      <c r="R2244" s="18" t="str">
        <f>VLOOKUP(AUDITORIA[[#This Row],[LOTE]],[1]ENDEREÇAMENTO!$C$2:$J$9999,8,FALSE)</f>
        <v>Cam.B</v>
      </c>
      <c r="S2244" s="18" t="str">
        <f>VLOOKUP(RIGHT(AUDITORIA[[#This Row],[LOTE]],4),[2]Lotes!$A$2:$E$209,2,FALSE)</f>
        <v>QD.05</v>
      </c>
      <c r="T2244" s="18" t="str">
        <f>VLOOKUP(RIGHT(AUDITORIA[[#This Row],[LOTE]],4),[2]Lotes!$A$2:$E$209,4,FALSE)</f>
        <v>F1</v>
      </c>
      <c r="U22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44" s="19">
        <f>IF(AUDITORIA[[#This Row],[CAT]]="",0,1)</f>
        <v>1</v>
      </c>
      <c r="W2244" s="20">
        <v>46232</v>
      </c>
      <c r="X2244" s="21" t="s">
        <v>906</v>
      </c>
      <c r="Y2244" s="24" t="s">
        <v>901</v>
      </c>
      <c r="Z2244" s="24" t="s">
        <v>902</v>
      </c>
      <c r="AA2244" s="24" t="s">
        <v>903</v>
      </c>
    </row>
    <row r="2245" spans="1:27" ht="14.4" hidden="1" customHeight="1" x14ac:dyDescent="0.3">
      <c r="A2245" s="4" t="s">
        <v>0</v>
      </c>
      <c r="B2245" s="4" t="s">
        <v>17</v>
      </c>
      <c r="C2245" s="16" t="s">
        <v>18</v>
      </c>
      <c r="D2245" s="4">
        <v>10</v>
      </c>
      <c r="E2245" s="4" t="s">
        <v>745</v>
      </c>
      <c r="F2245" t="s">
        <v>768</v>
      </c>
      <c r="G2245" t="s">
        <v>233</v>
      </c>
      <c r="H2245" s="4" t="s">
        <v>88</v>
      </c>
      <c r="I2245" s="4" t="s">
        <v>21</v>
      </c>
      <c r="J2245" s="4" t="s">
        <v>88</v>
      </c>
      <c r="K2245" s="4" t="s">
        <v>21</v>
      </c>
      <c r="L2245" s="4" t="s">
        <v>742</v>
      </c>
      <c r="M2245" s="17">
        <v>27</v>
      </c>
      <c r="N2245" s="17">
        <v>988</v>
      </c>
      <c r="O2245" s="18" t="s">
        <v>88</v>
      </c>
      <c r="P2245" s="18">
        <v>988</v>
      </c>
      <c r="Q2245" s="18">
        <v>27</v>
      </c>
      <c r="R2245" s="18" t="str">
        <f>VLOOKUP(AUDITORIA[[#This Row],[LOTE]],[1]ENDEREÇAMENTO!$C$2:$J$9999,8,FALSE)</f>
        <v>Cam.C</v>
      </c>
      <c r="S2245" s="18" t="str">
        <f>VLOOKUP(RIGHT(AUDITORIA[[#This Row],[LOTE]],4),[2]Lotes!$A$2:$E$209,2,FALSE)</f>
        <v>QD.17</v>
      </c>
      <c r="T2245" s="18" t="str">
        <f>VLOOKUP(RIGHT(AUDITORIA[[#This Row],[LOTE]],4),[2]Lotes!$A$2:$E$209,4,FALSE)</f>
        <v>F3</v>
      </c>
      <c r="U22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45" s="19">
        <f>IF(AUDITORIA[[#This Row],[CAT]]="",0,1)</f>
        <v>1</v>
      </c>
      <c r="W2245" s="20">
        <v>46232</v>
      </c>
      <c r="X2245" s="21" t="s">
        <v>906</v>
      </c>
      <c r="Y2245" s="24" t="s">
        <v>901</v>
      </c>
      <c r="Z2245" s="24" t="s">
        <v>902</v>
      </c>
      <c r="AA2245" s="24" t="s">
        <v>903</v>
      </c>
    </row>
    <row r="2246" spans="1:27" ht="14.4" hidden="1" customHeight="1" x14ac:dyDescent="0.3">
      <c r="A2246" s="4" t="s">
        <v>0</v>
      </c>
      <c r="B2246" s="4" t="s">
        <v>17</v>
      </c>
      <c r="C2246" s="16" t="s">
        <v>18</v>
      </c>
      <c r="D2246" s="4">
        <v>10</v>
      </c>
      <c r="E2246" s="4" t="s">
        <v>745</v>
      </c>
      <c r="F2246" t="s">
        <v>767</v>
      </c>
      <c r="G2246" t="s">
        <v>233</v>
      </c>
      <c r="H2246" s="4" t="s">
        <v>88</v>
      </c>
      <c r="I2246" s="4" t="s">
        <v>20</v>
      </c>
      <c r="J2246" s="4" t="s">
        <v>88</v>
      </c>
      <c r="K2246" s="4" t="s">
        <v>20</v>
      </c>
      <c r="L2246" s="4" t="s">
        <v>742</v>
      </c>
      <c r="M2246" s="17">
        <v>30</v>
      </c>
      <c r="N2246" s="17">
        <v>824</v>
      </c>
      <c r="O2246" s="18" t="s">
        <v>88</v>
      </c>
      <c r="P2246" s="18">
        <v>824</v>
      </c>
      <c r="Q2246" s="18">
        <v>30</v>
      </c>
      <c r="R2246" s="18" t="str">
        <f>VLOOKUP(AUDITORIA[[#This Row],[LOTE]],[1]ENDEREÇAMENTO!$C$2:$J$9999,8,FALSE)</f>
        <v>Cam.C</v>
      </c>
      <c r="S2246" s="18" t="str">
        <f>VLOOKUP(RIGHT(AUDITORIA[[#This Row],[LOTE]],4),[2]Lotes!$A$2:$E$209,2,FALSE)</f>
        <v>QD.11</v>
      </c>
      <c r="T2246" s="18" t="str">
        <f>VLOOKUP(RIGHT(AUDITORIA[[#This Row],[LOTE]],4),[2]Lotes!$A$2:$E$209,4,FALSE)</f>
        <v>F1</v>
      </c>
      <c r="U22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46" s="19">
        <f>IF(AUDITORIA[[#This Row],[CAT]]="",0,1)</f>
        <v>1</v>
      </c>
      <c r="W2246" s="20">
        <v>46232</v>
      </c>
      <c r="X2246" s="21" t="s">
        <v>906</v>
      </c>
      <c r="Y2246" s="24" t="s">
        <v>901</v>
      </c>
      <c r="Z2246" s="24" t="s">
        <v>902</v>
      </c>
      <c r="AA2246" s="24" t="s">
        <v>903</v>
      </c>
    </row>
    <row r="2247" spans="1:27" ht="14.4" hidden="1" customHeight="1" x14ac:dyDescent="0.3">
      <c r="A2247" s="4" t="s">
        <v>0</v>
      </c>
      <c r="B2247" s="4" t="s">
        <v>17</v>
      </c>
      <c r="C2247" s="16" t="s">
        <v>18</v>
      </c>
      <c r="D2247" s="4">
        <v>10</v>
      </c>
      <c r="E2247" s="4" t="s">
        <v>745</v>
      </c>
      <c r="F2247" t="s">
        <v>766</v>
      </c>
      <c r="G2247" t="s">
        <v>233</v>
      </c>
      <c r="H2247" s="4" t="s">
        <v>88</v>
      </c>
      <c r="I2247" s="4" t="s">
        <v>21</v>
      </c>
      <c r="J2247" s="4" t="s">
        <v>88</v>
      </c>
      <c r="K2247" s="4" t="s">
        <v>21</v>
      </c>
      <c r="L2247" s="4" t="s">
        <v>742</v>
      </c>
      <c r="M2247" s="17">
        <v>27</v>
      </c>
      <c r="N2247" s="17">
        <v>977</v>
      </c>
      <c r="O2247" s="18" t="s">
        <v>88</v>
      </c>
      <c r="P2247" s="18">
        <v>977</v>
      </c>
      <c r="Q2247" s="18">
        <v>27</v>
      </c>
      <c r="R2247" s="18" t="str">
        <f>VLOOKUP(AUDITORIA[[#This Row],[LOTE]],[1]ENDEREÇAMENTO!$C$2:$J$9999,8,FALSE)</f>
        <v>Cam.C</v>
      </c>
      <c r="S2247" s="18" t="str">
        <f>VLOOKUP(RIGHT(AUDITORIA[[#This Row],[LOTE]],4),[2]Lotes!$A$2:$E$209,2,FALSE)</f>
        <v>QD.11</v>
      </c>
      <c r="T2247" s="18" t="str">
        <f>VLOOKUP(RIGHT(AUDITORIA[[#This Row],[LOTE]],4),[2]Lotes!$A$2:$E$209,4,FALSE)</f>
        <v>F2</v>
      </c>
      <c r="U22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47" s="19">
        <f>IF(AUDITORIA[[#This Row],[CAT]]="",0,1)</f>
        <v>1</v>
      </c>
      <c r="W2247" s="20">
        <v>46232</v>
      </c>
      <c r="X2247" s="21" t="s">
        <v>906</v>
      </c>
      <c r="Y2247" s="24" t="s">
        <v>901</v>
      </c>
      <c r="Z2247" s="24" t="s">
        <v>902</v>
      </c>
      <c r="AA2247" s="24" t="s">
        <v>903</v>
      </c>
    </row>
    <row r="2248" spans="1:27" ht="14.4" hidden="1" customHeight="1" x14ac:dyDescent="0.3">
      <c r="A2248" s="4" t="s">
        <v>0</v>
      </c>
      <c r="B2248" s="4" t="s">
        <v>17</v>
      </c>
      <c r="C2248" s="16" t="s">
        <v>18</v>
      </c>
      <c r="D2248" s="4">
        <v>10</v>
      </c>
      <c r="E2248" s="4" t="s">
        <v>745</v>
      </c>
      <c r="F2248" t="s">
        <v>763</v>
      </c>
      <c r="G2248" t="s">
        <v>233</v>
      </c>
      <c r="H2248" s="4" t="s">
        <v>88</v>
      </c>
      <c r="I2248" s="4" t="s">
        <v>20</v>
      </c>
      <c r="J2248" s="4" t="s">
        <v>88</v>
      </c>
      <c r="K2248" s="4" t="s">
        <v>20</v>
      </c>
      <c r="L2248" s="4" t="s">
        <v>742</v>
      </c>
      <c r="M2248" s="17">
        <v>0</v>
      </c>
      <c r="N2248" s="17">
        <v>818</v>
      </c>
      <c r="O2248" s="18" t="s">
        <v>88</v>
      </c>
      <c r="P2248" s="18" t="s">
        <v>905</v>
      </c>
      <c r="Q2248" s="18">
        <v>0</v>
      </c>
      <c r="R2248" s="18" t="s">
        <v>905</v>
      </c>
      <c r="S2248" s="18" t="s">
        <v>905</v>
      </c>
      <c r="T2248" s="18" t="s">
        <v>905</v>
      </c>
      <c r="U22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48" s="19">
        <v>0</v>
      </c>
      <c r="W2248" s="20">
        <v>46232</v>
      </c>
      <c r="X2248" s="21" t="s">
        <v>906</v>
      </c>
      <c r="Y2248" s="24" t="s">
        <v>901</v>
      </c>
      <c r="Z2248" s="24" t="s">
        <v>902</v>
      </c>
      <c r="AA2248" s="24" t="s">
        <v>903</v>
      </c>
    </row>
    <row r="2249" spans="1:27" ht="14.4" hidden="1" customHeight="1" x14ac:dyDescent="0.3">
      <c r="A2249" s="4" t="s">
        <v>0</v>
      </c>
      <c r="B2249" s="4" t="s">
        <v>17</v>
      </c>
      <c r="C2249" s="16" t="s">
        <v>18</v>
      </c>
      <c r="D2249" s="4">
        <v>10</v>
      </c>
      <c r="E2249" s="4" t="s">
        <v>745</v>
      </c>
      <c r="F2249" t="s">
        <v>765</v>
      </c>
      <c r="G2249" t="s">
        <v>233</v>
      </c>
      <c r="H2249" s="4" t="s">
        <v>88</v>
      </c>
      <c r="I2249" s="4" t="s">
        <v>21</v>
      </c>
      <c r="J2249" s="4" t="s">
        <v>88</v>
      </c>
      <c r="K2249" s="4" t="s">
        <v>21</v>
      </c>
      <c r="L2249" s="4" t="s">
        <v>742</v>
      </c>
      <c r="M2249" s="17">
        <v>27</v>
      </c>
      <c r="N2249" s="17">
        <v>986</v>
      </c>
      <c r="O2249" s="18" t="s">
        <v>88</v>
      </c>
      <c r="P2249" s="18">
        <v>986</v>
      </c>
      <c r="Q2249" s="18">
        <v>27</v>
      </c>
      <c r="R2249" s="18" t="str">
        <f>VLOOKUP(AUDITORIA[[#This Row],[LOTE]],[1]ENDEREÇAMENTO!$C$2:$J$9999,8,FALSE)</f>
        <v>Cam.C</v>
      </c>
      <c r="S2249" s="18" t="str">
        <f>VLOOKUP(RIGHT(AUDITORIA[[#This Row],[LOTE]],4),[2]Lotes!$A$2:$E$209,2,FALSE)</f>
        <v>QD.11</v>
      </c>
      <c r="T2249" s="18" t="str">
        <f>VLOOKUP(RIGHT(AUDITORIA[[#This Row],[LOTE]],4),[2]Lotes!$A$2:$E$209,4,FALSE)</f>
        <v>F3</v>
      </c>
      <c r="U22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49" s="19">
        <f>IF(AUDITORIA[[#This Row],[CAT]]="",0,1)</f>
        <v>1</v>
      </c>
      <c r="W2249" s="20">
        <v>46232</v>
      </c>
      <c r="X2249" s="21" t="s">
        <v>906</v>
      </c>
      <c r="Y2249" s="24" t="s">
        <v>901</v>
      </c>
      <c r="Z2249" s="24" t="s">
        <v>902</v>
      </c>
      <c r="AA2249" s="24" t="s">
        <v>903</v>
      </c>
    </row>
    <row r="2250" spans="1:27" ht="14.4" hidden="1" customHeight="1" x14ac:dyDescent="0.3">
      <c r="A2250" s="4" t="s">
        <v>0</v>
      </c>
      <c r="B2250" s="4" t="s">
        <v>17</v>
      </c>
      <c r="C2250" s="16" t="s">
        <v>18</v>
      </c>
      <c r="D2250" s="4">
        <v>10</v>
      </c>
      <c r="E2250" s="4" t="s">
        <v>745</v>
      </c>
      <c r="F2250" t="s">
        <v>764</v>
      </c>
      <c r="G2250" t="s">
        <v>233</v>
      </c>
      <c r="H2250" s="4" t="s">
        <v>88</v>
      </c>
      <c r="I2250" s="4" t="s">
        <v>21</v>
      </c>
      <c r="J2250" s="4" t="s">
        <v>88</v>
      </c>
      <c r="K2250" s="4" t="s">
        <v>21</v>
      </c>
      <c r="L2250" s="4" t="s">
        <v>742</v>
      </c>
      <c r="M2250" s="17">
        <v>27</v>
      </c>
      <c r="N2250" s="17">
        <v>983</v>
      </c>
      <c r="O2250" s="18" t="s">
        <v>88</v>
      </c>
      <c r="P2250" s="18">
        <v>983</v>
      </c>
      <c r="Q2250" s="18">
        <v>27</v>
      </c>
      <c r="R2250" s="18" t="str">
        <f>VLOOKUP(AUDITORIA[[#This Row],[LOTE]],[1]ENDEREÇAMENTO!$C$2:$J$9999,8,FALSE)</f>
        <v>Cam.C</v>
      </c>
      <c r="S2250" s="18" t="str">
        <f>VLOOKUP(RIGHT(AUDITORIA[[#This Row],[LOTE]],4),[2]Lotes!$A$2:$E$209,2,FALSE)</f>
        <v>QD.13</v>
      </c>
      <c r="T2250" s="18" t="str">
        <f>VLOOKUP(RIGHT(AUDITORIA[[#This Row],[LOTE]],4),[2]Lotes!$A$2:$E$209,4,FALSE)</f>
        <v>F2</v>
      </c>
      <c r="U22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50" s="19">
        <f>IF(AUDITORIA[[#This Row],[CAT]]="",0,1)</f>
        <v>1</v>
      </c>
      <c r="W2250" s="20">
        <v>46232</v>
      </c>
      <c r="X2250" s="21" t="s">
        <v>906</v>
      </c>
      <c r="Y2250" s="24" t="s">
        <v>901</v>
      </c>
      <c r="Z2250" s="24" t="s">
        <v>902</v>
      </c>
      <c r="AA2250" s="24" t="s">
        <v>903</v>
      </c>
    </row>
    <row r="2251" spans="1:27" ht="14.4" hidden="1" customHeight="1" x14ac:dyDescent="0.3">
      <c r="A2251" s="4" t="s">
        <v>0</v>
      </c>
      <c r="B2251" s="4" t="s">
        <v>17</v>
      </c>
      <c r="C2251" s="16" t="s">
        <v>18</v>
      </c>
      <c r="D2251" s="4">
        <v>10</v>
      </c>
      <c r="E2251" s="4" t="s">
        <v>745</v>
      </c>
      <c r="F2251" t="s">
        <v>762</v>
      </c>
      <c r="G2251" t="s">
        <v>233</v>
      </c>
      <c r="H2251" s="4" t="s">
        <v>88</v>
      </c>
      <c r="I2251" s="4" t="s">
        <v>21</v>
      </c>
      <c r="J2251" s="4" t="s">
        <v>88</v>
      </c>
      <c r="K2251" s="4" t="s">
        <v>21</v>
      </c>
      <c r="L2251" s="4" t="s">
        <v>742</v>
      </c>
      <c r="M2251" s="17">
        <v>0</v>
      </c>
      <c r="N2251" s="17">
        <v>968</v>
      </c>
      <c r="O2251" s="18" t="s">
        <v>88</v>
      </c>
      <c r="P2251" s="18" t="s">
        <v>905</v>
      </c>
      <c r="Q2251" s="18">
        <v>0</v>
      </c>
      <c r="R2251" s="18" t="s">
        <v>905</v>
      </c>
      <c r="S2251" s="18" t="s">
        <v>905</v>
      </c>
      <c r="T2251" s="18" t="s">
        <v>905</v>
      </c>
      <c r="U22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51" s="19">
        <v>0</v>
      </c>
      <c r="W2251" s="20">
        <v>46232</v>
      </c>
      <c r="X2251" s="21" t="s">
        <v>906</v>
      </c>
      <c r="Y2251" s="24" t="s">
        <v>901</v>
      </c>
      <c r="Z2251" s="24" t="s">
        <v>902</v>
      </c>
      <c r="AA2251" s="24" t="s">
        <v>903</v>
      </c>
    </row>
    <row r="2252" spans="1:27" ht="14.4" hidden="1" customHeight="1" x14ac:dyDescent="0.3">
      <c r="A2252" s="4" t="s">
        <v>0</v>
      </c>
      <c r="B2252" s="4" t="s">
        <v>17</v>
      </c>
      <c r="C2252" s="16" t="s">
        <v>18</v>
      </c>
      <c r="D2252" s="4">
        <v>10</v>
      </c>
      <c r="E2252" s="4" t="s">
        <v>745</v>
      </c>
      <c r="F2252" t="s">
        <v>761</v>
      </c>
      <c r="G2252" t="s">
        <v>233</v>
      </c>
      <c r="H2252" s="4" t="s">
        <v>88</v>
      </c>
      <c r="I2252" s="4" t="s">
        <v>20</v>
      </c>
      <c r="J2252" s="4" t="s">
        <v>88</v>
      </c>
      <c r="K2252" s="4" t="s">
        <v>20</v>
      </c>
      <c r="L2252" s="4" t="s">
        <v>742</v>
      </c>
      <c r="M2252" s="17">
        <v>0</v>
      </c>
      <c r="N2252" s="17">
        <v>827</v>
      </c>
      <c r="O2252" s="18" t="s">
        <v>88</v>
      </c>
      <c r="P2252" s="18" t="s">
        <v>905</v>
      </c>
      <c r="Q2252" s="18">
        <v>0</v>
      </c>
      <c r="R2252" s="18" t="s">
        <v>905</v>
      </c>
      <c r="S2252" s="18" t="s">
        <v>905</v>
      </c>
      <c r="T2252" s="18" t="s">
        <v>905</v>
      </c>
      <c r="U22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52" s="19">
        <v>0</v>
      </c>
      <c r="W2252" s="20">
        <v>46232</v>
      </c>
      <c r="X2252" s="21" t="s">
        <v>906</v>
      </c>
      <c r="Y2252" s="24" t="s">
        <v>901</v>
      </c>
      <c r="Z2252" s="24" t="s">
        <v>902</v>
      </c>
      <c r="AA2252" s="24" t="s">
        <v>903</v>
      </c>
    </row>
    <row r="2253" spans="1:27" ht="14.4" hidden="1" customHeight="1" x14ac:dyDescent="0.3">
      <c r="A2253" s="4" t="s">
        <v>0</v>
      </c>
      <c r="B2253" s="4" t="s">
        <v>17</v>
      </c>
      <c r="C2253" s="16" t="s">
        <v>18</v>
      </c>
      <c r="D2253" s="4">
        <v>10</v>
      </c>
      <c r="E2253" s="4" t="s">
        <v>745</v>
      </c>
      <c r="F2253" t="s">
        <v>759</v>
      </c>
      <c r="G2253" t="s">
        <v>233</v>
      </c>
      <c r="H2253" s="4" t="s">
        <v>88</v>
      </c>
      <c r="I2253" s="4" t="s">
        <v>20</v>
      </c>
      <c r="J2253" s="4" t="s">
        <v>88</v>
      </c>
      <c r="K2253" s="4" t="s">
        <v>20</v>
      </c>
      <c r="L2253" s="4" t="s">
        <v>742</v>
      </c>
      <c r="M2253" s="17">
        <v>30</v>
      </c>
      <c r="N2253" s="17">
        <v>822</v>
      </c>
      <c r="O2253" s="18" t="s">
        <v>88</v>
      </c>
      <c r="P2253" s="18">
        <v>822</v>
      </c>
      <c r="Q2253" s="18">
        <v>30</v>
      </c>
      <c r="R2253" s="18" t="str">
        <f>VLOOKUP(AUDITORIA[[#This Row],[LOTE]],[1]ENDEREÇAMENTO!$C$2:$J$9999,8,FALSE)</f>
        <v>Cam.C</v>
      </c>
      <c r="S2253" s="18" t="str">
        <f>VLOOKUP(RIGHT(AUDITORIA[[#This Row],[LOTE]],4),[2]Lotes!$A$2:$E$209,2,FALSE)</f>
        <v>QD.13</v>
      </c>
      <c r="T2253" s="18" t="str">
        <f>VLOOKUP(RIGHT(AUDITORIA[[#This Row],[LOTE]],4),[2]Lotes!$A$2:$E$209,4,FALSE)</f>
        <v>F1</v>
      </c>
      <c r="U22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53" s="19">
        <f>IF(AUDITORIA[[#This Row],[CAT]]="",0,1)</f>
        <v>1</v>
      </c>
      <c r="W2253" s="20">
        <v>46232</v>
      </c>
      <c r="X2253" s="21" t="s">
        <v>906</v>
      </c>
      <c r="Y2253" s="24" t="s">
        <v>901</v>
      </c>
      <c r="Z2253" s="24" t="s">
        <v>902</v>
      </c>
      <c r="AA2253" s="24" t="s">
        <v>903</v>
      </c>
    </row>
    <row r="2254" spans="1:27" ht="14.4" hidden="1" customHeight="1" x14ac:dyDescent="0.3">
      <c r="A2254" s="4" t="s">
        <v>0</v>
      </c>
      <c r="B2254" s="4" t="s">
        <v>17</v>
      </c>
      <c r="C2254" s="16" t="s">
        <v>18</v>
      </c>
      <c r="D2254" s="4">
        <v>10</v>
      </c>
      <c r="E2254" s="4" t="s">
        <v>745</v>
      </c>
      <c r="F2254" t="s">
        <v>760</v>
      </c>
      <c r="G2254" t="s">
        <v>233</v>
      </c>
      <c r="H2254" s="4" t="s">
        <v>19</v>
      </c>
      <c r="I2254" s="4" t="s">
        <v>21</v>
      </c>
      <c r="J2254" s="4" t="s">
        <v>19</v>
      </c>
      <c r="K2254" s="4" t="s">
        <v>21</v>
      </c>
      <c r="L2254" s="4" t="s">
        <v>742</v>
      </c>
      <c r="M2254" s="17">
        <v>27</v>
      </c>
      <c r="N2254" s="17">
        <v>955</v>
      </c>
      <c r="O2254" s="18" t="s">
        <v>19</v>
      </c>
      <c r="P2254" s="18">
        <v>955</v>
      </c>
      <c r="Q2254" s="18">
        <v>27</v>
      </c>
      <c r="R2254" s="18" t="str">
        <f>VLOOKUP(AUDITORIA[[#This Row],[LOTE]],[1]ENDEREÇAMENTO!$C$2:$J$9999,8,FALSE)</f>
        <v>Cam.C</v>
      </c>
      <c r="S2254" s="18" t="str">
        <f>VLOOKUP(RIGHT(AUDITORIA[[#This Row],[LOTE]],4),[2]Lotes!$A$2:$E$209,2,FALSE)</f>
        <v>QD.28</v>
      </c>
      <c r="T2254" s="18" t="str">
        <f>VLOOKUP(RIGHT(AUDITORIA[[#This Row],[LOTE]],4),[2]Lotes!$A$2:$E$209,4,FALSE)</f>
        <v>F3</v>
      </c>
      <c r="U22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54" s="19">
        <f>IF(AUDITORIA[[#This Row],[CAT]]="",0,1)</f>
        <v>1</v>
      </c>
      <c r="W2254" s="20">
        <v>46232</v>
      </c>
      <c r="X2254" s="21" t="s">
        <v>906</v>
      </c>
      <c r="Y2254" s="24" t="s">
        <v>901</v>
      </c>
      <c r="Z2254" s="24" t="s">
        <v>902</v>
      </c>
      <c r="AA2254" s="24" t="s">
        <v>903</v>
      </c>
    </row>
    <row r="2255" spans="1:27" ht="14.4" hidden="1" customHeight="1" x14ac:dyDescent="0.3">
      <c r="A2255" s="4" t="s">
        <v>0</v>
      </c>
      <c r="B2255" s="4" t="s">
        <v>17</v>
      </c>
      <c r="C2255" s="16" t="s">
        <v>18</v>
      </c>
      <c r="D2255" s="4">
        <v>10</v>
      </c>
      <c r="E2255" s="4" t="s">
        <v>745</v>
      </c>
      <c r="F2255" t="s">
        <v>758</v>
      </c>
      <c r="G2255" t="s">
        <v>233</v>
      </c>
      <c r="H2255" s="4" t="s">
        <v>19</v>
      </c>
      <c r="I2255" s="4" t="s">
        <v>21</v>
      </c>
      <c r="J2255" s="4" t="s">
        <v>19</v>
      </c>
      <c r="K2255" s="4" t="s">
        <v>21</v>
      </c>
      <c r="L2255" s="4" t="s">
        <v>742</v>
      </c>
      <c r="M2255" s="17">
        <v>27</v>
      </c>
      <c r="N2255" s="17">
        <v>939</v>
      </c>
      <c r="O2255" s="18" t="s">
        <v>19</v>
      </c>
      <c r="P2255" s="18">
        <v>939</v>
      </c>
      <c r="Q2255" s="18">
        <v>27</v>
      </c>
      <c r="R2255" s="18" t="str">
        <f>VLOOKUP(AUDITORIA[[#This Row],[LOTE]],[1]ENDEREÇAMENTO!$C$2:$J$9999,8,FALSE)</f>
        <v>Cam.C</v>
      </c>
      <c r="S2255" s="18" t="str">
        <f>VLOOKUP(RIGHT(AUDITORIA[[#This Row],[LOTE]],4),[2]Lotes!$A$2:$E$209,2,FALSE)</f>
        <v>QD.17</v>
      </c>
      <c r="T2255" s="18" t="str">
        <f>VLOOKUP(RIGHT(AUDITORIA[[#This Row],[LOTE]],4),[2]Lotes!$A$2:$E$209,4,FALSE)</f>
        <v>F2</v>
      </c>
      <c r="U22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55" s="19">
        <f>IF(AUDITORIA[[#This Row],[CAT]]="",0,1)</f>
        <v>1</v>
      </c>
      <c r="W2255" s="20">
        <v>46232</v>
      </c>
      <c r="X2255" s="21" t="s">
        <v>906</v>
      </c>
      <c r="Y2255" s="24" t="s">
        <v>901</v>
      </c>
      <c r="Z2255" s="24" t="s">
        <v>902</v>
      </c>
      <c r="AA2255" s="24" t="s">
        <v>903</v>
      </c>
    </row>
    <row r="2256" spans="1:27" ht="14.4" hidden="1" customHeight="1" x14ac:dyDescent="0.3">
      <c r="A2256" s="4" t="s">
        <v>0</v>
      </c>
      <c r="B2256" s="4" t="s">
        <v>17</v>
      </c>
      <c r="C2256" s="16" t="s">
        <v>18</v>
      </c>
      <c r="D2256" s="4">
        <v>10</v>
      </c>
      <c r="E2256" s="4" t="s">
        <v>745</v>
      </c>
      <c r="F2256" t="s">
        <v>755</v>
      </c>
      <c r="G2256" t="s">
        <v>233</v>
      </c>
      <c r="H2256" s="4" t="s">
        <v>774</v>
      </c>
      <c r="I2256" s="4" t="s">
        <v>20</v>
      </c>
      <c r="J2256" s="4" t="s">
        <v>774</v>
      </c>
      <c r="K2256" s="4" t="s">
        <v>20</v>
      </c>
      <c r="L2256" s="4" t="s">
        <v>742</v>
      </c>
      <c r="M2256" s="17">
        <v>20</v>
      </c>
      <c r="N2256" s="17">
        <v>828</v>
      </c>
      <c r="O2256" s="18" t="s">
        <v>774</v>
      </c>
      <c r="P2256" s="18">
        <v>828</v>
      </c>
      <c r="Q2256" s="18">
        <v>20</v>
      </c>
      <c r="R2256" s="18" t="str">
        <f>VLOOKUP(AUDITORIA[[#This Row],[LOTE]],[1]ENDEREÇAMENTO!$C$2:$J$9999,8,FALSE)</f>
        <v>Cam.C</v>
      </c>
      <c r="S2256" s="18" t="str">
        <f>VLOOKUP(RIGHT(AUDITORIA[[#This Row],[LOTE]],4),[2]Lotes!$A$2:$E$209,2,FALSE)</f>
        <v>QD.18</v>
      </c>
      <c r="T2256" s="18" t="str">
        <f>VLOOKUP(RIGHT(AUDITORIA[[#This Row],[LOTE]],4),[2]Lotes!$A$2:$E$209,4,FALSE)</f>
        <v>F3</v>
      </c>
      <c r="U22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56" s="19">
        <f>IF(AUDITORIA[[#This Row],[CAT]]="",0,1)</f>
        <v>1</v>
      </c>
      <c r="W2256" s="20">
        <v>46232</v>
      </c>
      <c r="X2256" s="21" t="s">
        <v>906</v>
      </c>
      <c r="Y2256" s="24" t="s">
        <v>901</v>
      </c>
      <c r="Z2256" s="24" t="s">
        <v>902</v>
      </c>
      <c r="AA2256" s="24" t="s">
        <v>903</v>
      </c>
    </row>
    <row r="2257" spans="1:27" ht="14.4" hidden="1" customHeight="1" x14ac:dyDescent="0.3">
      <c r="A2257" s="4" t="s">
        <v>0</v>
      </c>
      <c r="B2257" s="4" t="s">
        <v>17</v>
      </c>
      <c r="C2257" s="16" t="s">
        <v>18</v>
      </c>
      <c r="D2257" s="4">
        <v>10</v>
      </c>
      <c r="E2257" s="4" t="s">
        <v>745</v>
      </c>
      <c r="F2257" t="s">
        <v>757</v>
      </c>
      <c r="G2257" t="s">
        <v>233</v>
      </c>
      <c r="H2257" s="4" t="s">
        <v>19</v>
      </c>
      <c r="I2257" s="4" t="s">
        <v>21</v>
      </c>
      <c r="J2257" s="4" t="s">
        <v>19</v>
      </c>
      <c r="K2257" s="4" t="s">
        <v>21</v>
      </c>
      <c r="L2257" s="4" t="s">
        <v>742</v>
      </c>
      <c r="M2257" s="17">
        <v>27</v>
      </c>
      <c r="N2257" s="17">
        <v>970</v>
      </c>
      <c r="O2257" s="18" t="s">
        <v>19</v>
      </c>
      <c r="P2257" s="18">
        <v>970</v>
      </c>
      <c r="Q2257" s="18">
        <v>27</v>
      </c>
      <c r="R2257" s="18" t="str">
        <f>VLOOKUP(AUDITORIA[[#This Row],[LOTE]],[1]ENDEREÇAMENTO!$C$2:$J$9999,8,FALSE)</f>
        <v>Cam.C</v>
      </c>
      <c r="S2257" s="18" t="str">
        <f>VLOOKUP(RIGHT(AUDITORIA[[#This Row],[LOTE]],4),[2]Lotes!$A$2:$E$209,2,FALSE)</f>
        <v>QD.28</v>
      </c>
      <c r="T2257" s="18" t="str">
        <f>VLOOKUP(RIGHT(AUDITORIA[[#This Row],[LOTE]],4),[2]Lotes!$A$2:$E$209,4,FALSE)</f>
        <v>F2</v>
      </c>
      <c r="U22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57" s="19">
        <f>IF(AUDITORIA[[#This Row],[CAT]]="",0,1)</f>
        <v>1</v>
      </c>
      <c r="W2257" s="20">
        <v>46232</v>
      </c>
      <c r="X2257" s="21" t="s">
        <v>906</v>
      </c>
      <c r="Y2257" s="24" t="s">
        <v>901</v>
      </c>
      <c r="Z2257" s="24" t="s">
        <v>902</v>
      </c>
      <c r="AA2257" s="24" t="s">
        <v>903</v>
      </c>
    </row>
    <row r="2258" spans="1:27" ht="14.4" hidden="1" customHeight="1" x14ac:dyDescent="0.3">
      <c r="A2258" s="4" t="s">
        <v>0</v>
      </c>
      <c r="B2258" s="4" t="s">
        <v>17</v>
      </c>
      <c r="C2258" s="16" t="s">
        <v>18</v>
      </c>
      <c r="D2258" s="4">
        <v>10</v>
      </c>
      <c r="E2258" s="4" t="s">
        <v>745</v>
      </c>
      <c r="F2258" t="s">
        <v>756</v>
      </c>
      <c r="G2258" t="s">
        <v>233</v>
      </c>
      <c r="H2258" s="4" t="s">
        <v>19</v>
      </c>
      <c r="I2258" s="4" t="s">
        <v>21</v>
      </c>
      <c r="J2258" s="4" t="s">
        <v>19</v>
      </c>
      <c r="K2258" s="4" t="s">
        <v>21</v>
      </c>
      <c r="L2258" s="4" t="s">
        <v>742</v>
      </c>
      <c r="M2258" s="17">
        <v>27</v>
      </c>
      <c r="N2258" s="17">
        <v>985</v>
      </c>
      <c r="O2258" s="18" t="s">
        <v>19</v>
      </c>
      <c r="P2258" s="18">
        <v>985</v>
      </c>
      <c r="Q2258" s="18">
        <v>27</v>
      </c>
      <c r="R2258" s="18" t="str">
        <f>VLOOKUP(AUDITORIA[[#This Row],[LOTE]],[1]ENDEREÇAMENTO!$C$2:$J$9999,8,FALSE)</f>
        <v>Cam.C</v>
      </c>
      <c r="S2258" s="18" t="str">
        <f>VLOOKUP(RIGHT(AUDITORIA[[#This Row],[LOTE]],4),[2]Lotes!$A$2:$E$209,2,FALSE)</f>
        <v>QD.13</v>
      </c>
      <c r="T2258" s="18" t="str">
        <f>VLOOKUP(RIGHT(AUDITORIA[[#This Row],[LOTE]],4),[2]Lotes!$A$2:$E$209,4,FALSE)</f>
        <v>F3</v>
      </c>
      <c r="U22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58" s="19">
        <f>IF(AUDITORIA[[#This Row],[CAT]]="",0,1)</f>
        <v>1</v>
      </c>
      <c r="W2258" s="20">
        <v>46232</v>
      </c>
      <c r="X2258" s="21" t="s">
        <v>906</v>
      </c>
      <c r="Y2258" s="24" t="s">
        <v>901</v>
      </c>
      <c r="Z2258" s="24" t="s">
        <v>902</v>
      </c>
      <c r="AA2258" s="24" t="s">
        <v>903</v>
      </c>
    </row>
    <row r="2259" spans="1:27" ht="14.4" hidden="1" customHeight="1" x14ac:dyDescent="0.3">
      <c r="A2259" s="4" t="s">
        <v>0</v>
      </c>
      <c r="B2259" s="4" t="s">
        <v>17</v>
      </c>
      <c r="C2259" s="16" t="s">
        <v>18</v>
      </c>
      <c r="D2259" s="4">
        <v>10</v>
      </c>
      <c r="E2259" s="4" t="s">
        <v>745</v>
      </c>
      <c r="F2259" t="s">
        <v>754</v>
      </c>
      <c r="G2259" t="s">
        <v>233</v>
      </c>
      <c r="H2259" s="4" t="s">
        <v>19</v>
      </c>
      <c r="I2259" s="4" t="s">
        <v>21</v>
      </c>
      <c r="J2259" s="4" t="s">
        <v>19</v>
      </c>
      <c r="K2259" s="4" t="s">
        <v>21</v>
      </c>
      <c r="L2259" s="4" t="s">
        <v>742</v>
      </c>
      <c r="M2259" s="17">
        <v>16</v>
      </c>
      <c r="N2259" s="17">
        <v>989</v>
      </c>
      <c r="O2259" s="18" t="s">
        <v>19</v>
      </c>
      <c r="P2259" s="18">
        <v>989</v>
      </c>
      <c r="Q2259" s="18">
        <v>16</v>
      </c>
      <c r="R2259" s="18" t="str">
        <f>VLOOKUP(AUDITORIA[[#This Row],[LOTE]],[1]ENDEREÇAMENTO!$C$2:$J$9999,8,FALSE)</f>
        <v>Cam.C</v>
      </c>
      <c r="S2259" s="18" t="str">
        <f>VLOOKUP(RIGHT(AUDITORIA[[#This Row],[LOTE]],4),[2]Lotes!$A$2:$E$209,2,FALSE)</f>
        <v>QD.04</v>
      </c>
      <c r="T2259" s="18" t="str">
        <f>VLOOKUP(RIGHT(AUDITORIA[[#This Row],[LOTE]],4),[2]Lotes!$A$2:$E$209,4,FALSE)</f>
        <v>F3</v>
      </c>
      <c r="U22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59" s="19">
        <f>IF(AUDITORIA[[#This Row],[CAT]]="",0,1)</f>
        <v>1</v>
      </c>
      <c r="W2259" s="20">
        <v>46232</v>
      </c>
      <c r="X2259" s="21" t="s">
        <v>906</v>
      </c>
      <c r="Y2259" s="24" t="s">
        <v>901</v>
      </c>
      <c r="Z2259" s="24" t="s">
        <v>902</v>
      </c>
      <c r="AA2259" s="24" t="s">
        <v>903</v>
      </c>
    </row>
    <row r="2260" spans="1:27" ht="14.4" hidden="1" customHeight="1" x14ac:dyDescent="0.3">
      <c r="A2260" s="4" t="s">
        <v>0</v>
      </c>
      <c r="B2260" s="4" t="s">
        <v>17</v>
      </c>
      <c r="C2260" s="16" t="s">
        <v>18</v>
      </c>
      <c r="D2260" s="4">
        <v>10</v>
      </c>
      <c r="E2260" s="4" t="s">
        <v>745</v>
      </c>
      <c r="F2260" t="s">
        <v>752</v>
      </c>
      <c r="G2260" t="s">
        <v>839</v>
      </c>
      <c r="H2260" s="4" t="s">
        <v>31</v>
      </c>
      <c r="I2260" s="4" t="s">
        <v>20</v>
      </c>
      <c r="J2260" s="4" t="s">
        <v>31</v>
      </c>
      <c r="K2260" s="4" t="s">
        <v>20</v>
      </c>
      <c r="L2260" s="4" t="s">
        <v>742</v>
      </c>
      <c r="M2260" s="17">
        <v>30</v>
      </c>
      <c r="N2260" s="17">
        <v>752</v>
      </c>
      <c r="O2260" s="18" t="s">
        <v>31</v>
      </c>
      <c r="P2260" s="18">
        <v>752</v>
      </c>
      <c r="Q2260" s="18">
        <v>30</v>
      </c>
      <c r="R2260" s="18" t="str">
        <f>VLOOKUP(AUDITORIA[[#This Row],[LOTE]],[1]ENDEREÇAMENTO!$C$2:$J$9999,8,FALSE)</f>
        <v>Cam.C</v>
      </c>
      <c r="S2260" s="18" t="str">
        <f>VLOOKUP(RIGHT(AUDITORIA[[#This Row],[LOTE]],4),[2]Lotes!$A$2:$E$209,2,FALSE)</f>
        <v>QD.16</v>
      </c>
      <c r="T2260" s="18" t="str">
        <f>VLOOKUP(RIGHT(AUDITORIA[[#This Row],[LOTE]],4),[2]Lotes!$A$2:$E$209,4,FALSE)</f>
        <v>F1</v>
      </c>
      <c r="U22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60" s="19">
        <f>IF(AUDITORIA[[#This Row],[CAT]]="",0,1)</f>
        <v>1</v>
      </c>
      <c r="W2260" s="20">
        <v>46232</v>
      </c>
      <c r="X2260" s="21" t="s">
        <v>906</v>
      </c>
      <c r="Y2260" s="24" t="s">
        <v>901</v>
      </c>
      <c r="Z2260" s="24" t="s">
        <v>902</v>
      </c>
      <c r="AA2260" s="24" t="s">
        <v>903</v>
      </c>
    </row>
    <row r="2261" spans="1:27" ht="14.4" hidden="1" customHeight="1" x14ac:dyDescent="0.3">
      <c r="A2261" s="4" t="s">
        <v>0</v>
      </c>
      <c r="B2261" s="4" t="s">
        <v>17</v>
      </c>
      <c r="C2261" s="16" t="s">
        <v>18</v>
      </c>
      <c r="D2261" s="4">
        <v>10</v>
      </c>
      <c r="E2261" s="4" t="s">
        <v>745</v>
      </c>
      <c r="F2261" t="s">
        <v>753</v>
      </c>
      <c r="G2261" t="s">
        <v>839</v>
      </c>
      <c r="H2261" s="4" t="s">
        <v>31</v>
      </c>
      <c r="I2261" s="4" t="s">
        <v>21</v>
      </c>
      <c r="J2261" s="4" t="s">
        <v>31</v>
      </c>
      <c r="K2261" s="4" t="s">
        <v>21</v>
      </c>
      <c r="L2261" s="4" t="s">
        <v>742</v>
      </c>
      <c r="M2261" s="17">
        <v>30</v>
      </c>
      <c r="N2261" s="17">
        <v>888</v>
      </c>
      <c r="O2261" s="18" t="s">
        <v>31</v>
      </c>
      <c r="P2261" s="18">
        <v>888</v>
      </c>
      <c r="Q2261" s="18">
        <v>30</v>
      </c>
      <c r="R2261" s="18" t="s">
        <v>817</v>
      </c>
      <c r="S2261" s="18" t="s">
        <v>807</v>
      </c>
      <c r="T2261" s="18" t="s">
        <v>782</v>
      </c>
      <c r="U22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61" s="19">
        <f>IF(AUDITORIA[[#This Row],[CAT]]="",0,1)</f>
        <v>1</v>
      </c>
      <c r="W2261" s="20">
        <v>46232</v>
      </c>
      <c r="X2261" s="21" t="s">
        <v>906</v>
      </c>
      <c r="Y2261" s="24" t="s">
        <v>901</v>
      </c>
      <c r="Z2261" s="24" t="s">
        <v>902</v>
      </c>
      <c r="AA2261" s="24" t="s">
        <v>903</v>
      </c>
    </row>
    <row r="2262" spans="1:27" ht="14.4" hidden="1" customHeight="1" x14ac:dyDescent="0.3">
      <c r="A2262" s="4" t="s">
        <v>0</v>
      </c>
      <c r="B2262" s="4" t="s">
        <v>17</v>
      </c>
      <c r="C2262" s="16" t="s">
        <v>18</v>
      </c>
      <c r="D2262" s="4">
        <v>10</v>
      </c>
      <c r="E2262" s="4" t="s">
        <v>745</v>
      </c>
      <c r="F2262" t="s">
        <v>751</v>
      </c>
      <c r="G2262" t="s">
        <v>839</v>
      </c>
      <c r="H2262" s="4" t="s">
        <v>31</v>
      </c>
      <c r="I2262" s="4" t="s">
        <v>21</v>
      </c>
      <c r="J2262" s="4" t="s">
        <v>31</v>
      </c>
      <c r="K2262" s="4" t="s">
        <v>21</v>
      </c>
      <c r="L2262" s="4" t="s">
        <v>742</v>
      </c>
      <c r="M2262" s="17">
        <v>30</v>
      </c>
      <c r="N2262" s="17">
        <v>889</v>
      </c>
      <c r="O2262" s="18" t="s">
        <v>31</v>
      </c>
      <c r="P2262" s="18">
        <v>889</v>
      </c>
      <c r="Q2262" s="18">
        <v>30</v>
      </c>
      <c r="R2262" s="18" t="str">
        <f>VLOOKUP(AUDITORIA[[#This Row],[LOTE]],[1]ENDEREÇAMENTO!$C$2:$J$9999,8,FALSE)</f>
        <v>Cam.C</v>
      </c>
      <c r="S2262" s="18" t="str">
        <f>VLOOKUP(RIGHT(AUDITORIA[[#This Row],[LOTE]],4),[2]Lotes!$A$2:$E$209,2,FALSE)</f>
        <v>QD.16</v>
      </c>
      <c r="T2262" s="18" t="str">
        <f>VLOOKUP(RIGHT(AUDITORIA[[#This Row],[LOTE]],4),[2]Lotes!$A$2:$E$209,4,FALSE)</f>
        <v>F2</v>
      </c>
      <c r="U22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62" s="19">
        <f>IF(AUDITORIA[[#This Row],[CAT]]="",0,1)</f>
        <v>1</v>
      </c>
      <c r="W2262" s="20">
        <v>46232</v>
      </c>
      <c r="X2262" s="21" t="s">
        <v>906</v>
      </c>
      <c r="Y2262" s="24" t="s">
        <v>901</v>
      </c>
      <c r="Z2262" s="24" t="s">
        <v>902</v>
      </c>
      <c r="AA2262" s="24" t="s">
        <v>903</v>
      </c>
    </row>
    <row r="2263" spans="1:27" ht="14.4" hidden="1" customHeight="1" x14ac:dyDescent="0.3">
      <c r="A2263" s="4" t="s">
        <v>0</v>
      </c>
      <c r="B2263" s="4" t="s">
        <v>17</v>
      </c>
      <c r="C2263" s="16" t="s">
        <v>18</v>
      </c>
      <c r="D2263" s="4">
        <v>10</v>
      </c>
      <c r="E2263" s="4" t="s">
        <v>745</v>
      </c>
      <c r="F2263" t="s">
        <v>750</v>
      </c>
      <c r="G2263" t="s">
        <v>839</v>
      </c>
      <c r="H2263" s="4" t="s">
        <v>31</v>
      </c>
      <c r="I2263" s="4" t="s">
        <v>20</v>
      </c>
      <c r="J2263" s="4" t="s">
        <v>31</v>
      </c>
      <c r="K2263" s="4" t="s">
        <v>20</v>
      </c>
      <c r="L2263" s="4" t="s">
        <v>742</v>
      </c>
      <c r="M2263" s="17">
        <v>8</v>
      </c>
      <c r="N2263" s="17">
        <v>746</v>
      </c>
      <c r="O2263" s="18" t="s">
        <v>31</v>
      </c>
      <c r="P2263" s="18">
        <v>746</v>
      </c>
      <c r="Q2263" s="18">
        <v>8</v>
      </c>
      <c r="R2263" s="18" t="str">
        <f>VLOOKUP(AUDITORIA[[#This Row],[LOTE]],[1]ENDEREÇAMENTO!$C$2:$J$9999,8,FALSE)</f>
        <v>Cam.C</v>
      </c>
      <c r="S2263" s="18" t="str">
        <f>VLOOKUP(RIGHT(AUDITORIA[[#This Row],[LOTE]],4),[2]Lotes!$A$2:$E$209,2,FALSE)</f>
        <v>QD.02</v>
      </c>
      <c r="T2263" s="18" t="str">
        <f>VLOOKUP(RIGHT(AUDITORIA[[#This Row],[LOTE]],4),[2]Lotes!$A$2:$E$209,4,FALSE)</f>
        <v>F1</v>
      </c>
      <c r="U22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63" s="19">
        <f>IF(AUDITORIA[[#This Row],[CAT]]="",0,1)</f>
        <v>1</v>
      </c>
      <c r="W2263" s="20">
        <v>46232</v>
      </c>
      <c r="X2263" s="21" t="s">
        <v>906</v>
      </c>
      <c r="Y2263" s="24" t="s">
        <v>901</v>
      </c>
      <c r="Z2263" s="24" t="s">
        <v>902</v>
      </c>
      <c r="AA2263" s="24" t="s">
        <v>903</v>
      </c>
    </row>
    <row r="2264" spans="1:27" ht="14.4" hidden="1" customHeight="1" x14ac:dyDescent="0.3">
      <c r="A2264" s="4" t="s">
        <v>0</v>
      </c>
      <c r="B2264" s="4" t="s">
        <v>17</v>
      </c>
      <c r="C2264" s="16" t="s">
        <v>18</v>
      </c>
      <c r="D2264" s="4">
        <v>10</v>
      </c>
      <c r="E2264" s="4" t="s">
        <v>745</v>
      </c>
      <c r="F2264" t="s">
        <v>748</v>
      </c>
      <c r="G2264" t="s">
        <v>839</v>
      </c>
      <c r="H2264" s="4" t="s">
        <v>31</v>
      </c>
      <c r="I2264" s="4" t="s">
        <v>21</v>
      </c>
      <c r="J2264" s="4" t="s">
        <v>31</v>
      </c>
      <c r="K2264" s="4" t="s">
        <v>21</v>
      </c>
      <c r="L2264" s="4" t="s">
        <v>742</v>
      </c>
      <c r="M2264" s="17">
        <v>10</v>
      </c>
      <c r="N2264" s="17">
        <v>878</v>
      </c>
      <c r="O2264" s="18" t="s">
        <v>31</v>
      </c>
      <c r="P2264" s="18">
        <v>878</v>
      </c>
      <c r="Q2264" s="18">
        <v>10</v>
      </c>
      <c r="R2264" s="18" t="str">
        <f>VLOOKUP(AUDITORIA[[#This Row],[LOTE]],[1]ENDEREÇAMENTO!$C$2:$J$9999,8,FALSE)</f>
        <v>Cam.C</v>
      </c>
      <c r="S2264" s="18" t="str">
        <f>VLOOKUP(RIGHT(AUDITORIA[[#This Row],[LOTE]],4),[2]Lotes!$A$2:$E$209,2,FALSE)</f>
        <v>QD.02</v>
      </c>
      <c r="T2264" s="18" t="str">
        <f>VLOOKUP(RIGHT(AUDITORIA[[#This Row],[LOTE]],4),[2]Lotes!$A$2:$E$209,4,FALSE)</f>
        <v>F2</v>
      </c>
      <c r="U22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64" s="19">
        <f>IF(AUDITORIA[[#This Row],[CAT]]="",0,1)</f>
        <v>1</v>
      </c>
      <c r="W2264" s="20">
        <v>46232</v>
      </c>
      <c r="X2264" s="21" t="s">
        <v>906</v>
      </c>
      <c r="Y2264" s="24" t="s">
        <v>901</v>
      </c>
      <c r="Z2264" s="24" t="s">
        <v>902</v>
      </c>
      <c r="AA2264" s="24" t="s">
        <v>903</v>
      </c>
    </row>
    <row r="2265" spans="1:27" ht="14.4" hidden="1" customHeight="1" x14ac:dyDescent="0.3">
      <c r="A2265" s="4" t="s">
        <v>0</v>
      </c>
      <c r="B2265" s="4" t="s">
        <v>17</v>
      </c>
      <c r="C2265" s="16" t="s">
        <v>18</v>
      </c>
      <c r="D2265" s="4">
        <v>10</v>
      </c>
      <c r="E2265" s="4" t="s">
        <v>745</v>
      </c>
      <c r="F2265" t="s">
        <v>118</v>
      </c>
      <c r="G2265" t="s">
        <v>835</v>
      </c>
      <c r="H2265" s="4" t="s">
        <v>19</v>
      </c>
      <c r="I2265" s="4" t="s">
        <v>21</v>
      </c>
      <c r="J2265" s="4" t="s">
        <v>19</v>
      </c>
      <c r="K2265" s="4" t="s">
        <v>21</v>
      </c>
      <c r="L2265" s="4" t="s">
        <v>742</v>
      </c>
      <c r="M2265" s="17">
        <v>24</v>
      </c>
      <c r="N2265" s="17">
        <v>1062</v>
      </c>
      <c r="O2265" s="18" t="s">
        <v>19</v>
      </c>
      <c r="P2265" s="18">
        <v>1062</v>
      </c>
      <c r="Q2265" s="18">
        <v>24</v>
      </c>
      <c r="R2265" s="18" t="s">
        <v>778</v>
      </c>
      <c r="S2265" s="18" t="s">
        <v>790</v>
      </c>
      <c r="T2265" s="18">
        <v>24</v>
      </c>
      <c r="U22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65" s="19">
        <f>IF(AUDITORIA[[#This Row],[CAT]]="",0,1)</f>
        <v>1</v>
      </c>
      <c r="W2265" s="20">
        <v>46232</v>
      </c>
      <c r="X2265" s="21" t="s">
        <v>906</v>
      </c>
      <c r="Y2265" s="24" t="s">
        <v>901</v>
      </c>
      <c r="Z2265" s="24" t="s">
        <v>902</v>
      </c>
      <c r="AA2265" s="24" t="s">
        <v>903</v>
      </c>
    </row>
    <row r="2266" spans="1:27" ht="14.4" hidden="1" customHeight="1" x14ac:dyDescent="0.3">
      <c r="A2266" s="29" t="s">
        <v>279</v>
      </c>
      <c r="B2266" s="4" t="s">
        <v>17</v>
      </c>
      <c r="C2266" s="16" t="s">
        <v>18</v>
      </c>
      <c r="D2266" s="4">
        <v>11</v>
      </c>
      <c r="E2266" s="4" t="s">
        <v>745</v>
      </c>
      <c r="F2266" t="s">
        <v>490</v>
      </c>
      <c r="G2266" t="s">
        <v>399</v>
      </c>
      <c r="J2266" s="4" t="s">
        <v>88</v>
      </c>
      <c r="K2266" s="4" t="s">
        <v>21</v>
      </c>
      <c r="L2266" s="4" t="s">
        <v>742</v>
      </c>
      <c r="M2266" s="17">
        <v>24</v>
      </c>
      <c r="N2266" s="17">
        <v>1010</v>
      </c>
      <c r="O2266" s="18" t="s">
        <v>88</v>
      </c>
      <c r="P2266" s="18">
        <v>1010</v>
      </c>
      <c r="Q2266" s="18">
        <v>24</v>
      </c>
      <c r="R2266" s="18" t="s">
        <v>778</v>
      </c>
      <c r="S2266" s="18" t="s">
        <v>820</v>
      </c>
      <c r="T2266" s="18" t="s">
        <v>780</v>
      </c>
      <c r="U22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66" s="19">
        <f>IF(AUDITORIA[[#This Row],[CAT]]="",0,1)</f>
        <v>1</v>
      </c>
      <c r="W2266" s="20">
        <v>46233</v>
      </c>
      <c r="X2266" s="21" t="s">
        <v>906</v>
      </c>
      <c r="Y2266" s="24" t="s">
        <v>901</v>
      </c>
      <c r="Z2266" s="24" t="s">
        <v>945</v>
      </c>
      <c r="AA2266" s="24" t="s">
        <v>946</v>
      </c>
    </row>
    <row r="2267" spans="1:27" ht="14.4" hidden="1" customHeight="1" x14ac:dyDescent="0.3">
      <c r="A2267" s="29" t="s">
        <v>279</v>
      </c>
      <c r="B2267" s="4" t="s">
        <v>17</v>
      </c>
      <c r="C2267" s="16" t="s">
        <v>18</v>
      </c>
      <c r="D2267" s="4">
        <v>11</v>
      </c>
      <c r="E2267" s="4" t="s">
        <v>745</v>
      </c>
      <c r="F2267" t="s">
        <v>491</v>
      </c>
      <c r="G2267" t="s">
        <v>399</v>
      </c>
      <c r="J2267" s="4" t="s">
        <v>88</v>
      </c>
      <c r="K2267" s="4" t="s">
        <v>20</v>
      </c>
      <c r="L2267" s="4" t="s">
        <v>742</v>
      </c>
      <c r="M2267" s="17">
        <v>0</v>
      </c>
      <c r="N2267" s="17">
        <v>812</v>
      </c>
      <c r="O2267" s="18" t="s">
        <v>88</v>
      </c>
      <c r="P2267" s="30" t="s">
        <v>905</v>
      </c>
      <c r="Q2267" s="30">
        <v>0</v>
      </c>
      <c r="R2267" s="30" t="s">
        <v>905</v>
      </c>
      <c r="S2267" s="30" t="s">
        <v>905</v>
      </c>
      <c r="T2267" s="30" t="s">
        <v>905</v>
      </c>
      <c r="U22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67" s="19">
        <v>0</v>
      </c>
      <c r="W2267" s="20">
        <v>46233</v>
      </c>
      <c r="X2267" s="21" t="s">
        <v>906</v>
      </c>
      <c r="Y2267" s="24" t="s">
        <v>901</v>
      </c>
      <c r="Z2267" s="24" t="s">
        <v>945</v>
      </c>
      <c r="AA2267" s="24" t="s">
        <v>946</v>
      </c>
    </row>
    <row r="2268" spans="1:27" ht="14.4" hidden="1" customHeight="1" x14ac:dyDescent="0.3">
      <c r="A2268" s="29" t="s">
        <v>279</v>
      </c>
      <c r="B2268" s="4" t="s">
        <v>17</v>
      </c>
      <c r="C2268" s="16" t="s">
        <v>18</v>
      </c>
      <c r="D2268" s="4">
        <v>11</v>
      </c>
      <c r="E2268" s="4" t="s">
        <v>745</v>
      </c>
      <c r="F2268" t="s">
        <v>492</v>
      </c>
      <c r="G2268" t="s">
        <v>399</v>
      </c>
      <c r="J2268" s="4" t="s">
        <v>88</v>
      </c>
      <c r="K2268" s="4" t="s">
        <v>20</v>
      </c>
      <c r="L2268" s="4" t="s">
        <v>742</v>
      </c>
      <c r="M2268" s="17">
        <v>0</v>
      </c>
      <c r="N2268" s="17">
        <v>828</v>
      </c>
      <c r="O2268" s="18" t="s">
        <v>88</v>
      </c>
      <c r="P2268" s="30" t="s">
        <v>905</v>
      </c>
      <c r="Q2268" s="30">
        <v>0</v>
      </c>
      <c r="R2268" s="30" t="s">
        <v>905</v>
      </c>
      <c r="S2268" s="30" t="s">
        <v>905</v>
      </c>
      <c r="T2268" s="30" t="s">
        <v>905</v>
      </c>
      <c r="U22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68" s="19">
        <v>0</v>
      </c>
      <c r="W2268" s="20">
        <v>46233</v>
      </c>
      <c r="X2268" s="21" t="s">
        <v>906</v>
      </c>
      <c r="Y2268" s="24" t="s">
        <v>901</v>
      </c>
      <c r="Z2268" s="24" t="s">
        <v>945</v>
      </c>
      <c r="AA2268" s="24" t="s">
        <v>946</v>
      </c>
    </row>
    <row r="2269" spans="1:27" ht="14.4" hidden="1" customHeight="1" x14ac:dyDescent="0.3">
      <c r="A2269" s="29" t="s">
        <v>279</v>
      </c>
      <c r="B2269" s="4" t="s">
        <v>17</v>
      </c>
      <c r="C2269" s="16" t="s">
        <v>18</v>
      </c>
      <c r="D2269" s="4">
        <v>11</v>
      </c>
      <c r="E2269" s="4" t="s">
        <v>745</v>
      </c>
      <c r="F2269" t="s">
        <v>493</v>
      </c>
      <c r="G2269" t="s">
        <v>399</v>
      </c>
      <c r="J2269" s="4" t="s">
        <v>88</v>
      </c>
      <c r="K2269" s="4" t="s">
        <v>21</v>
      </c>
      <c r="L2269" s="4" t="s">
        <v>742</v>
      </c>
      <c r="M2269" s="17">
        <v>0</v>
      </c>
      <c r="N2269" s="17">
        <v>1035</v>
      </c>
      <c r="O2269" s="18" t="s">
        <v>88</v>
      </c>
      <c r="P2269" s="30" t="s">
        <v>905</v>
      </c>
      <c r="Q2269" s="30">
        <v>0</v>
      </c>
      <c r="R2269" s="30" t="s">
        <v>905</v>
      </c>
      <c r="S2269" s="30" t="s">
        <v>905</v>
      </c>
      <c r="T2269" s="30" t="s">
        <v>905</v>
      </c>
      <c r="U22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69" s="19">
        <v>0</v>
      </c>
      <c r="W2269" s="20">
        <v>46233</v>
      </c>
      <c r="X2269" s="21" t="s">
        <v>906</v>
      </c>
      <c r="Y2269" s="24" t="s">
        <v>901</v>
      </c>
      <c r="Z2269" s="24" t="s">
        <v>945</v>
      </c>
      <c r="AA2269" s="24" t="s">
        <v>946</v>
      </c>
    </row>
    <row r="2270" spans="1:27" ht="14.4" hidden="1" customHeight="1" x14ac:dyDescent="0.3">
      <c r="A2270" s="29" t="s">
        <v>279</v>
      </c>
      <c r="B2270" s="4" t="s">
        <v>17</v>
      </c>
      <c r="C2270" s="16" t="s">
        <v>18</v>
      </c>
      <c r="D2270" s="4">
        <v>11</v>
      </c>
      <c r="E2270" s="4" t="s">
        <v>745</v>
      </c>
      <c r="F2270" t="s">
        <v>494</v>
      </c>
      <c r="G2270" t="s">
        <v>399</v>
      </c>
      <c r="J2270" s="4" t="s">
        <v>88</v>
      </c>
      <c r="K2270" s="4" t="s">
        <v>20</v>
      </c>
      <c r="L2270" s="4" t="s">
        <v>742</v>
      </c>
      <c r="M2270" s="17">
        <v>0</v>
      </c>
      <c r="N2270" s="17">
        <v>835</v>
      </c>
      <c r="O2270" s="18" t="s">
        <v>88</v>
      </c>
      <c r="P2270" s="30" t="s">
        <v>905</v>
      </c>
      <c r="Q2270" s="30">
        <v>0</v>
      </c>
      <c r="R2270" s="30" t="s">
        <v>905</v>
      </c>
      <c r="S2270" s="30" t="s">
        <v>905</v>
      </c>
      <c r="T2270" s="30" t="s">
        <v>905</v>
      </c>
      <c r="U22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70" s="19">
        <v>0</v>
      </c>
      <c r="W2270" s="20">
        <v>46233</v>
      </c>
      <c r="X2270" s="21" t="s">
        <v>906</v>
      </c>
      <c r="Y2270" s="24" t="s">
        <v>901</v>
      </c>
      <c r="Z2270" s="24" t="s">
        <v>945</v>
      </c>
      <c r="AA2270" s="24" t="s">
        <v>946</v>
      </c>
    </row>
    <row r="2271" spans="1:27" ht="14.4" hidden="1" customHeight="1" x14ac:dyDescent="0.3">
      <c r="A2271" s="29" t="s">
        <v>279</v>
      </c>
      <c r="B2271" s="4" t="s">
        <v>17</v>
      </c>
      <c r="C2271" s="16" t="s">
        <v>18</v>
      </c>
      <c r="D2271" s="4">
        <v>11</v>
      </c>
      <c r="E2271" s="4" t="s">
        <v>745</v>
      </c>
      <c r="F2271" t="s">
        <v>351</v>
      </c>
      <c r="G2271" t="s">
        <v>290</v>
      </c>
      <c r="J2271" s="4" t="s">
        <v>19</v>
      </c>
      <c r="K2271" s="4" t="s">
        <v>20</v>
      </c>
      <c r="L2271" s="4" t="s">
        <v>742</v>
      </c>
      <c r="M2271" s="17">
        <v>30</v>
      </c>
      <c r="N2271" s="17">
        <v>765</v>
      </c>
      <c r="O2271" s="18" t="s">
        <v>19</v>
      </c>
      <c r="P2271" s="18">
        <v>765</v>
      </c>
      <c r="Q2271" s="18">
        <v>30</v>
      </c>
      <c r="R2271" s="18" t="s">
        <v>778</v>
      </c>
      <c r="S2271" s="18" t="s">
        <v>889</v>
      </c>
      <c r="T2271" s="18" t="s">
        <v>780</v>
      </c>
      <c r="U22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71" s="19">
        <f>IF(AUDITORIA[[#This Row],[CAT]]="",0,1)</f>
        <v>1</v>
      </c>
      <c r="W2271" s="20">
        <v>46233</v>
      </c>
      <c r="X2271" s="21" t="s">
        <v>906</v>
      </c>
      <c r="Y2271" s="24" t="s">
        <v>901</v>
      </c>
      <c r="Z2271" s="24" t="s">
        <v>945</v>
      </c>
      <c r="AA2271" s="24" t="s">
        <v>946</v>
      </c>
    </row>
    <row r="2272" spans="1:27" ht="14.4" hidden="1" customHeight="1" x14ac:dyDescent="0.3">
      <c r="A2272" s="29" t="s">
        <v>279</v>
      </c>
      <c r="B2272" s="4" t="s">
        <v>17</v>
      </c>
      <c r="C2272" s="16" t="s">
        <v>18</v>
      </c>
      <c r="D2272" s="4">
        <v>11</v>
      </c>
      <c r="E2272" s="4" t="s">
        <v>745</v>
      </c>
      <c r="F2272" t="s">
        <v>489</v>
      </c>
      <c r="G2272" t="s">
        <v>399</v>
      </c>
      <c r="J2272" s="4" t="s">
        <v>88</v>
      </c>
      <c r="K2272" s="4" t="s">
        <v>20</v>
      </c>
      <c r="L2272" s="4" t="s">
        <v>742</v>
      </c>
      <c r="M2272" s="17">
        <v>0</v>
      </c>
      <c r="N2272" s="17">
        <v>801</v>
      </c>
      <c r="O2272" s="18" t="s">
        <v>88</v>
      </c>
      <c r="P2272" s="30" t="s">
        <v>905</v>
      </c>
      <c r="Q2272" s="30">
        <v>0</v>
      </c>
      <c r="R2272" s="30" t="s">
        <v>905</v>
      </c>
      <c r="S2272" s="30" t="s">
        <v>905</v>
      </c>
      <c r="T2272" s="30" t="s">
        <v>905</v>
      </c>
      <c r="U22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72" s="19">
        <v>0</v>
      </c>
      <c r="W2272" s="20">
        <v>46233</v>
      </c>
      <c r="X2272" s="21" t="s">
        <v>906</v>
      </c>
      <c r="Y2272" s="24" t="s">
        <v>901</v>
      </c>
      <c r="Z2272" s="24" t="s">
        <v>945</v>
      </c>
      <c r="AA2272" s="24" t="s">
        <v>946</v>
      </c>
    </row>
    <row r="2273" spans="1:27" ht="14.4" hidden="1" customHeight="1" x14ac:dyDescent="0.3">
      <c r="A2273" s="29" t="s">
        <v>279</v>
      </c>
      <c r="B2273" s="4" t="s">
        <v>17</v>
      </c>
      <c r="C2273" s="16" t="s">
        <v>18</v>
      </c>
      <c r="D2273" s="4">
        <v>11</v>
      </c>
      <c r="E2273" s="4" t="s">
        <v>745</v>
      </c>
      <c r="F2273" t="s">
        <v>423</v>
      </c>
      <c r="G2273" t="s">
        <v>399</v>
      </c>
      <c r="J2273" s="4" t="s">
        <v>88</v>
      </c>
      <c r="K2273" s="4" t="s">
        <v>21</v>
      </c>
      <c r="L2273" s="4" t="s">
        <v>742</v>
      </c>
      <c r="M2273" s="17">
        <v>24</v>
      </c>
      <c r="N2273" s="17">
        <v>1019</v>
      </c>
      <c r="O2273" s="18" t="s">
        <v>88</v>
      </c>
      <c r="P2273" s="18">
        <v>1019</v>
      </c>
      <c r="Q2273" s="18">
        <v>24</v>
      </c>
      <c r="R2273" s="18" t="s">
        <v>778</v>
      </c>
      <c r="S2273" s="18" t="s">
        <v>820</v>
      </c>
      <c r="T2273" s="18" t="s">
        <v>840</v>
      </c>
      <c r="U22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73" s="19">
        <f>IF(AUDITORIA[[#This Row],[CAT]]="",0,1)</f>
        <v>1</v>
      </c>
      <c r="W2273" s="20">
        <v>46233</v>
      </c>
      <c r="X2273" s="21" t="s">
        <v>906</v>
      </c>
      <c r="Y2273" s="24" t="s">
        <v>901</v>
      </c>
      <c r="Z2273" s="24" t="s">
        <v>945</v>
      </c>
      <c r="AA2273" s="24" t="s">
        <v>946</v>
      </c>
    </row>
    <row r="2274" spans="1:27" ht="14.4" hidden="1" customHeight="1" x14ac:dyDescent="0.3">
      <c r="A2274" s="29" t="s">
        <v>279</v>
      </c>
      <c r="B2274" s="4" t="s">
        <v>17</v>
      </c>
      <c r="C2274" s="16" t="s">
        <v>18</v>
      </c>
      <c r="D2274" s="4">
        <v>11</v>
      </c>
      <c r="E2274" s="4" t="s">
        <v>745</v>
      </c>
      <c r="F2274" t="s">
        <v>424</v>
      </c>
      <c r="G2274" t="s">
        <v>399</v>
      </c>
      <c r="J2274" s="4" t="s">
        <v>88</v>
      </c>
      <c r="K2274" s="4" t="s">
        <v>21</v>
      </c>
      <c r="L2274" s="4" t="s">
        <v>742</v>
      </c>
      <c r="M2274" s="17">
        <v>24</v>
      </c>
      <c r="N2274" s="17">
        <v>1021</v>
      </c>
      <c r="O2274" s="18" t="s">
        <v>88</v>
      </c>
      <c r="P2274" s="18">
        <v>1021</v>
      </c>
      <c r="Q2274" s="18">
        <v>24</v>
      </c>
      <c r="R2274" s="18" t="s">
        <v>778</v>
      </c>
      <c r="S2274" s="18" t="s">
        <v>820</v>
      </c>
      <c r="T2274" s="18" t="s">
        <v>794</v>
      </c>
      <c r="U22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74" s="19">
        <f>IF(AUDITORIA[[#This Row],[CAT]]="",0,1)</f>
        <v>1</v>
      </c>
      <c r="W2274" s="20">
        <v>46233</v>
      </c>
      <c r="X2274" s="21" t="s">
        <v>906</v>
      </c>
      <c r="Y2274" s="24" t="s">
        <v>901</v>
      </c>
      <c r="Z2274" s="24" t="s">
        <v>945</v>
      </c>
      <c r="AA2274" s="24" t="s">
        <v>946</v>
      </c>
    </row>
    <row r="2275" spans="1:27" ht="14.4" hidden="1" customHeight="1" x14ac:dyDescent="0.3">
      <c r="A2275" s="29" t="s">
        <v>279</v>
      </c>
      <c r="B2275" s="4" t="s">
        <v>17</v>
      </c>
      <c r="C2275" s="16" t="s">
        <v>18</v>
      </c>
      <c r="D2275" s="4">
        <v>11</v>
      </c>
      <c r="E2275" s="4" t="s">
        <v>745</v>
      </c>
      <c r="F2275" t="s">
        <v>486</v>
      </c>
      <c r="G2275" t="s">
        <v>399</v>
      </c>
      <c r="J2275" s="4" t="s">
        <v>88</v>
      </c>
      <c r="K2275" s="4" t="s">
        <v>20</v>
      </c>
      <c r="L2275" s="4" t="s">
        <v>742</v>
      </c>
      <c r="M2275" s="17">
        <v>0</v>
      </c>
      <c r="N2275" s="17">
        <v>827</v>
      </c>
      <c r="O2275" s="18" t="s">
        <v>88</v>
      </c>
      <c r="P2275" s="30" t="s">
        <v>905</v>
      </c>
      <c r="Q2275" s="30">
        <v>0</v>
      </c>
      <c r="R2275" s="30" t="s">
        <v>905</v>
      </c>
      <c r="S2275" s="30" t="s">
        <v>905</v>
      </c>
      <c r="T2275" s="30" t="s">
        <v>905</v>
      </c>
      <c r="U22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75" s="19">
        <v>0</v>
      </c>
      <c r="W2275" s="20">
        <v>46233</v>
      </c>
      <c r="X2275" s="21" t="s">
        <v>906</v>
      </c>
      <c r="Y2275" s="24" t="s">
        <v>901</v>
      </c>
      <c r="Z2275" s="24" t="s">
        <v>945</v>
      </c>
      <c r="AA2275" s="24" t="s">
        <v>946</v>
      </c>
    </row>
    <row r="2276" spans="1:27" ht="14.4" hidden="1" customHeight="1" x14ac:dyDescent="0.3">
      <c r="A2276" s="29" t="s">
        <v>279</v>
      </c>
      <c r="B2276" s="4" t="s">
        <v>17</v>
      </c>
      <c r="C2276" s="16" t="s">
        <v>18</v>
      </c>
      <c r="D2276" s="4">
        <v>11</v>
      </c>
      <c r="E2276" s="4" t="s">
        <v>745</v>
      </c>
      <c r="F2276" t="s">
        <v>487</v>
      </c>
      <c r="G2276" t="s">
        <v>399</v>
      </c>
      <c r="J2276" s="4" t="s">
        <v>88</v>
      </c>
      <c r="K2276" s="4" t="s">
        <v>20</v>
      </c>
      <c r="L2276" s="4" t="s">
        <v>742</v>
      </c>
      <c r="M2276" s="17">
        <v>0</v>
      </c>
      <c r="N2276" s="17">
        <v>821</v>
      </c>
      <c r="O2276" s="18" t="s">
        <v>88</v>
      </c>
      <c r="P2276" s="30" t="s">
        <v>905</v>
      </c>
      <c r="Q2276" s="30">
        <v>0</v>
      </c>
      <c r="R2276" s="30" t="s">
        <v>905</v>
      </c>
      <c r="S2276" s="30" t="s">
        <v>905</v>
      </c>
      <c r="T2276" s="30" t="s">
        <v>905</v>
      </c>
      <c r="U22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76" s="19">
        <v>0</v>
      </c>
      <c r="W2276" s="20">
        <v>46233</v>
      </c>
      <c r="X2276" s="21" t="s">
        <v>906</v>
      </c>
      <c r="Y2276" s="24" t="s">
        <v>901</v>
      </c>
      <c r="Z2276" s="24" t="s">
        <v>945</v>
      </c>
      <c r="AA2276" s="24" t="s">
        <v>946</v>
      </c>
    </row>
    <row r="2277" spans="1:27" ht="14.4" hidden="1" customHeight="1" x14ac:dyDescent="0.3">
      <c r="A2277" s="29" t="s">
        <v>279</v>
      </c>
      <c r="B2277" s="4" t="s">
        <v>17</v>
      </c>
      <c r="C2277" s="16" t="s">
        <v>18</v>
      </c>
      <c r="D2277" s="4">
        <v>11</v>
      </c>
      <c r="E2277" s="4" t="s">
        <v>745</v>
      </c>
      <c r="F2277" t="s">
        <v>488</v>
      </c>
      <c r="G2277" t="s">
        <v>399</v>
      </c>
      <c r="J2277" s="4" t="s">
        <v>88</v>
      </c>
      <c r="K2277" s="4" t="s">
        <v>21</v>
      </c>
      <c r="L2277" s="4" t="s">
        <v>742</v>
      </c>
      <c r="M2277" s="17">
        <v>15</v>
      </c>
      <c r="N2277" s="17">
        <v>1010</v>
      </c>
      <c r="O2277" s="18" t="s">
        <v>88</v>
      </c>
      <c r="P2277" s="18">
        <v>1010</v>
      </c>
      <c r="Q2277" s="18">
        <v>15</v>
      </c>
      <c r="R2277" s="18" t="s">
        <v>778</v>
      </c>
      <c r="S2277" s="18" t="s">
        <v>820</v>
      </c>
      <c r="T2277" s="18" t="s">
        <v>781</v>
      </c>
      <c r="U22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77" s="19">
        <f>IF(AUDITORIA[[#This Row],[CAT]]="",0,1)</f>
        <v>1</v>
      </c>
      <c r="W2277" s="20">
        <v>46233</v>
      </c>
      <c r="X2277" s="21" t="s">
        <v>906</v>
      </c>
      <c r="Y2277" s="24" t="s">
        <v>901</v>
      </c>
      <c r="Z2277" s="24" t="s">
        <v>945</v>
      </c>
      <c r="AA2277" s="24" t="s">
        <v>946</v>
      </c>
    </row>
    <row r="2278" spans="1:27" ht="14.4" hidden="1" customHeight="1" x14ac:dyDescent="0.3">
      <c r="A2278" s="29" t="s">
        <v>279</v>
      </c>
      <c r="B2278" s="4" t="s">
        <v>17</v>
      </c>
      <c r="C2278" s="16" t="s">
        <v>18</v>
      </c>
      <c r="D2278" s="4">
        <v>11</v>
      </c>
      <c r="E2278" s="4" t="s">
        <v>745</v>
      </c>
      <c r="F2278" t="s">
        <v>422</v>
      </c>
      <c r="G2278" t="s">
        <v>399</v>
      </c>
      <c r="J2278" s="4" t="s">
        <v>88</v>
      </c>
      <c r="K2278" s="4" t="s">
        <v>21</v>
      </c>
      <c r="L2278" s="4" t="s">
        <v>742</v>
      </c>
      <c r="M2278" s="17">
        <v>24</v>
      </c>
      <c r="N2278" s="17">
        <v>1056</v>
      </c>
      <c r="O2278" s="18" t="s">
        <v>88</v>
      </c>
      <c r="P2278" s="18">
        <v>1056</v>
      </c>
      <c r="Q2278" s="18">
        <v>24</v>
      </c>
      <c r="R2278" s="18" t="s">
        <v>778</v>
      </c>
      <c r="S2278" s="18" t="s">
        <v>820</v>
      </c>
      <c r="T2278" s="18" t="s">
        <v>843</v>
      </c>
      <c r="U22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78" s="19">
        <f>IF(AUDITORIA[[#This Row],[CAT]]="",0,1)</f>
        <v>1</v>
      </c>
      <c r="W2278" s="20">
        <v>46233</v>
      </c>
      <c r="X2278" s="21" t="s">
        <v>906</v>
      </c>
      <c r="Y2278" s="24" t="s">
        <v>901</v>
      </c>
      <c r="Z2278" s="24" t="s">
        <v>945</v>
      </c>
      <c r="AA2278" s="24" t="s">
        <v>946</v>
      </c>
    </row>
    <row r="2279" spans="1:27" ht="14.4" hidden="1" customHeight="1" x14ac:dyDescent="0.3">
      <c r="A2279" s="29" t="s">
        <v>279</v>
      </c>
      <c r="B2279" s="4" t="s">
        <v>17</v>
      </c>
      <c r="C2279" s="16" t="s">
        <v>18</v>
      </c>
      <c r="D2279" s="4">
        <v>11</v>
      </c>
      <c r="E2279" s="4" t="s">
        <v>745</v>
      </c>
      <c r="F2279" t="s">
        <v>484</v>
      </c>
      <c r="G2279" t="s">
        <v>399</v>
      </c>
      <c r="J2279" s="4" t="s">
        <v>88</v>
      </c>
      <c r="K2279" s="4" t="s">
        <v>20</v>
      </c>
      <c r="L2279" s="4" t="s">
        <v>742</v>
      </c>
      <c r="M2279" s="17">
        <v>30</v>
      </c>
      <c r="N2279" s="17">
        <v>804</v>
      </c>
      <c r="O2279" s="18" t="s">
        <v>88</v>
      </c>
      <c r="P2279" s="18">
        <v>804</v>
      </c>
      <c r="Q2279" s="18">
        <v>30</v>
      </c>
      <c r="R2279" s="18" t="s">
        <v>778</v>
      </c>
      <c r="S2279" s="18" t="s">
        <v>825</v>
      </c>
      <c r="T2279" s="18" t="s">
        <v>780</v>
      </c>
      <c r="U22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79" s="19">
        <f>IF(AUDITORIA[[#This Row],[CAT]]="",0,1)</f>
        <v>1</v>
      </c>
      <c r="W2279" s="20">
        <v>46233</v>
      </c>
      <c r="X2279" s="21" t="s">
        <v>906</v>
      </c>
      <c r="Y2279" s="24" t="s">
        <v>901</v>
      </c>
      <c r="Z2279" s="24" t="s">
        <v>945</v>
      </c>
      <c r="AA2279" s="24" t="s">
        <v>946</v>
      </c>
    </row>
    <row r="2280" spans="1:27" ht="14.4" hidden="1" customHeight="1" x14ac:dyDescent="0.3">
      <c r="A2280" s="29" t="s">
        <v>279</v>
      </c>
      <c r="B2280" s="4" t="s">
        <v>17</v>
      </c>
      <c r="C2280" s="16" t="s">
        <v>18</v>
      </c>
      <c r="D2280" s="4">
        <v>11</v>
      </c>
      <c r="E2280" s="4" t="s">
        <v>745</v>
      </c>
      <c r="F2280" t="s">
        <v>485</v>
      </c>
      <c r="G2280" t="s">
        <v>399</v>
      </c>
      <c r="J2280" s="4" t="s">
        <v>88</v>
      </c>
      <c r="K2280" s="4" t="s">
        <v>20</v>
      </c>
      <c r="L2280" s="4" t="s">
        <v>742</v>
      </c>
      <c r="M2280" s="17">
        <v>0</v>
      </c>
      <c r="N2280" s="17">
        <v>813</v>
      </c>
      <c r="O2280" s="18" t="s">
        <v>88</v>
      </c>
      <c r="P2280" s="30" t="s">
        <v>905</v>
      </c>
      <c r="Q2280" s="30">
        <v>0</v>
      </c>
      <c r="R2280" s="30" t="s">
        <v>905</v>
      </c>
      <c r="S2280" s="30" t="s">
        <v>905</v>
      </c>
      <c r="T2280" s="30" t="s">
        <v>905</v>
      </c>
      <c r="U22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80" s="19">
        <v>0</v>
      </c>
      <c r="W2280" s="20">
        <v>46233</v>
      </c>
      <c r="X2280" s="21" t="s">
        <v>906</v>
      </c>
      <c r="Y2280" s="24" t="s">
        <v>901</v>
      </c>
      <c r="Z2280" s="24" t="s">
        <v>945</v>
      </c>
      <c r="AA2280" s="24" t="s">
        <v>946</v>
      </c>
    </row>
    <row r="2281" spans="1:27" ht="14.4" hidden="1" customHeight="1" x14ac:dyDescent="0.3">
      <c r="A2281" s="29" t="s">
        <v>279</v>
      </c>
      <c r="B2281" s="4" t="s">
        <v>17</v>
      </c>
      <c r="C2281" s="16" t="s">
        <v>18</v>
      </c>
      <c r="D2281" s="4">
        <v>11</v>
      </c>
      <c r="E2281" s="4" t="s">
        <v>745</v>
      </c>
      <c r="F2281" t="s">
        <v>482</v>
      </c>
      <c r="G2281" t="s">
        <v>66</v>
      </c>
      <c r="J2281" s="4" t="s">
        <v>55</v>
      </c>
      <c r="K2281" s="4" t="s">
        <v>21</v>
      </c>
      <c r="L2281" s="4" t="s">
        <v>742</v>
      </c>
      <c r="M2281" s="17">
        <v>24</v>
      </c>
      <c r="N2281" s="17">
        <v>1028</v>
      </c>
      <c r="O2281" s="18" t="s">
        <v>55</v>
      </c>
      <c r="P2281" s="18">
        <v>1028</v>
      </c>
      <c r="Q2281" s="18">
        <v>24</v>
      </c>
      <c r="R2281" s="18" t="s">
        <v>778</v>
      </c>
      <c r="S2281" s="18" t="s">
        <v>848</v>
      </c>
      <c r="T2281" s="18" t="s">
        <v>780</v>
      </c>
      <c r="U22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81" s="19">
        <f>IF(AUDITORIA[[#This Row],[CAT]]="",0,1)</f>
        <v>1</v>
      </c>
      <c r="W2281" s="20">
        <v>46233</v>
      </c>
      <c r="X2281" s="21" t="s">
        <v>906</v>
      </c>
      <c r="Y2281" s="24" t="s">
        <v>901</v>
      </c>
      <c r="Z2281" s="24" t="s">
        <v>945</v>
      </c>
      <c r="AA2281" s="24" t="s">
        <v>946</v>
      </c>
    </row>
    <row r="2282" spans="1:27" ht="14.4" hidden="1" customHeight="1" x14ac:dyDescent="0.3">
      <c r="A2282" s="29" t="s">
        <v>279</v>
      </c>
      <c r="B2282" s="4" t="s">
        <v>17</v>
      </c>
      <c r="C2282" s="16" t="s">
        <v>18</v>
      </c>
      <c r="D2282" s="4">
        <v>11</v>
      </c>
      <c r="E2282" s="4" t="s">
        <v>745</v>
      </c>
      <c r="F2282" t="s">
        <v>483</v>
      </c>
      <c r="G2282" t="s">
        <v>66</v>
      </c>
      <c r="J2282" s="4" t="s">
        <v>55</v>
      </c>
      <c r="K2282" s="4" t="s">
        <v>20</v>
      </c>
      <c r="L2282" s="4" t="s">
        <v>742</v>
      </c>
      <c r="M2282" s="17">
        <v>30</v>
      </c>
      <c r="N2282" s="17">
        <v>792</v>
      </c>
      <c r="O2282" s="18" t="s">
        <v>55</v>
      </c>
      <c r="P2282" s="18">
        <v>792</v>
      </c>
      <c r="Q2282" s="18">
        <v>30</v>
      </c>
      <c r="R2282" s="18" t="s">
        <v>778</v>
      </c>
      <c r="S2282" s="18" t="s">
        <v>847</v>
      </c>
      <c r="T2282" s="18" t="s">
        <v>780</v>
      </c>
      <c r="U22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82" s="19">
        <f>IF(AUDITORIA[[#This Row],[CAT]]="",0,1)</f>
        <v>1</v>
      </c>
      <c r="W2282" s="20">
        <v>46233</v>
      </c>
      <c r="X2282" s="21" t="s">
        <v>906</v>
      </c>
      <c r="Y2282" s="24" t="s">
        <v>901</v>
      </c>
      <c r="Z2282" s="24" t="s">
        <v>945</v>
      </c>
      <c r="AA2282" s="24" t="s">
        <v>946</v>
      </c>
    </row>
    <row r="2283" spans="1:27" ht="14.4" hidden="1" customHeight="1" x14ac:dyDescent="0.3">
      <c r="A2283" s="29" t="s">
        <v>279</v>
      </c>
      <c r="B2283" s="4" t="s">
        <v>17</v>
      </c>
      <c r="C2283" s="16" t="s">
        <v>18</v>
      </c>
      <c r="D2283" s="4">
        <v>11</v>
      </c>
      <c r="E2283" s="4" t="s">
        <v>745</v>
      </c>
      <c r="F2283" t="s">
        <v>329</v>
      </c>
      <c r="G2283" t="s">
        <v>106</v>
      </c>
      <c r="J2283" s="4" t="s">
        <v>19</v>
      </c>
      <c r="K2283" s="4" t="s">
        <v>21</v>
      </c>
      <c r="L2283" s="4" t="s">
        <v>742</v>
      </c>
      <c r="M2283" s="17">
        <v>24</v>
      </c>
      <c r="N2283" s="17">
        <v>1032</v>
      </c>
      <c r="O2283" s="18" t="s">
        <v>19</v>
      </c>
      <c r="P2283" s="18">
        <v>1032</v>
      </c>
      <c r="Q2283" s="18">
        <v>24</v>
      </c>
      <c r="R2283" s="18" t="s">
        <v>778</v>
      </c>
      <c r="S2283" s="18" t="s">
        <v>883</v>
      </c>
      <c r="T2283" s="18" t="s">
        <v>840</v>
      </c>
      <c r="U22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83" s="19">
        <f>IF(AUDITORIA[[#This Row],[CAT]]="",0,1)</f>
        <v>1</v>
      </c>
      <c r="W2283" s="20">
        <v>46233</v>
      </c>
      <c r="X2283" s="21" t="s">
        <v>906</v>
      </c>
      <c r="Y2283" s="24" t="s">
        <v>901</v>
      </c>
      <c r="Z2283" s="24" t="s">
        <v>945</v>
      </c>
      <c r="AA2283" s="24" t="s">
        <v>946</v>
      </c>
    </row>
    <row r="2284" spans="1:27" ht="14.4" hidden="1" customHeight="1" x14ac:dyDescent="0.3">
      <c r="A2284" s="29" t="s">
        <v>279</v>
      </c>
      <c r="B2284" s="4" t="s">
        <v>17</v>
      </c>
      <c r="C2284" s="16" t="s">
        <v>18</v>
      </c>
      <c r="D2284" s="4">
        <v>11</v>
      </c>
      <c r="E2284" s="4" t="s">
        <v>745</v>
      </c>
      <c r="F2284" t="s">
        <v>481</v>
      </c>
      <c r="G2284" t="s">
        <v>66</v>
      </c>
      <c r="J2284" s="4" t="s">
        <v>55</v>
      </c>
      <c r="K2284" s="4" t="s">
        <v>20</v>
      </c>
      <c r="L2284" s="4" t="s">
        <v>742</v>
      </c>
      <c r="M2284" s="17">
        <v>30</v>
      </c>
      <c r="N2284" s="17">
        <v>775</v>
      </c>
      <c r="O2284" s="18" t="s">
        <v>55</v>
      </c>
      <c r="P2284" s="18">
        <v>775</v>
      </c>
      <c r="Q2284" s="18">
        <v>30</v>
      </c>
      <c r="R2284" s="18" t="s">
        <v>778</v>
      </c>
      <c r="S2284" s="18" t="s">
        <v>847</v>
      </c>
      <c r="T2284" s="18" t="s">
        <v>781</v>
      </c>
      <c r="U22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84" s="19">
        <f>IF(AUDITORIA[[#This Row],[CAT]]="",0,1)</f>
        <v>1</v>
      </c>
      <c r="W2284" s="20">
        <v>46233</v>
      </c>
      <c r="X2284" s="21" t="s">
        <v>906</v>
      </c>
      <c r="Y2284" s="24" t="s">
        <v>901</v>
      </c>
      <c r="Z2284" s="24" t="s">
        <v>945</v>
      </c>
      <c r="AA2284" s="24" t="s">
        <v>946</v>
      </c>
    </row>
    <row r="2285" spans="1:27" ht="14.4" hidden="1" customHeight="1" x14ac:dyDescent="0.3">
      <c r="A2285" s="29" t="s">
        <v>279</v>
      </c>
      <c r="B2285" s="4" t="s">
        <v>17</v>
      </c>
      <c r="C2285" s="16" t="s">
        <v>18</v>
      </c>
      <c r="D2285" s="4">
        <v>11</v>
      </c>
      <c r="E2285" s="4" t="s">
        <v>745</v>
      </c>
      <c r="F2285" t="s">
        <v>421</v>
      </c>
      <c r="G2285" t="s">
        <v>399</v>
      </c>
      <c r="J2285" s="4" t="s">
        <v>88</v>
      </c>
      <c r="K2285" s="4" t="s">
        <v>21</v>
      </c>
      <c r="L2285" s="4" t="s">
        <v>742</v>
      </c>
      <c r="M2285" s="17">
        <v>24</v>
      </c>
      <c r="N2285" s="17">
        <v>1065</v>
      </c>
      <c r="O2285" s="18" t="s">
        <v>88</v>
      </c>
      <c r="P2285" s="18">
        <v>1065</v>
      </c>
      <c r="Q2285" s="18">
        <v>24</v>
      </c>
      <c r="R2285" s="18" t="s">
        <v>778</v>
      </c>
      <c r="S2285" s="18" t="s">
        <v>820</v>
      </c>
      <c r="T2285" s="18" t="s">
        <v>844</v>
      </c>
      <c r="U22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85" s="19">
        <f>IF(AUDITORIA[[#This Row],[CAT]]="",0,1)</f>
        <v>1</v>
      </c>
      <c r="W2285" s="20">
        <v>46233</v>
      </c>
      <c r="X2285" s="21" t="s">
        <v>906</v>
      </c>
      <c r="Y2285" s="24" t="s">
        <v>901</v>
      </c>
      <c r="Z2285" s="24" t="s">
        <v>945</v>
      </c>
      <c r="AA2285" s="24" t="s">
        <v>946</v>
      </c>
    </row>
    <row r="2286" spans="1:27" ht="14.4" hidden="1" customHeight="1" x14ac:dyDescent="0.3">
      <c r="A2286" s="29" t="s">
        <v>279</v>
      </c>
      <c r="B2286" s="4" t="s">
        <v>17</v>
      </c>
      <c r="C2286" s="16" t="s">
        <v>18</v>
      </c>
      <c r="D2286" s="4">
        <v>11</v>
      </c>
      <c r="E2286" s="4" t="s">
        <v>745</v>
      </c>
      <c r="F2286" t="s">
        <v>478</v>
      </c>
      <c r="G2286" t="s">
        <v>66</v>
      </c>
      <c r="J2286" s="4" t="s">
        <v>55</v>
      </c>
      <c r="K2286" s="4" t="s">
        <v>21</v>
      </c>
      <c r="L2286" s="4" t="s">
        <v>742</v>
      </c>
      <c r="M2286" s="17">
        <v>24</v>
      </c>
      <c r="N2286" s="17">
        <v>1033</v>
      </c>
      <c r="O2286" s="18" t="s">
        <v>55</v>
      </c>
      <c r="P2286" s="18">
        <v>1033</v>
      </c>
      <c r="Q2286" s="18">
        <v>24</v>
      </c>
      <c r="R2286" s="18" t="s">
        <v>778</v>
      </c>
      <c r="S2286" s="18" t="s">
        <v>848</v>
      </c>
      <c r="T2286" s="18" t="s">
        <v>782</v>
      </c>
      <c r="U22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86" s="19">
        <f>IF(AUDITORIA[[#This Row],[CAT]]="",0,1)</f>
        <v>1</v>
      </c>
      <c r="W2286" s="20">
        <v>46233</v>
      </c>
      <c r="X2286" s="21" t="s">
        <v>906</v>
      </c>
      <c r="Y2286" s="24" t="s">
        <v>901</v>
      </c>
      <c r="Z2286" s="24" t="s">
        <v>945</v>
      </c>
      <c r="AA2286" s="24" t="s">
        <v>946</v>
      </c>
    </row>
    <row r="2287" spans="1:27" ht="14.4" hidden="1" customHeight="1" x14ac:dyDescent="0.3">
      <c r="A2287" s="29" t="s">
        <v>279</v>
      </c>
      <c r="B2287" s="4" t="s">
        <v>17</v>
      </c>
      <c r="C2287" s="16" t="s">
        <v>18</v>
      </c>
      <c r="D2287" s="4">
        <v>11</v>
      </c>
      <c r="E2287" s="4" t="s">
        <v>745</v>
      </c>
      <c r="F2287" t="s">
        <v>479</v>
      </c>
      <c r="G2287" t="s">
        <v>66</v>
      </c>
      <c r="J2287" s="4" t="s">
        <v>55</v>
      </c>
      <c r="K2287" s="4" t="s">
        <v>20</v>
      </c>
      <c r="L2287" s="4" t="s">
        <v>742</v>
      </c>
      <c r="M2287" s="17">
        <v>30</v>
      </c>
      <c r="N2287" s="17">
        <v>818</v>
      </c>
      <c r="O2287" s="18" t="s">
        <v>55</v>
      </c>
      <c r="P2287" s="18">
        <v>818</v>
      </c>
      <c r="Q2287" s="18">
        <v>30</v>
      </c>
      <c r="R2287" s="18" t="s">
        <v>778</v>
      </c>
      <c r="S2287" s="18" t="s">
        <v>847</v>
      </c>
      <c r="T2287" s="18" t="s">
        <v>782</v>
      </c>
      <c r="U22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87" s="19">
        <f>IF(AUDITORIA[[#This Row],[CAT]]="",0,1)</f>
        <v>1</v>
      </c>
      <c r="W2287" s="20">
        <v>46233</v>
      </c>
      <c r="X2287" s="21" t="s">
        <v>906</v>
      </c>
      <c r="Y2287" s="24" t="s">
        <v>901</v>
      </c>
      <c r="Z2287" s="24" t="s">
        <v>945</v>
      </c>
      <c r="AA2287" s="24" t="s">
        <v>946</v>
      </c>
    </row>
    <row r="2288" spans="1:27" ht="14.4" hidden="1" customHeight="1" x14ac:dyDescent="0.3">
      <c r="A2288" s="29" t="s">
        <v>279</v>
      </c>
      <c r="B2288" s="4" t="s">
        <v>17</v>
      </c>
      <c r="C2288" s="16" t="s">
        <v>18</v>
      </c>
      <c r="D2288" s="4">
        <v>11</v>
      </c>
      <c r="E2288" s="4" t="s">
        <v>745</v>
      </c>
      <c r="F2288" t="s">
        <v>480</v>
      </c>
      <c r="G2288" t="s">
        <v>66</v>
      </c>
      <c r="J2288" s="4" t="s">
        <v>55</v>
      </c>
      <c r="K2288" s="4" t="s">
        <v>21</v>
      </c>
      <c r="L2288" s="4" t="s">
        <v>742</v>
      </c>
      <c r="M2288" s="17">
        <v>24</v>
      </c>
      <c r="N2288" s="17">
        <v>1029</v>
      </c>
      <c r="O2288" s="18" t="s">
        <v>55</v>
      </c>
      <c r="P2288" s="18">
        <v>1029</v>
      </c>
      <c r="Q2288" s="18">
        <v>24</v>
      </c>
      <c r="R2288" s="18" t="s">
        <v>778</v>
      </c>
      <c r="S2288" s="18" t="s">
        <v>848</v>
      </c>
      <c r="T2288" s="18" t="s">
        <v>781</v>
      </c>
      <c r="U22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88" s="19">
        <f>IF(AUDITORIA[[#This Row],[CAT]]="",0,1)</f>
        <v>1</v>
      </c>
      <c r="W2288" s="20">
        <v>46233</v>
      </c>
      <c r="X2288" s="21" t="s">
        <v>906</v>
      </c>
      <c r="Y2288" s="24" t="s">
        <v>901</v>
      </c>
      <c r="Z2288" s="24" t="s">
        <v>945</v>
      </c>
      <c r="AA2288" s="24" t="s">
        <v>946</v>
      </c>
    </row>
    <row r="2289" spans="1:27" ht="14.4" hidden="1" customHeight="1" x14ac:dyDescent="0.3">
      <c r="A2289" s="29" t="s">
        <v>279</v>
      </c>
      <c r="B2289" s="4" t="s">
        <v>17</v>
      </c>
      <c r="C2289" s="16" t="s">
        <v>18</v>
      </c>
      <c r="D2289" s="4">
        <v>11</v>
      </c>
      <c r="E2289" s="4" t="s">
        <v>745</v>
      </c>
      <c r="F2289" t="s">
        <v>477</v>
      </c>
      <c r="G2289" t="s">
        <v>399</v>
      </c>
      <c r="J2289" s="4" t="s">
        <v>88</v>
      </c>
      <c r="K2289" s="4" t="s">
        <v>20</v>
      </c>
      <c r="L2289" s="4" t="s">
        <v>742</v>
      </c>
      <c r="M2289" s="17">
        <v>29</v>
      </c>
      <c r="N2289" s="17">
        <v>842</v>
      </c>
      <c r="O2289" s="18" t="s">
        <v>88</v>
      </c>
      <c r="P2289" s="18">
        <v>842</v>
      </c>
      <c r="Q2289" s="18">
        <v>29</v>
      </c>
      <c r="R2289" s="18" t="s">
        <v>778</v>
      </c>
      <c r="S2289" s="18" t="s">
        <v>825</v>
      </c>
      <c r="T2289" s="18" t="s">
        <v>781</v>
      </c>
      <c r="U22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89" s="19">
        <f>IF(AUDITORIA[[#This Row],[CAT]]="",0,1)</f>
        <v>1</v>
      </c>
      <c r="W2289" s="20">
        <v>46233</v>
      </c>
      <c r="X2289" s="21" t="s">
        <v>906</v>
      </c>
      <c r="Y2289" s="24" t="s">
        <v>901</v>
      </c>
      <c r="Z2289" s="24" t="s">
        <v>945</v>
      </c>
      <c r="AA2289" s="24" t="s">
        <v>946</v>
      </c>
    </row>
    <row r="2290" spans="1:27" ht="14.4" hidden="1" customHeight="1" x14ac:dyDescent="0.3">
      <c r="A2290" s="29" t="s">
        <v>279</v>
      </c>
      <c r="B2290" s="4" t="s">
        <v>17</v>
      </c>
      <c r="C2290" s="16" t="s">
        <v>18</v>
      </c>
      <c r="D2290" s="4">
        <v>11</v>
      </c>
      <c r="E2290" s="4" t="s">
        <v>745</v>
      </c>
      <c r="F2290" t="s">
        <v>472</v>
      </c>
      <c r="G2290" t="s">
        <v>442</v>
      </c>
      <c r="J2290" s="4" t="s">
        <v>55</v>
      </c>
      <c r="K2290" s="4" t="s">
        <v>20</v>
      </c>
      <c r="L2290" s="4" t="s">
        <v>742</v>
      </c>
      <c r="M2290" s="17">
        <v>30</v>
      </c>
      <c r="N2290" s="17">
        <v>755</v>
      </c>
      <c r="O2290" s="18" t="s">
        <v>55</v>
      </c>
      <c r="P2290" s="18">
        <v>755</v>
      </c>
      <c r="Q2290" s="18">
        <v>30</v>
      </c>
      <c r="R2290" s="18" t="s">
        <v>778</v>
      </c>
      <c r="S2290" s="18" t="s">
        <v>828</v>
      </c>
      <c r="T2290" s="18" t="s">
        <v>782</v>
      </c>
      <c r="U22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90" s="19">
        <f>IF(AUDITORIA[[#This Row],[CAT]]="",0,1)</f>
        <v>1</v>
      </c>
      <c r="W2290" s="20">
        <v>46233</v>
      </c>
      <c r="X2290" s="21" t="s">
        <v>906</v>
      </c>
      <c r="Y2290" s="24" t="s">
        <v>901</v>
      </c>
      <c r="Z2290" s="24" t="s">
        <v>945</v>
      </c>
      <c r="AA2290" s="24" t="s">
        <v>946</v>
      </c>
    </row>
    <row r="2291" spans="1:27" ht="14.4" hidden="1" customHeight="1" x14ac:dyDescent="0.3">
      <c r="A2291" s="29" t="s">
        <v>279</v>
      </c>
      <c r="B2291" s="4" t="s">
        <v>17</v>
      </c>
      <c r="C2291" s="16" t="s">
        <v>18</v>
      </c>
      <c r="D2291" s="4">
        <v>11</v>
      </c>
      <c r="E2291" s="4" t="s">
        <v>745</v>
      </c>
      <c r="F2291" t="s">
        <v>473</v>
      </c>
      <c r="G2291" t="s">
        <v>442</v>
      </c>
      <c r="J2291" s="4" t="s">
        <v>55</v>
      </c>
      <c r="K2291" s="4" t="s">
        <v>21</v>
      </c>
      <c r="L2291" s="4" t="s">
        <v>742</v>
      </c>
      <c r="M2291" s="17">
        <v>30</v>
      </c>
      <c r="N2291" s="17">
        <v>898</v>
      </c>
      <c r="O2291" s="18" t="s">
        <v>55</v>
      </c>
      <c r="P2291" s="18">
        <v>898</v>
      </c>
      <c r="Q2291" s="18">
        <v>30</v>
      </c>
      <c r="R2291" s="18" t="s">
        <v>778</v>
      </c>
      <c r="S2291" s="18" t="s">
        <v>827</v>
      </c>
      <c r="T2291" s="18" t="s">
        <v>781</v>
      </c>
      <c r="U22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91" s="19">
        <f>IF(AUDITORIA[[#This Row],[CAT]]="",0,1)</f>
        <v>1</v>
      </c>
      <c r="W2291" s="20">
        <v>46233</v>
      </c>
      <c r="X2291" s="21" t="s">
        <v>906</v>
      </c>
      <c r="Y2291" s="24" t="s">
        <v>901</v>
      </c>
      <c r="Z2291" s="24" t="s">
        <v>945</v>
      </c>
      <c r="AA2291" s="24" t="s">
        <v>946</v>
      </c>
    </row>
    <row r="2292" spans="1:27" ht="14.4" hidden="1" customHeight="1" x14ac:dyDescent="0.3">
      <c r="A2292" s="29" t="s">
        <v>279</v>
      </c>
      <c r="B2292" s="4" t="s">
        <v>17</v>
      </c>
      <c r="C2292" s="16" t="s">
        <v>18</v>
      </c>
      <c r="D2292" s="4">
        <v>11</v>
      </c>
      <c r="E2292" s="4" t="s">
        <v>745</v>
      </c>
      <c r="F2292" t="s">
        <v>474</v>
      </c>
      <c r="G2292" t="s">
        <v>442</v>
      </c>
      <c r="J2292" s="4" t="s">
        <v>55</v>
      </c>
      <c r="K2292" s="4" t="s">
        <v>20</v>
      </c>
      <c r="L2292" s="4" t="s">
        <v>742</v>
      </c>
      <c r="M2292" s="17">
        <v>30</v>
      </c>
      <c r="N2292" s="17">
        <v>742</v>
      </c>
      <c r="O2292" s="18" t="s">
        <v>55</v>
      </c>
      <c r="P2292" s="18">
        <v>742</v>
      </c>
      <c r="Q2292" s="18">
        <v>30</v>
      </c>
      <c r="R2292" s="18" t="s">
        <v>778</v>
      </c>
      <c r="S2292" s="18" t="s">
        <v>828</v>
      </c>
      <c r="T2292" s="18" t="s">
        <v>781</v>
      </c>
      <c r="U22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92" s="19">
        <f>IF(AUDITORIA[[#This Row],[CAT]]="",0,1)</f>
        <v>1</v>
      </c>
      <c r="W2292" s="20">
        <v>46233</v>
      </c>
      <c r="X2292" s="21" t="s">
        <v>906</v>
      </c>
      <c r="Y2292" s="24" t="s">
        <v>901</v>
      </c>
      <c r="Z2292" s="24" t="s">
        <v>945</v>
      </c>
      <c r="AA2292" s="24" t="s">
        <v>946</v>
      </c>
    </row>
    <row r="2293" spans="1:27" ht="14.4" hidden="1" customHeight="1" x14ac:dyDescent="0.3">
      <c r="A2293" s="29" t="s">
        <v>279</v>
      </c>
      <c r="B2293" s="4" t="s">
        <v>17</v>
      </c>
      <c r="C2293" s="16" t="s">
        <v>18</v>
      </c>
      <c r="D2293" s="4">
        <v>11</v>
      </c>
      <c r="E2293" s="4" t="s">
        <v>745</v>
      </c>
      <c r="F2293" t="s">
        <v>475</v>
      </c>
      <c r="G2293" t="s">
        <v>442</v>
      </c>
      <c r="J2293" s="4" t="s">
        <v>55</v>
      </c>
      <c r="K2293" s="4" t="s">
        <v>21</v>
      </c>
      <c r="L2293" s="4" t="s">
        <v>742</v>
      </c>
      <c r="M2293" s="17">
        <v>27</v>
      </c>
      <c r="N2293" s="17">
        <v>915</v>
      </c>
      <c r="O2293" s="18" t="s">
        <v>55</v>
      </c>
      <c r="P2293" s="18">
        <v>915</v>
      </c>
      <c r="Q2293" s="18">
        <v>27</v>
      </c>
      <c r="R2293" s="18" t="s">
        <v>778</v>
      </c>
      <c r="S2293" s="18" t="s">
        <v>827</v>
      </c>
      <c r="T2293" s="18" t="s">
        <v>780</v>
      </c>
      <c r="U22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93" s="19">
        <f>IF(AUDITORIA[[#This Row],[CAT]]="",0,1)</f>
        <v>1</v>
      </c>
      <c r="W2293" s="20">
        <v>46233</v>
      </c>
      <c r="X2293" s="21" t="s">
        <v>906</v>
      </c>
      <c r="Y2293" s="24" t="s">
        <v>901</v>
      </c>
      <c r="Z2293" s="24" t="s">
        <v>945</v>
      </c>
      <c r="AA2293" s="24" t="s">
        <v>946</v>
      </c>
    </row>
    <row r="2294" spans="1:27" ht="14.4" hidden="1" customHeight="1" x14ac:dyDescent="0.3">
      <c r="A2294" s="29" t="s">
        <v>279</v>
      </c>
      <c r="B2294" s="4" t="s">
        <v>17</v>
      </c>
      <c r="C2294" s="16" t="s">
        <v>18</v>
      </c>
      <c r="D2294" s="4">
        <v>11</v>
      </c>
      <c r="E2294" s="4" t="s">
        <v>745</v>
      </c>
      <c r="F2294" t="s">
        <v>476</v>
      </c>
      <c r="G2294" t="s">
        <v>442</v>
      </c>
      <c r="J2294" s="4" t="s">
        <v>55</v>
      </c>
      <c r="K2294" s="4" t="s">
        <v>20</v>
      </c>
      <c r="L2294" s="4" t="s">
        <v>742</v>
      </c>
      <c r="M2294" s="17">
        <v>30</v>
      </c>
      <c r="N2294" s="17">
        <v>759</v>
      </c>
      <c r="O2294" s="18" t="s">
        <v>55</v>
      </c>
      <c r="P2294" s="18">
        <v>759</v>
      </c>
      <c r="Q2294" s="18">
        <v>30</v>
      </c>
      <c r="R2294" s="18" t="s">
        <v>778</v>
      </c>
      <c r="S2294" s="18" t="s">
        <v>828</v>
      </c>
      <c r="T2294" s="18" t="s">
        <v>780</v>
      </c>
      <c r="U22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94" s="19">
        <f>IF(AUDITORIA[[#This Row],[CAT]]="",0,1)</f>
        <v>1</v>
      </c>
      <c r="W2294" s="20">
        <v>46233</v>
      </c>
      <c r="X2294" s="21" t="s">
        <v>906</v>
      </c>
      <c r="Y2294" s="24" t="s">
        <v>901</v>
      </c>
      <c r="Z2294" s="24" t="s">
        <v>945</v>
      </c>
      <c r="AA2294" s="24" t="s">
        <v>946</v>
      </c>
    </row>
    <row r="2295" spans="1:27" ht="14.4" hidden="1" customHeight="1" x14ac:dyDescent="0.3">
      <c r="A2295" s="29" t="s">
        <v>279</v>
      </c>
      <c r="B2295" s="4" t="s">
        <v>17</v>
      </c>
      <c r="C2295" s="16" t="s">
        <v>18</v>
      </c>
      <c r="D2295" s="4">
        <v>11</v>
      </c>
      <c r="E2295" s="4" t="s">
        <v>745</v>
      </c>
      <c r="F2295" t="s">
        <v>469</v>
      </c>
      <c r="G2295" t="s">
        <v>442</v>
      </c>
      <c r="J2295" s="4" t="s">
        <v>55</v>
      </c>
      <c r="K2295" s="4" t="s">
        <v>21</v>
      </c>
      <c r="L2295" s="4" t="s">
        <v>742</v>
      </c>
      <c r="M2295" s="17">
        <v>27</v>
      </c>
      <c r="N2295" s="17">
        <v>909</v>
      </c>
      <c r="O2295" s="18" t="s">
        <v>55</v>
      </c>
      <c r="P2295" s="18">
        <v>909</v>
      </c>
      <c r="Q2295" s="18">
        <v>27</v>
      </c>
      <c r="R2295" s="18" t="s">
        <v>778</v>
      </c>
      <c r="S2295" s="18" t="s">
        <v>827</v>
      </c>
      <c r="T2295" s="18" t="s">
        <v>782</v>
      </c>
      <c r="U22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95" s="19">
        <f>IF(AUDITORIA[[#This Row],[CAT]]="",0,1)</f>
        <v>1</v>
      </c>
      <c r="W2295" s="20">
        <v>46233</v>
      </c>
      <c r="X2295" s="21" t="s">
        <v>906</v>
      </c>
      <c r="Y2295" s="24" t="s">
        <v>901</v>
      </c>
      <c r="Z2295" s="24" t="s">
        <v>945</v>
      </c>
      <c r="AA2295" s="24" t="s">
        <v>946</v>
      </c>
    </row>
    <row r="2296" spans="1:27" ht="14.4" hidden="1" customHeight="1" x14ac:dyDescent="0.3">
      <c r="A2296" s="29" t="s">
        <v>279</v>
      </c>
      <c r="B2296" s="4" t="s">
        <v>17</v>
      </c>
      <c r="C2296" s="16" t="s">
        <v>18</v>
      </c>
      <c r="D2296" s="4">
        <v>11</v>
      </c>
      <c r="E2296" s="4" t="s">
        <v>745</v>
      </c>
      <c r="F2296" t="s">
        <v>471</v>
      </c>
      <c r="G2296" t="s">
        <v>442</v>
      </c>
      <c r="J2296" s="4" t="s">
        <v>55</v>
      </c>
      <c r="K2296" s="4" t="s">
        <v>20</v>
      </c>
      <c r="L2296" s="4" t="s">
        <v>742</v>
      </c>
      <c r="M2296" s="17">
        <v>30</v>
      </c>
      <c r="N2296" s="17">
        <v>755</v>
      </c>
      <c r="O2296" s="18" t="s">
        <v>55</v>
      </c>
      <c r="P2296" s="18">
        <v>755</v>
      </c>
      <c r="Q2296" s="18">
        <v>30</v>
      </c>
      <c r="R2296" s="18" t="s">
        <v>778</v>
      </c>
      <c r="S2296" s="18" t="s">
        <v>828</v>
      </c>
      <c r="T2296" s="18" t="s">
        <v>794</v>
      </c>
      <c r="U22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96" s="19">
        <f>IF(AUDITORIA[[#This Row],[CAT]]="",0,1)</f>
        <v>1</v>
      </c>
      <c r="W2296" s="20">
        <v>46233</v>
      </c>
      <c r="X2296" s="21" t="s">
        <v>906</v>
      </c>
      <c r="Y2296" s="24" t="s">
        <v>901</v>
      </c>
      <c r="Z2296" s="24" t="s">
        <v>945</v>
      </c>
      <c r="AA2296" s="24" t="s">
        <v>946</v>
      </c>
    </row>
    <row r="2297" spans="1:27" ht="14.4" hidden="1" customHeight="1" x14ac:dyDescent="0.3">
      <c r="A2297" s="29" t="s">
        <v>279</v>
      </c>
      <c r="B2297" s="4" t="s">
        <v>17</v>
      </c>
      <c r="C2297" s="16" t="s">
        <v>18</v>
      </c>
      <c r="D2297" s="4">
        <v>11</v>
      </c>
      <c r="E2297" s="4" t="s">
        <v>745</v>
      </c>
      <c r="F2297" t="s">
        <v>404</v>
      </c>
      <c r="G2297" t="s">
        <v>368</v>
      </c>
      <c r="J2297" s="4" t="s">
        <v>88</v>
      </c>
      <c r="K2297" s="4" t="s">
        <v>21</v>
      </c>
      <c r="L2297" s="4" t="s">
        <v>742</v>
      </c>
      <c r="M2297" s="17">
        <v>24</v>
      </c>
      <c r="N2297" s="17">
        <v>1019</v>
      </c>
      <c r="O2297" s="18" t="s">
        <v>88</v>
      </c>
      <c r="P2297" s="18">
        <v>1019</v>
      </c>
      <c r="Q2297" s="18">
        <v>24</v>
      </c>
      <c r="R2297" s="18" t="s">
        <v>814</v>
      </c>
      <c r="S2297" s="18" t="s">
        <v>862</v>
      </c>
      <c r="T2297" s="18" t="s">
        <v>782</v>
      </c>
      <c r="U22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97" s="19">
        <f>IF(AUDITORIA[[#This Row],[CAT]]="",0,1)</f>
        <v>1</v>
      </c>
      <c r="W2297" s="20">
        <v>46233</v>
      </c>
      <c r="X2297" s="21" t="s">
        <v>906</v>
      </c>
      <c r="Y2297" s="24" t="s">
        <v>901</v>
      </c>
      <c r="Z2297" s="24" t="s">
        <v>945</v>
      </c>
      <c r="AA2297" s="24" t="s">
        <v>946</v>
      </c>
    </row>
    <row r="2298" spans="1:27" ht="14.4" hidden="1" customHeight="1" x14ac:dyDescent="0.3">
      <c r="A2298" s="29" t="s">
        <v>279</v>
      </c>
      <c r="B2298" s="4" t="s">
        <v>17</v>
      </c>
      <c r="C2298" s="16" t="s">
        <v>18</v>
      </c>
      <c r="D2298" s="4">
        <v>11</v>
      </c>
      <c r="E2298" s="4" t="s">
        <v>745</v>
      </c>
      <c r="F2298" t="s">
        <v>462</v>
      </c>
      <c r="G2298" t="s">
        <v>368</v>
      </c>
      <c r="J2298" s="4" t="s">
        <v>88</v>
      </c>
      <c r="K2298" s="4" t="s">
        <v>20</v>
      </c>
      <c r="L2298" s="4" t="s">
        <v>742</v>
      </c>
      <c r="M2298" s="17">
        <v>30</v>
      </c>
      <c r="N2298" s="17">
        <v>815</v>
      </c>
      <c r="O2298" s="18" t="s">
        <v>88</v>
      </c>
      <c r="P2298" s="18">
        <v>815</v>
      </c>
      <c r="Q2298" s="18">
        <v>30</v>
      </c>
      <c r="R2298" s="18" t="s">
        <v>814</v>
      </c>
      <c r="S2298" s="18" t="s">
        <v>863</v>
      </c>
      <c r="T2298" s="18" t="s">
        <v>780</v>
      </c>
      <c r="U22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98" s="19">
        <f>IF(AUDITORIA[[#This Row],[CAT]]="",0,1)</f>
        <v>1</v>
      </c>
      <c r="W2298" s="20">
        <v>46233</v>
      </c>
      <c r="X2298" s="21" t="s">
        <v>906</v>
      </c>
      <c r="Y2298" s="24" t="s">
        <v>901</v>
      </c>
      <c r="Z2298" s="24" t="s">
        <v>945</v>
      </c>
      <c r="AA2298" s="24" t="s">
        <v>946</v>
      </c>
    </row>
    <row r="2299" spans="1:27" ht="14.4" hidden="1" customHeight="1" x14ac:dyDescent="0.3">
      <c r="A2299" s="29" t="s">
        <v>279</v>
      </c>
      <c r="B2299" s="4" t="s">
        <v>17</v>
      </c>
      <c r="C2299" s="16" t="s">
        <v>18</v>
      </c>
      <c r="D2299" s="4">
        <v>11</v>
      </c>
      <c r="E2299" s="4" t="s">
        <v>745</v>
      </c>
      <c r="F2299" t="s">
        <v>465</v>
      </c>
      <c r="G2299" t="s">
        <v>442</v>
      </c>
      <c r="J2299" s="4" t="s">
        <v>55</v>
      </c>
      <c r="K2299" s="4" t="s">
        <v>20</v>
      </c>
      <c r="L2299" s="4" t="s">
        <v>742</v>
      </c>
      <c r="M2299" s="17">
        <v>30</v>
      </c>
      <c r="N2299" s="17">
        <v>750</v>
      </c>
      <c r="O2299" s="18" t="s">
        <v>55</v>
      </c>
      <c r="P2299" s="18">
        <v>746</v>
      </c>
      <c r="Q2299" s="18">
        <v>30</v>
      </c>
      <c r="R2299" s="18" t="s">
        <v>778</v>
      </c>
      <c r="S2299" s="18" t="s">
        <v>828</v>
      </c>
      <c r="T2299" s="18" t="s">
        <v>843</v>
      </c>
      <c r="U22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299" s="19">
        <f>IF(AUDITORIA[[#This Row],[CAT]]="",0,1)</f>
        <v>1</v>
      </c>
      <c r="W2299" s="20">
        <v>46233</v>
      </c>
      <c r="X2299" s="21" t="s">
        <v>906</v>
      </c>
      <c r="Y2299" s="24" t="s">
        <v>901</v>
      </c>
      <c r="Z2299" s="24" t="s">
        <v>945</v>
      </c>
      <c r="AA2299" s="24" t="s">
        <v>946</v>
      </c>
    </row>
    <row r="2300" spans="1:27" ht="14.4" hidden="1" customHeight="1" x14ac:dyDescent="0.3">
      <c r="A2300" s="29" t="s">
        <v>279</v>
      </c>
      <c r="B2300" s="4" t="s">
        <v>17</v>
      </c>
      <c r="C2300" s="16" t="s">
        <v>18</v>
      </c>
      <c r="D2300" s="4">
        <v>11</v>
      </c>
      <c r="E2300" s="4" t="s">
        <v>745</v>
      </c>
      <c r="F2300" t="s">
        <v>466</v>
      </c>
      <c r="G2300" t="s">
        <v>368</v>
      </c>
      <c r="J2300" s="4" t="s">
        <v>88</v>
      </c>
      <c r="K2300" s="4" t="s">
        <v>21</v>
      </c>
      <c r="L2300" s="4" t="s">
        <v>742</v>
      </c>
      <c r="M2300" s="17">
        <v>27</v>
      </c>
      <c r="N2300" s="17">
        <v>1000</v>
      </c>
      <c r="O2300" s="18" t="s">
        <v>88</v>
      </c>
      <c r="P2300" s="18">
        <v>1000</v>
      </c>
      <c r="Q2300" s="18">
        <v>27</v>
      </c>
      <c r="R2300" s="18" t="s">
        <v>814</v>
      </c>
      <c r="S2300" s="18" t="s">
        <v>862</v>
      </c>
      <c r="T2300" s="18" t="s">
        <v>781</v>
      </c>
      <c r="U23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00" s="19">
        <f>IF(AUDITORIA[[#This Row],[CAT]]="",0,1)</f>
        <v>1</v>
      </c>
      <c r="W2300" s="20">
        <v>46233</v>
      </c>
      <c r="X2300" s="21" t="s">
        <v>906</v>
      </c>
      <c r="Y2300" s="24" t="s">
        <v>901</v>
      </c>
      <c r="Z2300" s="24" t="s">
        <v>945</v>
      </c>
      <c r="AA2300" s="24" t="s">
        <v>946</v>
      </c>
    </row>
    <row r="2301" spans="1:27" ht="14.4" hidden="1" customHeight="1" x14ac:dyDescent="0.3">
      <c r="A2301" s="29" t="s">
        <v>279</v>
      </c>
      <c r="B2301" s="4" t="s">
        <v>17</v>
      </c>
      <c r="C2301" s="16" t="s">
        <v>18</v>
      </c>
      <c r="D2301" s="4">
        <v>11</v>
      </c>
      <c r="E2301" s="4" t="s">
        <v>745</v>
      </c>
      <c r="F2301" t="s">
        <v>467</v>
      </c>
      <c r="G2301" t="s">
        <v>442</v>
      </c>
      <c r="J2301" s="4" t="s">
        <v>55</v>
      </c>
      <c r="K2301" s="4" t="s">
        <v>20</v>
      </c>
      <c r="L2301" s="4" t="s">
        <v>742</v>
      </c>
      <c r="M2301" s="17">
        <v>30</v>
      </c>
      <c r="N2301" s="17">
        <v>746</v>
      </c>
      <c r="O2301" s="18" t="s">
        <v>55</v>
      </c>
      <c r="P2301" s="18">
        <v>750</v>
      </c>
      <c r="Q2301" s="18">
        <v>30</v>
      </c>
      <c r="R2301" s="18" t="s">
        <v>778</v>
      </c>
      <c r="S2301" s="18" t="s">
        <v>828</v>
      </c>
      <c r="T2301" s="18" t="s">
        <v>844</v>
      </c>
      <c r="U23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01" s="19">
        <f>IF(AUDITORIA[[#This Row],[CAT]]="",0,1)</f>
        <v>1</v>
      </c>
      <c r="W2301" s="20">
        <v>46233</v>
      </c>
      <c r="X2301" s="21" t="s">
        <v>906</v>
      </c>
      <c r="Y2301" s="24" t="s">
        <v>901</v>
      </c>
      <c r="Z2301" s="24" t="s">
        <v>945</v>
      </c>
      <c r="AA2301" s="24" t="s">
        <v>946</v>
      </c>
    </row>
    <row r="2302" spans="1:27" ht="14.4" hidden="1" customHeight="1" x14ac:dyDescent="0.3">
      <c r="A2302" s="29" t="s">
        <v>279</v>
      </c>
      <c r="B2302" s="4" t="s">
        <v>17</v>
      </c>
      <c r="C2302" s="16" t="s">
        <v>18</v>
      </c>
      <c r="D2302" s="4">
        <v>11</v>
      </c>
      <c r="E2302" s="4" t="s">
        <v>745</v>
      </c>
      <c r="F2302" t="s">
        <v>468</v>
      </c>
      <c r="G2302" t="s">
        <v>368</v>
      </c>
      <c r="J2302" s="4" t="s">
        <v>88</v>
      </c>
      <c r="K2302" s="4" t="s">
        <v>21</v>
      </c>
      <c r="L2302" s="4" t="s">
        <v>742</v>
      </c>
      <c r="M2302" s="17">
        <v>24</v>
      </c>
      <c r="N2302" s="17">
        <v>1003</v>
      </c>
      <c r="O2302" s="18" t="s">
        <v>88</v>
      </c>
      <c r="P2302" s="18">
        <v>1003</v>
      </c>
      <c r="Q2302" s="18">
        <v>24</v>
      </c>
      <c r="R2302" s="18" t="s">
        <v>814</v>
      </c>
      <c r="S2302" s="18" t="s">
        <v>862</v>
      </c>
      <c r="T2302" s="18" t="s">
        <v>780</v>
      </c>
      <c r="U23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02" s="19">
        <f>IF(AUDITORIA[[#This Row],[CAT]]="",0,1)</f>
        <v>1</v>
      </c>
      <c r="W2302" s="20">
        <v>46233</v>
      </c>
      <c r="X2302" s="21" t="s">
        <v>906</v>
      </c>
      <c r="Y2302" s="24" t="s">
        <v>901</v>
      </c>
      <c r="Z2302" s="24" t="s">
        <v>945</v>
      </c>
      <c r="AA2302" s="24" t="s">
        <v>946</v>
      </c>
    </row>
    <row r="2303" spans="1:27" ht="14.4" hidden="1" customHeight="1" x14ac:dyDescent="0.3">
      <c r="A2303" s="29" t="s">
        <v>279</v>
      </c>
      <c r="B2303" s="4" t="s">
        <v>17</v>
      </c>
      <c r="C2303" s="16" t="s">
        <v>18</v>
      </c>
      <c r="D2303" s="4">
        <v>11</v>
      </c>
      <c r="E2303" s="4" t="s">
        <v>745</v>
      </c>
      <c r="F2303" t="s">
        <v>470</v>
      </c>
      <c r="G2303" t="s">
        <v>442</v>
      </c>
      <c r="J2303" s="4" t="s">
        <v>55</v>
      </c>
      <c r="K2303" s="4" t="s">
        <v>20</v>
      </c>
      <c r="L2303" s="4" t="s">
        <v>742</v>
      </c>
      <c r="M2303" s="17">
        <v>30</v>
      </c>
      <c r="N2303" s="17">
        <v>767</v>
      </c>
      <c r="O2303" s="18" t="s">
        <v>55</v>
      </c>
      <c r="P2303" s="18">
        <v>767</v>
      </c>
      <c r="Q2303" s="18">
        <v>30</v>
      </c>
      <c r="R2303" s="18" t="s">
        <v>778</v>
      </c>
      <c r="S2303" s="18" t="s">
        <v>828</v>
      </c>
      <c r="T2303" s="18" t="s">
        <v>840</v>
      </c>
      <c r="U23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03" s="19">
        <f>IF(AUDITORIA[[#This Row],[CAT]]="",0,1)</f>
        <v>1</v>
      </c>
      <c r="W2303" s="20">
        <v>46233</v>
      </c>
      <c r="X2303" s="21" t="s">
        <v>906</v>
      </c>
      <c r="Y2303" s="24" t="s">
        <v>901</v>
      </c>
      <c r="Z2303" s="24" t="s">
        <v>945</v>
      </c>
      <c r="AA2303" s="24" t="s">
        <v>946</v>
      </c>
    </row>
    <row r="2304" spans="1:27" ht="14.4" hidden="1" customHeight="1" x14ac:dyDescent="0.3">
      <c r="A2304" s="29" t="s">
        <v>279</v>
      </c>
      <c r="B2304" s="4" t="s">
        <v>17</v>
      </c>
      <c r="C2304" s="16" t="s">
        <v>18</v>
      </c>
      <c r="D2304" s="4">
        <v>11</v>
      </c>
      <c r="E2304" s="4" t="s">
        <v>745</v>
      </c>
      <c r="F2304" t="s">
        <v>367</v>
      </c>
      <c r="G2304" t="s">
        <v>368</v>
      </c>
      <c r="J2304" s="4" t="s">
        <v>88</v>
      </c>
      <c r="K2304" s="4" t="s">
        <v>20</v>
      </c>
      <c r="L2304" s="4" t="s">
        <v>742</v>
      </c>
      <c r="M2304" s="17">
        <v>19</v>
      </c>
      <c r="N2304" s="17">
        <v>832</v>
      </c>
      <c r="O2304" s="18" t="s">
        <v>88</v>
      </c>
      <c r="P2304" s="18">
        <v>832</v>
      </c>
      <c r="Q2304" s="18">
        <v>19</v>
      </c>
      <c r="R2304" s="18" t="s">
        <v>814</v>
      </c>
      <c r="S2304" s="18" t="s">
        <v>863</v>
      </c>
      <c r="T2304" s="18" t="s">
        <v>782</v>
      </c>
      <c r="U23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04" s="19">
        <f>IF(AUDITORIA[[#This Row],[CAT]]="",0,1)</f>
        <v>1</v>
      </c>
      <c r="W2304" s="20">
        <v>46233</v>
      </c>
      <c r="X2304" s="21" t="s">
        <v>906</v>
      </c>
      <c r="Y2304" s="24" t="s">
        <v>901</v>
      </c>
      <c r="Z2304" s="24" t="s">
        <v>945</v>
      </c>
      <c r="AA2304" s="24" t="s">
        <v>946</v>
      </c>
    </row>
    <row r="2305" spans="1:27" ht="14.4" hidden="1" customHeight="1" x14ac:dyDescent="0.3">
      <c r="A2305" s="29" t="s">
        <v>279</v>
      </c>
      <c r="B2305" s="4" t="s">
        <v>17</v>
      </c>
      <c r="C2305" s="16" t="s">
        <v>18</v>
      </c>
      <c r="D2305" s="4">
        <v>11</v>
      </c>
      <c r="E2305" s="4" t="s">
        <v>745</v>
      </c>
      <c r="F2305" t="s">
        <v>371</v>
      </c>
      <c r="G2305" t="s">
        <v>368</v>
      </c>
      <c r="J2305" s="4" t="s">
        <v>88</v>
      </c>
      <c r="K2305" s="4" t="s">
        <v>21</v>
      </c>
      <c r="L2305" s="4" t="s">
        <v>742</v>
      </c>
      <c r="M2305" s="17">
        <v>14</v>
      </c>
      <c r="N2305" s="17">
        <v>955</v>
      </c>
      <c r="O2305" s="18" t="s">
        <v>88</v>
      </c>
      <c r="P2305" s="18">
        <v>955</v>
      </c>
      <c r="Q2305" s="18">
        <v>14</v>
      </c>
      <c r="R2305" s="18" t="s">
        <v>814</v>
      </c>
      <c r="S2305" s="18" t="s">
        <v>862</v>
      </c>
      <c r="T2305" s="18" t="s">
        <v>794</v>
      </c>
      <c r="U23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05" s="19">
        <f>IF(AUDITORIA[[#This Row],[CAT]]="",0,1)</f>
        <v>1</v>
      </c>
      <c r="W2305" s="20">
        <v>46233</v>
      </c>
      <c r="X2305" s="21" t="s">
        <v>906</v>
      </c>
      <c r="Y2305" s="24" t="s">
        <v>901</v>
      </c>
      <c r="Z2305" s="24" t="s">
        <v>945</v>
      </c>
      <c r="AA2305" s="24" t="s">
        <v>946</v>
      </c>
    </row>
    <row r="2306" spans="1:27" ht="14.4" hidden="1" customHeight="1" x14ac:dyDescent="0.3">
      <c r="A2306" s="29" t="s">
        <v>279</v>
      </c>
      <c r="B2306" s="4" t="s">
        <v>17</v>
      </c>
      <c r="C2306" s="16" t="s">
        <v>18</v>
      </c>
      <c r="D2306" s="4">
        <v>11</v>
      </c>
      <c r="E2306" s="4" t="s">
        <v>745</v>
      </c>
      <c r="F2306" t="s">
        <v>459</v>
      </c>
      <c r="G2306" t="s">
        <v>442</v>
      </c>
      <c r="J2306" s="4" t="s">
        <v>55</v>
      </c>
      <c r="K2306" s="4" t="s">
        <v>21</v>
      </c>
      <c r="L2306" s="4" t="s">
        <v>742</v>
      </c>
      <c r="M2306" s="17">
        <v>27</v>
      </c>
      <c r="N2306" s="17">
        <v>929</v>
      </c>
      <c r="O2306" s="18" t="s">
        <v>55</v>
      </c>
      <c r="P2306" s="18">
        <v>929</v>
      </c>
      <c r="Q2306" s="18">
        <v>27</v>
      </c>
      <c r="R2306" s="18" t="s">
        <v>778</v>
      </c>
      <c r="S2306" s="18" t="s">
        <v>827</v>
      </c>
      <c r="T2306" s="18" t="s">
        <v>840</v>
      </c>
      <c r="U23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06" s="19">
        <f>IF(AUDITORIA[[#This Row],[CAT]]="",0,1)</f>
        <v>1</v>
      </c>
      <c r="W2306" s="20">
        <v>46233</v>
      </c>
      <c r="X2306" s="21" t="s">
        <v>906</v>
      </c>
      <c r="Y2306" s="24" t="s">
        <v>901</v>
      </c>
      <c r="Z2306" s="24" t="s">
        <v>945</v>
      </c>
      <c r="AA2306" s="24" t="s">
        <v>946</v>
      </c>
    </row>
    <row r="2307" spans="1:27" ht="14.4" hidden="1" customHeight="1" x14ac:dyDescent="0.3">
      <c r="A2307" s="29" t="s">
        <v>279</v>
      </c>
      <c r="B2307" s="4" t="s">
        <v>17</v>
      </c>
      <c r="C2307" s="16" t="s">
        <v>18</v>
      </c>
      <c r="D2307" s="4">
        <v>11</v>
      </c>
      <c r="E2307" s="4" t="s">
        <v>745</v>
      </c>
      <c r="F2307" t="s">
        <v>460</v>
      </c>
      <c r="G2307" t="s">
        <v>442</v>
      </c>
      <c r="J2307" s="4" t="s">
        <v>55</v>
      </c>
      <c r="K2307" s="4" t="s">
        <v>20</v>
      </c>
      <c r="L2307" s="4" t="s">
        <v>742</v>
      </c>
      <c r="M2307" s="17">
        <v>30</v>
      </c>
      <c r="N2307" s="17">
        <v>768</v>
      </c>
      <c r="O2307" s="18" t="s">
        <v>55</v>
      </c>
      <c r="P2307" s="18">
        <v>768</v>
      </c>
      <c r="Q2307" s="18">
        <v>30</v>
      </c>
      <c r="R2307" s="18" t="s">
        <v>778</v>
      </c>
      <c r="S2307" s="18" t="s">
        <v>815</v>
      </c>
      <c r="T2307" s="18" t="s">
        <v>781</v>
      </c>
      <c r="U23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07" s="19">
        <f>IF(AUDITORIA[[#This Row],[CAT]]="",0,1)</f>
        <v>1</v>
      </c>
      <c r="W2307" s="20">
        <v>46233</v>
      </c>
      <c r="X2307" s="21" t="s">
        <v>906</v>
      </c>
      <c r="Y2307" s="24" t="s">
        <v>901</v>
      </c>
      <c r="Z2307" s="24" t="s">
        <v>945</v>
      </c>
      <c r="AA2307" s="24" t="s">
        <v>946</v>
      </c>
    </row>
    <row r="2308" spans="1:27" ht="14.4" hidden="1" customHeight="1" x14ac:dyDescent="0.3">
      <c r="A2308" s="29" t="s">
        <v>279</v>
      </c>
      <c r="B2308" s="4" t="s">
        <v>17</v>
      </c>
      <c r="C2308" s="16" t="s">
        <v>18</v>
      </c>
      <c r="D2308" s="4">
        <v>11</v>
      </c>
      <c r="E2308" s="4" t="s">
        <v>745</v>
      </c>
      <c r="F2308" t="s">
        <v>461</v>
      </c>
      <c r="G2308" t="s">
        <v>442</v>
      </c>
      <c r="J2308" s="4" t="s">
        <v>55</v>
      </c>
      <c r="K2308" s="4" t="s">
        <v>20</v>
      </c>
      <c r="L2308" s="4" t="s">
        <v>742</v>
      </c>
      <c r="M2308" s="17">
        <v>30</v>
      </c>
      <c r="N2308" s="17">
        <v>765</v>
      </c>
      <c r="O2308" s="18" t="s">
        <v>55</v>
      </c>
      <c r="P2308" s="18">
        <v>765</v>
      </c>
      <c r="Q2308" s="18">
        <v>30</v>
      </c>
      <c r="R2308" s="18" t="s">
        <v>778</v>
      </c>
      <c r="S2308" s="18" t="s">
        <v>815</v>
      </c>
      <c r="T2308" s="18" t="s">
        <v>780</v>
      </c>
      <c r="U23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08" s="19">
        <f>IF(AUDITORIA[[#This Row],[CAT]]="",0,1)</f>
        <v>1</v>
      </c>
      <c r="W2308" s="20">
        <v>46233</v>
      </c>
      <c r="X2308" s="21" t="s">
        <v>906</v>
      </c>
      <c r="Y2308" s="24" t="s">
        <v>901</v>
      </c>
      <c r="Z2308" s="24" t="s">
        <v>945</v>
      </c>
      <c r="AA2308" s="24" t="s">
        <v>946</v>
      </c>
    </row>
    <row r="2309" spans="1:27" ht="14.4" hidden="1" customHeight="1" x14ac:dyDescent="0.3">
      <c r="A2309" s="29" t="s">
        <v>279</v>
      </c>
      <c r="B2309" s="4" t="s">
        <v>17</v>
      </c>
      <c r="C2309" s="16" t="s">
        <v>18</v>
      </c>
      <c r="D2309" s="4">
        <v>11</v>
      </c>
      <c r="E2309" s="4" t="s">
        <v>745</v>
      </c>
      <c r="F2309" t="s">
        <v>463</v>
      </c>
      <c r="G2309" t="s">
        <v>368</v>
      </c>
      <c r="J2309" s="4" t="s">
        <v>88</v>
      </c>
      <c r="K2309" s="4" t="s">
        <v>20</v>
      </c>
      <c r="L2309" s="4" t="s">
        <v>742</v>
      </c>
      <c r="M2309" s="17">
        <v>30</v>
      </c>
      <c r="N2309" s="17">
        <v>823</v>
      </c>
      <c r="O2309" s="18" t="s">
        <v>88</v>
      </c>
      <c r="P2309" s="18">
        <v>823</v>
      </c>
      <c r="Q2309" s="18">
        <v>30</v>
      </c>
      <c r="R2309" s="18" t="s">
        <v>814</v>
      </c>
      <c r="S2309" s="18" t="s">
        <v>863</v>
      </c>
      <c r="T2309" s="18" t="s">
        <v>781</v>
      </c>
      <c r="U23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09" s="19">
        <f>IF(AUDITORIA[[#This Row],[CAT]]="",0,1)</f>
        <v>1</v>
      </c>
      <c r="W2309" s="20">
        <v>46233</v>
      </c>
      <c r="X2309" s="21" t="s">
        <v>906</v>
      </c>
      <c r="Y2309" s="24" t="s">
        <v>901</v>
      </c>
      <c r="Z2309" s="24" t="s">
        <v>945</v>
      </c>
      <c r="AA2309" s="24" t="s">
        <v>946</v>
      </c>
    </row>
    <row r="2310" spans="1:27" ht="14.4" hidden="1" customHeight="1" x14ac:dyDescent="0.3">
      <c r="A2310" s="29" t="s">
        <v>279</v>
      </c>
      <c r="B2310" s="4" t="s">
        <v>17</v>
      </c>
      <c r="C2310" s="16" t="s">
        <v>18</v>
      </c>
      <c r="D2310" s="4">
        <v>11</v>
      </c>
      <c r="E2310" s="4" t="s">
        <v>745</v>
      </c>
      <c r="F2310" t="s">
        <v>464</v>
      </c>
      <c r="G2310" t="s">
        <v>442</v>
      </c>
      <c r="J2310" s="4" t="s">
        <v>55</v>
      </c>
      <c r="K2310" s="4" t="s">
        <v>21</v>
      </c>
      <c r="L2310" s="4" t="s">
        <v>742</v>
      </c>
      <c r="M2310" s="17">
        <v>27</v>
      </c>
      <c r="N2310" s="17">
        <v>916</v>
      </c>
      <c r="O2310" s="18" t="s">
        <v>55</v>
      </c>
      <c r="P2310" s="18">
        <v>916</v>
      </c>
      <c r="Q2310" s="18">
        <v>27</v>
      </c>
      <c r="R2310" s="18" t="s">
        <v>778</v>
      </c>
      <c r="S2310" s="18" t="s">
        <v>827</v>
      </c>
      <c r="T2310" s="18" t="s">
        <v>794</v>
      </c>
      <c r="U23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10" s="19">
        <f>IF(AUDITORIA[[#This Row],[CAT]]="",0,1)</f>
        <v>1</v>
      </c>
      <c r="W2310" s="20">
        <v>46233</v>
      </c>
      <c r="X2310" s="21" t="s">
        <v>906</v>
      </c>
      <c r="Y2310" s="24" t="s">
        <v>901</v>
      </c>
      <c r="Z2310" s="24" t="s">
        <v>945</v>
      </c>
      <c r="AA2310" s="24" t="s">
        <v>946</v>
      </c>
    </row>
    <row r="2311" spans="1:27" ht="14.4" hidden="1" customHeight="1" x14ac:dyDescent="0.3">
      <c r="A2311" s="29" t="s">
        <v>279</v>
      </c>
      <c r="B2311" s="4" t="s">
        <v>17</v>
      </c>
      <c r="C2311" s="16" t="s">
        <v>18</v>
      </c>
      <c r="D2311" s="4">
        <v>11</v>
      </c>
      <c r="E2311" s="4" t="s">
        <v>745</v>
      </c>
      <c r="F2311" t="s">
        <v>454</v>
      </c>
      <c r="G2311" t="s">
        <v>442</v>
      </c>
      <c r="J2311" s="4" t="s">
        <v>55</v>
      </c>
      <c r="K2311" s="4" t="s">
        <v>21</v>
      </c>
      <c r="L2311" s="4" t="s">
        <v>742</v>
      </c>
      <c r="M2311" s="17">
        <v>30</v>
      </c>
      <c r="N2311" s="17">
        <v>891</v>
      </c>
      <c r="O2311" s="18" t="s">
        <v>55</v>
      </c>
      <c r="P2311" s="18">
        <v>891</v>
      </c>
      <c r="Q2311" s="18">
        <v>30</v>
      </c>
      <c r="R2311" s="18" t="s">
        <v>778</v>
      </c>
      <c r="S2311" s="18" t="s">
        <v>827</v>
      </c>
      <c r="T2311" s="18" t="s">
        <v>844</v>
      </c>
      <c r="U23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11" s="19">
        <f>IF(AUDITORIA[[#This Row],[CAT]]="",0,1)</f>
        <v>1</v>
      </c>
      <c r="W2311" s="20">
        <v>46233</v>
      </c>
      <c r="X2311" s="21" t="s">
        <v>906</v>
      </c>
      <c r="Y2311" s="24" t="s">
        <v>901</v>
      </c>
      <c r="Z2311" s="24" t="s">
        <v>945</v>
      </c>
      <c r="AA2311" s="24" t="s">
        <v>946</v>
      </c>
    </row>
    <row r="2312" spans="1:27" ht="14.4" hidden="1" customHeight="1" x14ac:dyDescent="0.3">
      <c r="A2312" s="29" t="s">
        <v>279</v>
      </c>
      <c r="B2312" s="4" t="s">
        <v>17</v>
      </c>
      <c r="C2312" s="16" t="s">
        <v>18</v>
      </c>
      <c r="D2312" s="4">
        <v>11</v>
      </c>
      <c r="E2312" s="4" t="s">
        <v>745</v>
      </c>
      <c r="F2312" t="s">
        <v>455</v>
      </c>
      <c r="G2312" t="s">
        <v>442</v>
      </c>
      <c r="J2312" s="4" t="s">
        <v>55</v>
      </c>
      <c r="K2312" s="4" t="s">
        <v>20</v>
      </c>
      <c r="L2312" s="4" t="s">
        <v>742</v>
      </c>
      <c r="M2312" s="17">
        <v>30</v>
      </c>
      <c r="N2312" s="17">
        <v>757</v>
      </c>
      <c r="O2312" s="18" t="s">
        <v>55</v>
      </c>
      <c r="P2312" s="18">
        <v>757</v>
      </c>
      <c r="Q2312" s="18">
        <v>30</v>
      </c>
      <c r="R2312" s="18" t="s">
        <v>778</v>
      </c>
      <c r="S2312" s="18" t="s">
        <v>815</v>
      </c>
      <c r="T2312" s="18" t="s">
        <v>840</v>
      </c>
      <c r="U23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12" s="19">
        <f>IF(AUDITORIA[[#This Row],[CAT]]="",0,1)</f>
        <v>1</v>
      </c>
      <c r="W2312" s="20">
        <v>46233</v>
      </c>
      <c r="X2312" s="21" t="s">
        <v>906</v>
      </c>
      <c r="Y2312" s="24" t="s">
        <v>901</v>
      </c>
      <c r="Z2312" s="24" t="s">
        <v>945</v>
      </c>
      <c r="AA2312" s="24" t="s">
        <v>946</v>
      </c>
    </row>
    <row r="2313" spans="1:27" ht="14.4" hidden="1" customHeight="1" x14ac:dyDescent="0.3">
      <c r="A2313" s="29" t="s">
        <v>279</v>
      </c>
      <c r="B2313" s="4" t="s">
        <v>17</v>
      </c>
      <c r="C2313" s="16" t="s">
        <v>18</v>
      </c>
      <c r="D2313" s="4">
        <v>11</v>
      </c>
      <c r="E2313" s="4" t="s">
        <v>745</v>
      </c>
      <c r="F2313" t="s">
        <v>456</v>
      </c>
      <c r="G2313" t="s">
        <v>442</v>
      </c>
      <c r="J2313" s="4" t="s">
        <v>55</v>
      </c>
      <c r="K2313" s="4" t="s">
        <v>21</v>
      </c>
      <c r="L2313" s="4" t="s">
        <v>742</v>
      </c>
      <c r="M2313" s="17">
        <v>27</v>
      </c>
      <c r="N2313" s="17">
        <v>914</v>
      </c>
      <c r="O2313" s="18" t="s">
        <v>55</v>
      </c>
      <c r="P2313" s="18">
        <v>914</v>
      </c>
      <c r="Q2313" s="18">
        <v>27</v>
      </c>
      <c r="R2313" s="18" t="s">
        <v>778</v>
      </c>
      <c r="S2313" s="18" t="s">
        <v>827</v>
      </c>
      <c r="T2313" s="18" t="s">
        <v>843</v>
      </c>
      <c r="U23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13" s="19">
        <f>IF(AUDITORIA[[#This Row],[CAT]]="",0,1)</f>
        <v>1</v>
      </c>
      <c r="W2313" s="20">
        <v>46233</v>
      </c>
      <c r="X2313" s="21" t="s">
        <v>906</v>
      </c>
      <c r="Y2313" s="24" t="s">
        <v>901</v>
      </c>
      <c r="Z2313" s="24" t="s">
        <v>945</v>
      </c>
      <c r="AA2313" s="24" t="s">
        <v>946</v>
      </c>
    </row>
    <row r="2314" spans="1:27" ht="14.4" hidden="1" customHeight="1" x14ac:dyDescent="0.3">
      <c r="A2314" s="29" t="s">
        <v>279</v>
      </c>
      <c r="B2314" s="4" t="s">
        <v>17</v>
      </c>
      <c r="C2314" s="16" t="s">
        <v>18</v>
      </c>
      <c r="D2314" s="4">
        <v>11</v>
      </c>
      <c r="E2314" s="4" t="s">
        <v>745</v>
      </c>
      <c r="F2314" t="s">
        <v>457</v>
      </c>
      <c r="G2314" t="s">
        <v>442</v>
      </c>
      <c r="J2314" s="4" t="s">
        <v>55</v>
      </c>
      <c r="K2314" s="4" t="s">
        <v>20</v>
      </c>
      <c r="L2314" s="4" t="s">
        <v>742</v>
      </c>
      <c r="M2314" s="17">
        <v>30</v>
      </c>
      <c r="N2314" s="17">
        <v>761</v>
      </c>
      <c r="O2314" s="18" t="s">
        <v>55</v>
      </c>
      <c r="P2314" s="18">
        <v>761</v>
      </c>
      <c r="Q2314" s="18">
        <v>30</v>
      </c>
      <c r="R2314" s="18" t="s">
        <v>778</v>
      </c>
      <c r="S2314" s="18" t="s">
        <v>815</v>
      </c>
      <c r="T2314" s="18" t="s">
        <v>794</v>
      </c>
      <c r="U23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14" s="19">
        <f>IF(AUDITORIA[[#This Row],[CAT]]="",0,1)</f>
        <v>1</v>
      </c>
      <c r="W2314" s="20">
        <v>46233</v>
      </c>
      <c r="X2314" s="21" t="s">
        <v>906</v>
      </c>
      <c r="Y2314" s="24" t="s">
        <v>901</v>
      </c>
      <c r="Z2314" s="24" t="s">
        <v>945</v>
      </c>
      <c r="AA2314" s="24" t="s">
        <v>946</v>
      </c>
    </row>
    <row r="2315" spans="1:27" ht="14.4" hidden="1" customHeight="1" x14ac:dyDescent="0.3">
      <c r="A2315" s="29" t="s">
        <v>279</v>
      </c>
      <c r="B2315" s="4" t="s">
        <v>17</v>
      </c>
      <c r="C2315" s="16" t="s">
        <v>18</v>
      </c>
      <c r="D2315" s="4">
        <v>11</v>
      </c>
      <c r="E2315" s="4" t="s">
        <v>745</v>
      </c>
      <c r="F2315" t="s">
        <v>458</v>
      </c>
      <c r="G2315" t="s">
        <v>442</v>
      </c>
      <c r="J2315" s="4" t="s">
        <v>55</v>
      </c>
      <c r="K2315" s="4" t="s">
        <v>20</v>
      </c>
      <c r="L2315" s="4" t="s">
        <v>742</v>
      </c>
      <c r="M2315" s="17">
        <v>30</v>
      </c>
      <c r="N2315" s="17">
        <v>763</v>
      </c>
      <c r="O2315" s="18" t="s">
        <v>55</v>
      </c>
      <c r="P2315" s="18">
        <v>763</v>
      </c>
      <c r="Q2315" s="18">
        <v>30</v>
      </c>
      <c r="R2315" s="18" t="s">
        <v>778</v>
      </c>
      <c r="S2315" s="18" t="s">
        <v>815</v>
      </c>
      <c r="T2315" s="18" t="s">
        <v>782</v>
      </c>
      <c r="U23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15" s="19">
        <f>IF(AUDITORIA[[#This Row],[CAT]]="",0,1)</f>
        <v>1</v>
      </c>
      <c r="W2315" s="20">
        <v>46233</v>
      </c>
      <c r="X2315" s="21" t="s">
        <v>906</v>
      </c>
      <c r="Y2315" s="24" t="s">
        <v>901</v>
      </c>
      <c r="Z2315" s="24" t="s">
        <v>945</v>
      </c>
      <c r="AA2315" s="24" t="s">
        <v>946</v>
      </c>
    </row>
    <row r="2316" spans="1:27" ht="14.4" hidden="1" customHeight="1" x14ac:dyDescent="0.3">
      <c r="A2316" s="29" t="s">
        <v>279</v>
      </c>
      <c r="B2316" s="4" t="s">
        <v>17</v>
      </c>
      <c r="C2316" s="16" t="s">
        <v>18</v>
      </c>
      <c r="D2316" s="4">
        <v>11</v>
      </c>
      <c r="E2316" s="4" t="s">
        <v>745</v>
      </c>
      <c r="F2316" t="s">
        <v>452</v>
      </c>
      <c r="G2316" t="s">
        <v>442</v>
      </c>
      <c r="J2316" s="4" t="s">
        <v>55</v>
      </c>
      <c r="K2316" s="4" t="s">
        <v>20</v>
      </c>
      <c r="L2316" s="4" t="s">
        <v>742</v>
      </c>
      <c r="M2316" s="17">
        <v>30</v>
      </c>
      <c r="N2316" s="17">
        <v>750</v>
      </c>
      <c r="O2316" s="18" t="s">
        <v>55</v>
      </c>
      <c r="P2316" s="18">
        <v>750</v>
      </c>
      <c r="Q2316" s="18">
        <v>30</v>
      </c>
      <c r="R2316" s="18" t="s">
        <v>778</v>
      </c>
      <c r="S2316" s="18" t="s">
        <v>815</v>
      </c>
      <c r="T2316" s="18" t="s">
        <v>843</v>
      </c>
      <c r="U23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16" s="19">
        <f>IF(AUDITORIA[[#This Row],[CAT]]="",0,1)</f>
        <v>1</v>
      </c>
      <c r="W2316" s="20">
        <v>46233</v>
      </c>
      <c r="X2316" s="21" t="s">
        <v>906</v>
      </c>
      <c r="Y2316" s="24" t="s">
        <v>901</v>
      </c>
      <c r="Z2316" s="24" t="s">
        <v>945</v>
      </c>
      <c r="AA2316" s="24" t="s">
        <v>946</v>
      </c>
    </row>
    <row r="2317" spans="1:27" ht="14.4" hidden="1" customHeight="1" x14ac:dyDescent="0.3">
      <c r="A2317" s="29" t="s">
        <v>279</v>
      </c>
      <c r="B2317" s="4" t="s">
        <v>17</v>
      </c>
      <c r="C2317" s="16" t="s">
        <v>18</v>
      </c>
      <c r="D2317" s="4">
        <v>11</v>
      </c>
      <c r="E2317" s="4" t="s">
        <v>745</v>
      </c>
      <c r="F2317" t="s">
        <v>453</v>
      </c>
      <c r="G2317" t="s">
        <v>442</v>
      </c>
      <c r="J2317" s="4" t="s">
        <v>55</v>
      </c>
      <c r="K2317" s="4" t="s">
        <v>20</v>
      </c>
      <c r="L2317" s="4" t="s">
        <v>742</v>
      </c>
      <c r="M2317" s="17">
        <v>30</v>
      </c>
      <c r="N2317" s="17">
        <v>767</v>
      </c>
      <c r="O2317" s="18" t="s">
        <v>55</v>
      </c>
      <c r="P2317" s="18">
        <v>767</v>
      </c>
      <c r="Q2317" s="18">
        <v>30</v>
      </c>
      <c r="R2317" s="18" t="s">
        <v>778</v>
      </c>
      <c r="S2317" s="18" t="s">
        <v>815</v>
      </c>
      <c r="T2317" s="18" t="s">
        <v>844</v>
      </c>
      <c r="U23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17" s="19">
        <f>IF(AUDITORIA[[#This Row],[CAT]]="",0,1)</f>
        <v>1</v>
      </c>
      <c r="W2317" s="20">
        <v>46233</v>
      </c>
      <c r="X2317" s="21" t="s">
        <v>906</v>
      </c>
      <c r="Y2317" s="24" t="s">
        <v>901</v>
      </c>
      <c r="Z2317" s="24" t="s">
        <v>945</v>
      </c>
      <c r="AA2317" s="24" t="s">
        <v>946</v>
      </c>
    </row>
    <row r="2318" spans="1:27" ht="14.4" hidden="1" customHeight="1" x14ac:dyDescent="0.3">
      <c r="A2318" s="29" t="s">
        <v>279</v>
      </c>
      <c r="B2318" s="4" t="s">
        <v>17</v>
      </c>
      <c r="C2318" s="16" t="s">
        <v>18</v>
      </c>
      <c r="D2318" s="4">
        <v>11</v>
      </c>
      <c r="E2318" s="4" t="s">
        <v>745</v>
      </c>
      <c r="F2318" t="s">
        <v>444</v>
      </c>
      <c r="G2318" t="s">
        <v>442</v>
      </c>
      <c r="J2318" s="4" t="s">
        <v>55</v>
      </c>
      <c r="K2318" s="4" t="s">
        <v>21</v>
      </c>
      <c r="L2318" s="4" t="s">
        <v>742</v>
      </c>
      <c r="M2318" s="17">
        <v>7</v>
      </c>
      <c r="N2318" s="17">
        <v>908</v>
      </c>
      <c r="O2318" s="18" t="s">
        <v>55</v>
      </c>
      <c r="P2318" s="18">
        <v>908</v>
      </c>
      <c r="Q2318" s="18">
        <v>7</v>
      </c>
      <c r="R2318" s="18" t="s">
        <v>778</v>
      </c>
      <c r="S2318" s="18" t="s">
        <v>877</v>
      </c>
      <c r="T2318" s="18" t="s">
        <v>781</v>
      </c>
      <c r="U23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18" s="19">
        <f>IF(AUDITORIA[[#This Row],[CAT]]="",0,1)</f>
        <v>1</v>
      </c>
      <c r="W2318" s="20">
        <v>46233</v>
      </c>
      <c r="X2318" s="21" t="s">
        <v>906</v>
      </c>
      <c r="Y2318" s="24" t="s">
        <v>901</v>
      </c>
      <c r="Z2318" s="24" t="s">
        <v>945</v>
      </c>
      <c r="AA2318" s="24" t="s">
        <v>946</v>
      </c>
    </row>
    <row r="2319" spans="1:27" ht="14.4" hidden="1" customHeight="1" x14ac:dyDescent="0.3">
      <c r="A2319" s="29" t="s">
        <v>279</v>
      </c>
      <c r="B2319" s="4" t="s">
        <v>17</v>
      </c>
      <c r="C2319" s="16" t="s">
        <v>18</v>
      </c>
      <c r="D2319" s="4">
        <v>11</v>
      </c>
      <c r="E2319" s="4" t="s">
        <v>745</v>
      </c>
      <c r="F2319" t="s">
        <v>449</v>
      </c>
      <c r="G2319" t="s">
        <v>442</v>
      </c>
      <c r="J2319" s="4" t="s">
        <v>55</v>
      </c>
      <c r="K2319" s="4" t="s">
        <v>20</v>
      </c>
      <c r="L2319" s="4" t="s">
        <v>742</v>
      </c>
      <c r="M2319" s="17">
        <v>30</v>
      </c>
      <c r="N2319" s="17">
        <v>759</v>
      </c>
      <c r="O2319" s="18" t="s">
        <v>55</v>
      </c>
      <c r="P2319" s="18">
        <v>759</v>
      </c>
      <c r="Q2319" s="18">
        <v>30</v>
      </c>
      <c r="R2319" s="18" t="s">
        <v>814</v>
      </c>
      <c r="S2319" s="18" t="s">
        <v>874</v>
      </c>
      <c r="T2319" s="18" t="s">
        <v>780</v>
      </c>
      <c r="U23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19" s="19">
        <f>IF(AUDITORIA[[#This Row],[CAT]]="",0,1)</f>
        <v>1</v>
      </c>
      <c r="W2319" s="20">
        <v>46233</v>
      </c>
      <c r="X2319" s="21" t="s">
        <v>906</v>
      </c>
      <c r="Y2319" s="24" t="s">
        <v>901</v>
      </c>
      <c r="Z2319" s="24" t="s">
        <v>945</v>
      </c>
      <c r="AA2319" s="24" t="s">
        <v>946</v>
      </c>
    </row>
    <row r="2320" spans="1:27" ht="14.4" hidden="1" customHeight="1" x14ac:dyDescent="0.3">
      <c r="A2320" s="29" t="s">
        <v>279</v>
      </c>
      <c r="B2320" s="4" t="s">
        <v>17</v>
      </c>
      <c r="C2320" s="16" t="s">
        <v>18</v>
      </c>
      <c r="D2320" s="4">
        <v>11</v>
      </c>
      <c r="E2320" s="4" t="s">
        <v>745</v>
      </c>
      <c r="F2320" t="s">
        <v>450</v>
      </c>
      <c r="G2320" t="s">
        <v>442</v>
      </c>
      <c r="J2320" s="4" t="s">
        <v>55</v>
      </c>
      <c r="K2320" s="4" t="s">
        <v>21</v>
      </c>
      <c r="L2320" s="4" t="s">
        <v>742</v>
      </c>
      <c r="M2320" s="17">
        <v>27</v>
      </c>
      <c r="N2320" s="17">
        <v>920</v>
      </c>
      <c r="O2320" s="18" t="s">
        <v>55</v>
      </c>
      <c r="P2320" s="18">
        <v>920</v>
      </c>
      <c r="Q2320" s="18">
        <v>27</v>
      </c>
      <c r="R2320" s="18" t="s">
        <v>778</v>
      </c>
      <c r="S2320" s="18" t="s">
        <v>786</v>
      </c>
      <c r="T2320" s="18" t="s">
        <v>780</v>
      </c>
      <c r="U23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20" s="19">
        <f>IF(AUDITORIA[[#This Row],[CAT]]="",0,1)</f>
        <v>1</v>
      </c>
      <c r="W2320" s="20">
        <v>46233</v>
      </c>
      <c r="X2320" s="21" t="s">
        <v>906</v>
      </c>
      <c r="Y2320" s="24" t="s">
        <v>901</v>
      </c>
      <c r="Z2320" s="24" t="s">
        <v>945</v>
      </c>
      <c r="AA2320" s="24" t="s">
        <v>946</v>
      </c>
    </row>
    <row r="2321" spans="1:27" ht="14.4" hidden="1" customHeight="1" x14ac:dyDescent="0.3">
      <c r="A2321" s="29" t="s">
        <v>279</v>
      </c>
      <c r="B2321" s="4" t="s">
        <v>17</v>
      </c>
      <c r="C2321" s="16" t="s">
        <v>18</v>
      </c>
      <c r="D2321" s="4">
        <v>11</v>
      </c>
      <c r="E2321" s="4" t="s">
        <v>745</v>
      </c>
      <c r="F2321" t="s">
        <v>451</v>
      </c>
      <c r="G2321" t="s">
        <v>434</v>
      </c>
      <c r="J2321" s="4" t="s">
        <v>31</v>
      </c>
      <c r="K2321" s="4" t="s">
        <v>20</v>
      </c>
      <c r="L2321" s="4" t="s">
        <v>742</v>
      </c>
      <c r="M2321" s="17">
        <v>24</v>
      </c>
      <c r="N2321" s="17">
        <v>1050</v>
      </c>
      <c r="O2321" s="18" t="s">
        <v>31</v>
      </c>
      <c r="P2321" s="18">
        <v>1050</v>
      </c>
      <c r="Q2321" s="18">
        <v>24</v>
      </c>
      <c r="R2321" s="18" t="s">
        <v>778</v>
      </c>
      <c r="S2321" s="18" t="s">
        <v>826</v>
      </c>
      <c r="T2321" s="18" t="s">
        <v>780</v>
      </c>
      <c r="U23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21" s="19">
        <f>IF(AUDITORIA[[#This Row],[CAT]]="",0,1)</f>
        <v>1</v>
      </c>
      <c r="W2321" s="20">
        <v>46233</v>
      </c>
      <c r="X2321" s="21" t="s">
        <v>906</v>
      </c>
      <c r="Y2321" s="24" t="s">
        <v>901</v>
      </c>
      <c r="Z2321" s="24" t="s">
        <v>945</v>
      </c>
      <c r="AA2321" s="24" t="s">
        <v>946</v>
      </c>
    </row>
    <row r="2322" spans="1:27" ht="14.4" hidden="1" customHeight="1" x14ac:dyDescent="0.3">
      <c r="A2322" s="29" t="s">
        <v>279</v>
      </c>
      <c r="B2322" s="4" t="s">
        <v>17</v>
      </c>
      <c r="C2322" s="16" t="s">
        <v>18</v>
      </c>
      <c r="D2322" s="4">
        <v>11</v>
      </c>
      <c r="E2322" s="4" t="s">
        <v>745</v>
      </c>
      <c r="F2322" t="s">
        <v>433</v>
      </c>
      <c r="G2322" t="s">
        <v>434</v>
      </c>
      <c r="J2322" s="4" t="s">
        <v>31</v>
      </c>
      <c r="K2322" s="4" t="s">
        <v>20</v>
      </c>
      <c r="L2322" s="4" t="s">
        <v>742</v>
      </c>
      <c r="M2322" s="17">
        <v>0</v>
      </c>
      <c r="N2322" s="17">
        <v>1033</v>
      </c>
      <c r="O2322" s="18" t="s">
        <v>31</v>
      </c>
      <c r="P2322" s="30" t="s">
        <v>905</v>
      </c>
      <c r="Q2322" s="30">
        <v>0</v>
      </c>
      <c r="R2322" s="30" t="s">
        <v>905</v>
      </c>
      <c r="S2322" s="30" t="s">
        <v>905</v>
      </c>
      <c r="T2322" s="30" t="s">
        <v>905</v>
      </c>
      <c r="U23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22" s="19">
        <v>0</v>
      </c>
      <c r="W2322" s="20">
        <v>46233</v>
      </c>
      <c r="X2322" s="21" t="s">
        <v>906</v>
      </c>
      <c r="Y2322" s="24" t="s">
        <v>901</v>
      </c>
      <c r="Z2322" s="24" t="s">
        <v>945</v>
      </c>
      <c r="AA2322" s="24" t="s">
        <v>946</v>
      </c>
    </row>
    <row r="2323" spans="1:27" ht="14.4" hidden="1" customHeight="1" x14ac:dyDescent="0.3">
      <c r="A2323" s="29" t="s">
        <v>279</v>
      </c>
      <c r="B2323" s="4" t="s">
        <v>17</v>
      </c>
      <c r="C2323" s="16" t="s">
        <v>18</v>
      </c>
      <c r="D2323" s="4">
        <v>11</v>
      </c>
      <c r="E2323" s="4" t="s">
        <v>745</v>
      </c>
      <c r="F2323" t="s">
        <v>438</v>
      </c>
      <c r="G2323" t="s">
        <v>426</v>
      </c>
      <c r="J2323" s="4" t="s">
        <v>31</v>
      </c>
      <c r="K2323" s="4" t="s">
        <v>21</v>
      </c>
      <c r="L2323" s="4" t="s">
        <v>742</v>
      </c>
      <c r="M2323" s="17">
        <v>24</v>
      </c>
      <c r="N2323" s="17">
        <v>1112</v>
      </c>
      <c r="O2323" s="18" t="s">
        <v>31</v>
      </c>
      <c r="P2323" s="18">
        <v>1112</v>
      </c>
      <c r="Q2323" s="18">
        <v>24</v>
      </c>
      <c r="R2323" s="18" t="s">
        <v>778</v>
      </c>
      <c r="S2323" s="18" t="s">
        <v>849</v>
      </c>
      <c r="T2323" s="18" t="s">
        <v>780</v>
      </c>
      <c r="U23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23" s="19">
        <f>IF(AUDITORIA[[#This Row],[CAT]]="",0,1)</f>
        <v>1</v>
      </c>
      <c r="W2323" s="20">
        <v>46233</v>
      </c>
      <c r="X2323" s="21" t="s">
        <v>906</v>
      </c>
      <c r="Y2323" s="24" t="s">
        <v>901</v>
      </c>
      <c r="Z2323" s="24" t="s">
        <v>945</v>
      </c>
      <c r="AA2323" s="24" t="s">
        <v>946</v>
      </c>
    </row>
    <row r="2324" spans="1:27" ht="14.4" hidden="1" customHeight="1" x14ac:dyDescent="0.3">
      <c r="A2324" s="29" t="s">
        <v>279</v>
      </c>
      <c r="B2324" s="4" t="s">
        <v>17</v>
      </c>
      <c r="C2324" s="16" t="s">
        <v>18</v>
      </c>
      <c r="D2324" s="4">
        <v>11</v>
      </c>
      <c r="E2324" s="4" t="s">
        <v>745</v>
      </c>
      <c r="F2324" t="s">
        <v>439</v>
      </c>
      <c r="G2324" t="s">
        <v>426</v>
      </c>
      <c r="J2324" s="4" t="s">
        <v>31</v>
      </c>
      <c r="K2324" s="4" t="s">
        <v>20</v>
      </c>
      <c r="L2324" s="4" t="s">
        <v>742</v>
      </c>
      <c r="M2324" s="17">
        <v>27</v>
      </c>
      <c r="N2324" s="17">
        <v>913</v>
      </c>
      <c r="O2324" s="18" t="s">
        <v>31</v>
      </c>
      <c r="P2324" s="18">
        <v>913</v>
      </c>
      <c r="Q2324" s="18">
        <v>27</v>
      </c>
      <c r="R2324" s="18" t="s">
        <v>778</v>
      </c>
      <c r="S2324" s="18" t="s">
        <v>850</v>
      </c>
      <c r="T2324" s="18" t="s">
        <v>780</v>
      </c>
      <c r="U23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24" s="19">
        <f>IF(AUDITORIA[[#This Row],[CAT]]="",0,1)</f>
        <v>1</v>
      </c>
      <c r="W2324" s="20">
        <v>46233</v>
      </c>
      <c r="X2324" s="21" t="s">
        <v>906</v>
      </c>
      <c r="Y2324" s="24" t="s">
        <v>901</v>
      </c>
      <c r="Z2324" s="24" t="s">
        <v>945</v>
      </c>
      <c r="AA2324" s="24" t="s">
        <v>946</v>
      </c>
    </row>
    <row r="2325" spans="1:27" ht="14.4" hidden="1" customHeight="1" x14ac:dyDescent="0.3">
      <c r="A2325" s="29" t="s">
        <v>279</v>
      </c>
      <c r="B2325" s="4" t="s">
        <v>17</v>
      </c>
      <c r="C2325" s="16" t="s">
        <v>18</v>
      </c>
      <c r="D2325" s="4">
        <v>11</v>
      </c>
      <c r="E2325" s="4" t="s">
        <v>745</v>
      </c>
      <c r="F2325" t="s">
        <v>440</v>
      </c>
      <c r="G2325" t="s">
        <v>434</v>
      </c>
      <c r="J2325" s="4" t="s">
        <v>31</v>
      </c>
      <c r="K2325" s="4" t="s">
        <v>20</v>
      </c>
      <c r="L2325" s="4" t="s">
        <v>742</v>
      </c>
      <c r="M2325" s="17">
        <v>24</v>
      </c>
      <c r="N2325" s="17">
        <v>1029</v>
      </c>
      <c r="O2325" s="18" t="s">
        <v>31</v>
      </c>
      <c r="P2325" s="18">
        <v>1029</v>
      </c>
      <c r="Q2325" s="18">
        <v>24</v>
      </c>
      <c r="R2325" s="18" t="s">
        <v>778</v>
      </c>
      <c r="S2325" s="18" t="s">
        <v>846</v>
      </c>
      <c r="T2325" s="18" t="s">
        <v>780</v>
      </c>
      <c r="U23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25" s="19">
        <f>IF(AUDITORIA[[#This Row],[CAT]]="",0,1)</f>
        <v>1</v>
      </c>
      <c r="W2325" s="20">
        <v>46233</v>
      </c>
      <c r="X2325" s="21" t="s">
        <v>906</v>
      </c>
      <c r="Y2325" s="24" t="s">
        <v>901</v>
      </c>
      <c r="Z2325" s="24" t="s">
        <v>945</v>
      </c>
      <c r="AA2325" s="24" t="s">
        <v>946</v>
      </c>
    </row>
    <row r="2326" spans="1:27" ht="14.4" hidden="1" customHeight="1" x14ac:dyDescent="0.3">
      <c r="A2326" s="29" t="s">
        <v>279</v>
      </c>
      <c r="B2326" s="4" t="s">
        <v>17</v>
      </c>
      <c r="C2326" s="16" t="s">
        <v>18</v>
      </c>
      <c r="D2326" s="4">
        <v>11</v>
      </c>
      <c r="E2326" s="4" t="s">
        <v>745</v>
      </c>
      <c r="F2326" t="s">
        <v>441</v>
      </c>
      <c r="G2326" t="s">
        <v>442</v>
      </c>
      <c r="J2326" s="4" t="s">
        <v>55</v>
      </c>
      <c r="K2326" s="4" t="s">
        <v>20</v>
      </c>
      <c r="L2326" s="4" t="s">
        <v>742</v>
      </c>
      <c r="M2326" s="17">
        <v>8</v>
      </c>
      <c r="N2326" s="17">
        <v>766</v>
      </c>
      <c r="O2326" s="18" t="s">
        <v>55</v>
      </c>
      <c r="P2326" s="18">
        <v>766</v>
      </c>
      <c r="Q2326" s="18">
        <v>8</v>
      </c>
      <c r="R2326" s="18" t="s">
        <v>778</v>
      </c>
      <c r="S2326" s="18" t="s">
        <v>877</v>
      </c>
      <c r="T2326" s="18" t="s">
        <v>780</v>
      </c>
      <c r="U23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26" s="19">
        <f>IF(AUDITORIA[[#This Row],[CAT]]="",0,1)</f>
        <v>1</v>
      </c>
      <c r="W2326" s="20">
        <v>46233</v>
      </c>
      <c r="X2326" s="21" t="s">
        <v>906</v>
      </c>
      <c r="Y2326" s="24" t="s">
        <v>901</v>
      </c>
      <c r="Z2326" s="24" t="s">
        <v>945</v>
      </c>
      <c r="AA2326" s="24" t="s">
        <v>946</v>
      </c>
    </row>
    <row r="2327" spans="1:27" ht="14.4" hidden="1" customHeight="1" x14ac:dyDescent="0.3">
      <c r="A2327" s="29" t="s">
        <v>279</v>
      </c>
      <c r="B2327" s="4" t="s">
        <v>17</v>
      </c>
      <c r="C2327" s="16" t="s">
        <v>18</v>
      </c>
      <c r="D2327" s="4">
        <v>11</v>
      </c>
      <c r="E2327" s="4" t="s">
        <v>745</v>
      </c>
      <c r="F2327" t="s">
        <v>446</v>
      </c>
      <c r="G2327" t="s">
        <v>434</v>
      </c>
      <c r="J2327" s="4" t="s">
        <v>31</v>
      </c>
      <c r="K2327" s="4" t="s">
        <v>21</v>
      </c>
      <c r="L2327" s="4" t="s">
        <v>742</v>
      </c>
      <c r="M2327" s="17">
        <v>18</v>
      </c>
      <c r="N2327" s="17">
        <v>1201</v>
      </c>
      <c r="O2327" s="18" t="s">
        <v>31</v>
      </c>
      <c r="P2327" s="18">
        <v>1201</v>
      </c>
      <c r="Q2327" s="18">
        <v>18</v>
      </c>
      <c r="R2327" s="18" t="s">
        <v>778</v>
      </c>
      <c r="S2327" s="18" t="s">
        <v>816</v>
      </c>
      <c r="T2327" s="18" t="s">
        <v>782</v>
      </c>
      <c r="U23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27" s="19">
        <f>IF(AUDITORIA[[#This Row],[CAT]]="",0,1)</f>
        <v>1</v>
      </c>
      <c r="W2327" s="20">
        <v>46233</v>
      </c>
      <c r="X2327" s="21" t="s">
        <v>906</v>
      </c>
      <c r="Y2327" s="24" t="s">
        <v>901</v>
      </c>
      <c r="Z2327" s="24" t="s">
        <v>945</v>
      </c>
      <c r="AA2327" s="24" t="s">
        <v>946</v>
      </c>
    </row>
    <row r="2328" spans="1:27" ht="14.4" hidden="1" customHeight="1" x14ac:dyDescent="0.3">
      <c r="A2328" s="29" t="s">
        <v>279</v>
      </c>
      <c r="B2328" s="4" t="s">
        <v>17</v>
      </c>
      <c r="C2328" s="16" t="s">
        <v>18</v>
      </c>
      <c r="D2328" s="4">
        <v>11</v>
      </c>
      <c r="E2328" s="4" t="s">
        <v>745</v>
      </c>
      <c r="F2328" t="s">
        <v>447</v>
      </c>
      <c r="G2328" t="s">
        <v>434</v>
      </c>
      <c r="J2328" s="4" t="s">
        <v>31</v>
      </c>
      <c r="K2328" s="4" t="s">
        <v>20</v>
      </c>
      <c r="L2328" s="4" t="s">
        <v>742</v>
      </c>
      <c r="M2328" s="17">
        <v>0</v>
      </c>
      <c r="N2328" s="17">
        <v>1031</v>
      </c>
      <c r="O2328" s="18" t="s">
        <v>31</v>
      </c>
      <c r="P2328" s="30" t="s">
        <v>905</v>
      </c>
      <c r="Q2328" s="30">
        <v>0</v>
      </c>
      <c r="R2328" s="30" t="s">
        <v>905</v>
      </c>
      <c r="S2328" s="30" t="s">
        <v>905</v>
      </c>
      <c r="T2328" s="30" t="s">
        <v>905</v>
      </c>
      <c r="U23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28" s="19">
        <v>0</v>
      </c>
      <c r="W2328" s="20">
        <v>46233</v>
      </c>
      <c r="X2328" s="21" t="s">
        <v>906</v>
      </c>
      <c r="Y2328" s="24" t="s">
        <v>901</v>
      </c>
      <c r="Z2328" s="24" t="s">
        <v>945</v>
      </c>
      <c r="AA2328" s="24" t="s">
        <v>946</v>
      </c>
    </row>
    <row r="2329" spans="1:27" ht="14.4" hidden="1" customHeight="1" x14ac:dyDescent="0.3">
      <c r="A2329" s="29" t="s">
        <v>279</v>
      </c>
      <c r="B2329" s="4" t="s">
        <v>17</v>
      </c>
      <c r="C2329" s="16" t="s">
        <v>18</v>
      </c>
      <c r="D2329" s="4">
        <v>11</v>
      </c>
      <c r="E2329" s="4" t="s">
        <v>745</v>
      </c>
      <c r="F2329" t="s">
        <v>448</v>
      </c>
      <c r="G2329" t="s">
        <v>434</v>
      </c>
      <c r="J2329" s="4" t="s">
        <v>31</v>
      </c>
      <c r="K2329" s="4" t="s">
        <v>21</v>
      </c>
      <c r="L2329" s="4" t="s">
        <v>742</v>
      </c>
      <c r="M2329" s="17">
        <v>18</v>
      </c>
      <c r="N2329" s="17">
        <v>1203</v>
      </c>
      <c r="O2329" s="18" t="s">
        <v>31</v>
      </c>
      <c r="P2329" s="18">
        <v>1203</v>
      </c>
      <c r="Q2329" s="18">
        <v>18</v>
      </c>
      <c r="R2329" s="18" t="s">
        <v>778</v>
      </c>
      <c r="S2329" s="18" t="s">
        <v>941</v>
      </c>
      <c r="T2329" s="18" t="s">
        <v>840</v>
      </c>
      <c r="U23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29" s="19">
        <f>IF(AUDITORIA[[#This Row],[CAT]]="",0,1)</f>
        <v>1</v>
      </c>
      <c r="W2329" s="20">
        <v>46233</v>
      </c>
      <c r="X2329" s="21" t="s">
        <v>906</v>
      </c>
      <c r="Y2329" s="24" t="s">
        <v>901</v>
      </c>
      <c r="Z2329" s="24" t="s">
        <v>945</v>
      </c>
      <c r="AA2329" s="24" t="s">
        <v>946</v>
      </c>
    </row>
    <row r="2330" spans="1:27" ht="14.4" hidden="1" customHeight="1" x14ac:dyDescent="0.3">
      <c r="A2330" s="29" t="s">
        <v>279</v>
      </c>
      <c r="B2330" s="4" t="s">
        <v>17</v>
      </c>
      <c r="C2330" s="16" t="s">
        <v>18</v>
      </c>
      <c r="D2330" s="4">
        <v>11</v>
      </c>
      <c r="E2330" s="4" t="s">
        <v>745</v>
      </c>
      <c r="F2330" t="s">
        <v>412</v>
      </c>
      <c r="G2330" t="s">
        <v>66</v>
      </c>
      <c r="J2330" s="4" t="s">
        <v>55</v>
      </c>
      <c r="K2330" s="4" t="s">
        <v>20</v>
      </c>
      <c r="L2330" s="4" t="s">
        <v>742</v>
      </c>
      <c r="M2330" s="17">
        <v>30</v>
      </c>
      <c r="N2330" s="17">
        <v>806</v>
      </c>
      <c r="O2330" s="18" t="s">
        <v>55</v>
      </c>
      <c r="P2330" s="18">
        <v>806</v>
      </c>
      <c r="Q2330" s="18">
        <v>30</v>
      </c>
      <c r="R2330" s="18" t="s">
        <v>778</v>
      </c>
      <c r="S2330" s="18" t="s">
        <v>847</v>
      </c>
      <c r="T2330" s="18" t="s">
        <v>794</v>
      </c>
      <c r="U23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30" s="19">
        <f>IF(AUDITORIA[[#This Row],[CAT]]="",0,1)</f>
        <v>1</v>
      </c>
      <c r="W2330" s="20">
        <v>46233</v>
      </c>
      <c r="X2330" s="21" t="s">
        <v>906</v>
      </c>
      <c r="Y2330" s="24" t="s">
        <v>901</v>
      </c>
      <c r="Z2330" s="24" t="s">
        <v>945</v>
      </c>
      <c r="AA2330" s="24" t="s">
        <v>946</v>
      </c>
    </row>
    <row r="2331" spans="1:27" ht="14.4" hidden="1" customHeight="1" x14ac:dyDescent="0.3">
      <c r="A2331" s="29" t="s">
        <v>279</v>
      </c>
      <c r="B2331" s="4" t="s">
        <v>17</v>
      </c>
      <c r="C2331" s="16" t="s">
        <v>18</v>
      </c>
      <c r="D2331" s="4">
        <v>11</v>
      </c>
      <c r="E2331" s="4" t="s">
        <v>745</v>
      </c>
      <c r="F2331" t="s">
        <v>429</v>
      </c>
      <c r="G2331" t="s">
        <v>426</v>
      </c>
      <c r="J2331" s="4" t="s">
        <v>31</v>
      </c>
      <c r="K2331" s="4" t="s">
        <v>21</v>
      </c>
      <c r="L2331" s="4" t="s">
        <v>742</v>
      </c>
      <c r="M2331" s="17">
        <v>21</v>
      </c>
      <c r="N2331" s="17">
        <v>1105</v>
      </c>
      <c r="O2331" s="18" t="s">
        <v>31</v>
      </c>
      <c r="P2331" s="18">
        <v>1105</v>
      </c>
      <c r="Q2331" s="18">
        <v>21</v>
      </c>
      <c r="R2331" s="18" t="s">
        <v>778</v>
      </c>
      <c r="S2331" s="18" t="s">
        <v>849</v>
      </c>
      <c r="T2331" s="18" t="s">
        <v>782</v>
      </c>
      <c r="U23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31" s="19">
        <f>IF(AUDITORIA[[#This Row],[CAT]]="",0,1)</f>
        <v>1</v>
      </c>
      <c r="W2331" s="20">
        <v>46233</v>
      </c>
      <c r="X2331" s="21" t="s">
        <v>906</v>
      </c>
      <c r="Y2331" s="24" t="s">
        <v>901</v>
      </c>
      <c r="Z2331" s="24" t="s">
        <v>945</v>
      </c>
      <c r="AA2331" s="24" t="s">
        <v>946</v>
      </c>
    </row>
    <row r="2332" spans="1:27" ht="14.4" hidden="1" customHeight="1" x14ac:dyDescent="0.3">
      <c r="A2332" s="29" t="s">
        <v>279</v>
      </c>
      <c r="B2332" s="4" t="s">
        <v>17</v>
      </c>
      <c r="C2332" s="16" t="s">
        <v>18</v>
      </c>
      <c r="D2332" s="4">
        <v>11</v>
      </c>
      <c r="E2332" s="4" t="s">
        <v>745</v>
      </c>
      <c r="F2332" t="s">
        <v>431</v>
      </c>
      <c r="G2332" t="s">
        <v>426</v>
      </c>
      <c r="J2332" s="4" t="s">
        <v>31</v>
      </c>
      <c r="K2332" s="4" t="s">
        <v>21</v>
      </c>
      <c r="L2332" s="4" t="s">
        <v>742</v>
      </c>
      <c r="M2332" s="17">
        <v>24</v>
      </c>
      <c r="N2332" s="17">
        <v>1102</v>
      </c>
      <c r="O2332" s="18" t="s">
        <v>31</v>
      </c>
      <c r="P2332" s="18">
        <v>1102</v>
      </c>
      <c r="Q2332" s="18">
        <v>24</v>
      </c>
      <c r="R2332" s="18" t="s">
        <v>778</v>
      </c>
      <c r="S2332" s="18" t="s">
        <v>849</v>
      </c>
      <c r="T2332" s="18" t="s">
        <v>781</v>
      </c>
      <c r="U23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32" s="19">
        <f>IF(AUDITORIA[[#This Row],[CAT]]="",0,1)</f>
        <v>1</v>
      </c>
      <c r="W2332" s="20">
        <v>46233</v>
      </c>
      <c r="X2332" s="21" t="s">
        <v>906</v>
      </c>
      <c r="Y2332" s="24" t="s">
        <v>901</v>
      </c>
      <c r="Z2332" s="24" t="s">
        <v>945</v>
      </c>
      <c r="AA2332" s="24" t="s">
        <v>946</v>
      </c>
    </row>
    <row r="2333" spans="1:27" ht="14.4" hidden="1" customHeight="1" x14ac:dyDescent="0.3">
      <c r="A2333" s="29" t="s">
        <v>279</v>
      </c>
      <c r="B2333" s="4" t="s">
        <v>17</v>
      </c>
      <c r="C2333" s="16" t="s">
        <v>18</v>
      </c>
      <c r="D2333" s="4">
        <v>11</v>
      </c>
      <c r="E2333" s="4" t="s">
        <v>745</v>
      </c>
      <c r="F2333" t="s">
        <v>432</v>
      </c>
      <c r="G2333" t="s">
        <v>426</v>
      </c>
      <c r="J2333" s="4" t="s">
        <v>31</v>
      </c>
      <c r="K2333" s="4" t="s">
        <v>20</v>
      </c>
      <c r="L2333" s="4" t="s">
        <v>742</v>
      </c>
      <c r="M2333" s="17">
        <v>27</v>
      </c>
      <c r="N2333" s="17">
        <v>917</v>
      </c>
      <c r="O2333" s="18" t="s">
        <v>31</v>
      </c>
      <c r="P2333" s="18">
        <v>917</v>
      </c>
      <c r="Q2333" s="18">
        <v>27</v>
      </c>
      <c r="R2333" s="18" t="s">
        <v>778</v>
      </c>
      <c r="S2333" s="18" t="s">
        <v>850</v>
      </c>
      <c r="T2333" s="18" t="s">
        <v>781</v>
      </c>
      <c r="U23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33" s="19">
        <f>IF(AUDITORIA[[#This Row],[CAT]]="",0,1)</f>
        <v>1</v>
      </c>
      <c r="W2333" s="20">
        <v>46233</v>
      </c>
      <c r="X2333" s="21" t="s">
        <v>906</v>
      </c>
      <c r="Y2333" s="24" t="s">
        <v>901</v>
      </c>
      <c r="Z2333" s="24" t="s">
        <v>945</v>
      </c>
      <c r="AA2333" s="24" t="s">
        <v>946</v>
      </c>
    </row>
    <row r="2334" spans="1:27" ht="14.4" hidden="1" customHeight="1" x14ac:dyDescent="0.3">
      <c r="A2334" s="29" t="s">
        <v>279</v>
      </c>
      <c r="B2334" s="4" t="s">
        <v>17</v>
      </c>
      <c r="C2334" s="16" t="s">
        <v>18</v>
      </c>
      <c r="D2334" s="4">
        <v>11</v>
      </c>
      <c r="E2334" s="4" t="s">
        <v>745</v>
      </c>
      <c r="F2334" t="s">
        <v>437</v>
      </c>
      <c r="G2334" t="s">
        <v>434</v>
      </c>
      <c r="J2334" s="4" t="s">
        <v>31</v>
      </c>
      <c r="K2334" s="4" t="s">
        <v>21</v>
      </c>
      <c r="L2334" s="4" t="s">
        <v>742</v>
      </c>
      <c r="M2334" s="17">
        <v>9</v>
      </c>
      <c r="N2334" s="17">
        <v>1200</v>
      </c>
      <c r="O2334" s="18" t="s">
        <v>31</v>
      </c>
      <c r="P2334" s="18">
        <v>1200</v>
      </c>
      <c r="Q2334" s="18">
        <v>9</v>
      </c>
      <c r="R2334" s="18" t="s">
        <v>778</v>
      </c>
      <c r="S2334" s="18" t="s">
        <v>816</v>
      </c>
      <c r="T2334" s="18" t="s">
        <v>781</v>
      </c>
      <c r="U23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34" s="19">
        <f>IF(AUDITORIA[[#This Row],[CAT]]="",0,1)</f>
        <v>1</v>
      </c>
      <c r="W2334" s="20">
        <v>46233</v>
      </c>
      <c r="X2334" s="21" t="s">
        <v>906</v>
      </c>
      <c r="Y2334" s="24" t="s">
        <v>901</v>
      </c>
      <c r="Z2334" s="24" t="s">
        <v>945</v>
      </c>
      <c r="AA2334" s="24" t="s">
        <v>946</v>
      </c>
    </row>
    <row r="2335" spans="1:27" ht="14.4" hidden="1" customHeight="1" x14ac:dyDescent="0.3">
      <c r="A2335" s="29" t="s">
        <v>279</v>
      </c>
      <c r="B2335" s="4" t="s">
        <v>17</v>
      </c>
      <c r="C2335" s="16" t="s">
        <v>18</v>
      </c>
      <c r="D2335" s="4">
        <v>11</v>
      </c>
      <c r="E2335" s="4" t="s">
        <v>745</v>
      </c>
      <c r="F2335" t="s">
        <v>405</v>
      </c>
      <c r="G2335" t="s">
        <v>399</v>
      </c>
      <c r="J2335" s="4" t="s">
        <v>88</v>
      </c>
      <c r="K2335" s="4" t="s">
        <v>20</v>
      </c>
      <c r="L2335" s="4" t="s">
        <v>742</v>
      </c>
      <c r="M2335" s="17">
        <v>0</v>
      </c>
      <c r="N2335" s="17">
        <v>830</v>
      </c>
      <c r="O2335" s="18" t="s">
        <v>88</v>
      </c>
      <c r="P2335" s="30" t="s">
        <v>905</v>
      </c>
      <c r="Q2335" s="30">
        <v>0</v>
      </c>
      <c r="R2335" s="30" t="s">
        <v>905</v>
      </c>
      <c r="S2335" s="30" t="s">
        <v>905</v>
      </c>
      <c r="T2335" s="30" t="s">
        <v>905</v>
      </c>
      <c r="U23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35" s="19">
        <v>0</v>
      </c>
      <c r="W2335" s="20">
        <v>46233</v>
      </c>
      <c r="X2335" s="21" t="s">
        <v>906</v>
      </c>
      <c r="Y2335" s="24" t="s">
        <v>901</v>
      </c>
      <c r="Z2335" s="24" t="s">
        <v>945</v>
      </c>
      <c r="AA2335" s="24" t="s">
        <v>946</v>
      </c>
    </row>
    <row r="2336" spans="1:27" ht="14.4" hidden="1" customHeight="1" x14ac:dyDescent="0.3">
      <c r="A2336" s="29" t="s">
        <v>279</v>
      </c>
      <c r="B2336" s="4" t="s">
        <v>17</v>
      </c>
      <c r="C2336" s="16" t="s">
        <v>18</v>
      </c>
      <c r="D2336" s="4">
        <v>11</v>
      </c>
      <c r="E2336" s="4" t="s">
        <v>745</v>
      </c>
      <c r="F2336" t="s">
        <v>419</v>
      </c>
      <c r="G2336" t="s">
        <v>399</v>
      </c>
      <c r="J2336" s="4" t="s">
        <v>88</v>
      </c>
      <c r="K2336" s="4" t="s">
        <v>21</v>
      </c>
      <c r="L2336" s="4" t="s">
        <v>742</v>
      </c>
      <c r="M2336" s="17">
        <v>24</v>
      </c>
      <c r="N2336" s="17">
        <v>1042</v>
      </c>
      <c r="O2336" s="18" t="s">
        <v>88</v>
      </c>
      <c r="P2336" s="18">
        <v>1042</v>
      </c>
      <c r="Q2336" s="18">
        <v>24</v>
      </c>
      <c r="R2336" s="18" t="s">
        <v>778</v>
      </c>
      <c r="S2336" s="18" t="s">
        <v>779</v>
      </c>
      <c r="T2336" s="18" t="s">
        <v>780</v>
      </c>
      <c r="U23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36" s="19">
        <f>IF(AUDITORIA[[#This Row],[CAT]]="",0,1)</f>
        <v>1</v>
      </c>
      <c r="W2336" s="20">
        <v>46233</v>
      </c>
      <c r="X2336" s="21" t="s">
        <v>906</v>
      </c>
      <c r="Y2336" s="24" t="s">
        <v>901</v>
      </c>
      <c r="Z2336" s="24" t="s">
        <v>945</v>
      </c>
      <c r="AA2336" s="24" t="s">
        <v>946</v>
      </c>
    </row>
    <row r="2337" spans="1:27" ht="14.4" hidden="1" customHeight="1" x14ac:dyDescent="0.3">
      <c r="A2337" s="29" t="s">
        <v>279</v>
      </c>
      <c r="B2337" s="4" t="s">
        <v>17</v>
      </c>
      <c r="C2337" s="16" t="s">
        <v>18</v>
      </c>
      <c r="D2337" s="4">
        <v>11</v>
      </c>
      <c r="E2337" s="4" t="s">
        <v>745</v>
      </c>
      <c r="F2337" t="s">
        <v>420</v>
      </c>
      <c r="G2337" t="s">
        <v>399</v>
      </c>
      <c r="J2337" s="4" t="s">
        <v>88</v>
      </c>
      <c r="K2337" s="4" t="s">
        <v>21</v>
      </c>
      <c r="L2337" s="4" t="s">
        <v>742</v>
      </c>
      <c r="M2337" s="17">
        <v>24</v>
      </c>
      <c r="N2337" s="17">
        <v>1007</v>
      </c>
      <c r="O2337" s="18" t="s">
        <v>88</v>
      </c>
      <c r="P2337" s="18">
        <v>1007</v>
      </c>
      <c r="Q2337" s="18">
        <v>24</v>
      </c>
      <c r="R2337" s="18" t="s">
        <v>778</v>
      </c>
      <c r="S2337" s="18" t="s">
        <v>779</v>
      </c>
      <c r="T2337" s="18" t="s">
        <v>781</v>
      </c>
      <c r="U23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37" s="19">
        <f>IF(AUDITORIA[[#This Row],[CAT]]="",0,1)</f>
        <v>1</v>
      </c>
      <c r="W2337" s="20">
        <v>46233</v>
      </c>
      <c r="X2337" s="21" t="s">
        <v>906</v>
      </c>
      <c r="Y2337" s="24" t="s">
        <v>901</v>
      </c>
      <c r="Z2337" s="24" t="s">
        <v>945</v>
      </c>
      <c r="AA2337" s="24" t="s">
        <v>946</v>
      </c>
    </row>
    <row r="2338" spans="1:27" ht="14.4" hidden="1" customHeight="1" x14ac:dyDescent="0.3">
      <c r="A2338" s="29" t="s">
        <v>279</v>
      </c>
      <c r="B2338" s="4" t="s">
        <v>17</v>
      </c>
      <c r="C2338" s="16" t="s">
        <v>18</v>
      </c>
      <c r="D2338" s="4">
        <v>11</v>
      </c>
      <c r="E2338" s="4" t="s">
        <v>745</v>
      </c>
      <c r="F2338" t="s">
        <v>425</v>
      </c>
      <c r="G2338" t="s">
        <v>426</v>
      </c>
      <c r="J2338" s="4" t="s">
        <v>31</v>
      </c>
      <c r="K2338" s="4" t="s">
        <v>20</v>
      </c>
      <c r="L2338" s="4" t="s">
        <v>742</v>
      </c>
      <c r="M2338" s="17">
        <v>4</v>
      </c>
      <c r="N2338" s="17">
        <v>905</v>
      </c>
      <c r="O2338" s="18" t="s">
        <v>31</v>
      </c>
      <c r="P2338" s="18">
        <v>912</v>
      </c>
      <c r="Q2338" s="18">
        <v>4</v>
      </c>
      <c r="R2338" s="18" t="s">
        <v>778</v>
      </c>
      <c r="S2338" s="18" t="s">
        <v>850</v>
      </c>
      <c r="T2338" s="18" t="s">
        <v>782</v>
      </c>
      <c r="U23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38" s="19">
        <f>IF(AUDITORIA[[#This Row],[CAT]]="",0,1)</f>
        <v>1</v>
      </c>
      <c r="W2338" s="20">
        <v>46233</v>
      </c>
      <c r="X2338" s="21" t="s">
        <v>906</v>
      </c>
      <c r="Y2338" s="24" t="s">
        <v>901</v>
      </c>
      <c r="Z2338" s="24" t="s">
        <v>945</v>
      </c>
      <c r="AA2338" s="24" t="s">
        <v>946</v>
      </c>
    </row>
    <row r="2339" spans="1:27" ht="14.4" hidden="1" customHeight="1" x14ac:dyDescent="0.3">
      <c r="A2339" s="29" t="s">
        <v>279</v>
      </c>
      <c r="B2339" s="4" t="s">
        <v>17</v>
      </c>
      <c r="C2339" s="16" t="s">
        <v>18</v>
      </c>
      <c r="D2339" s="4">
        <v>11</v>
      </c>
      <c r="E2339" s="4" t="s">
        <v>745</v>
      </c>
      <c r="F2339" t="s">
        <v>430</v>
      </c>
      <c r="G2339" t="s">
        <v>426</v>
      </c>
      <c r="J2339" s="4" t="s">
        <v>31</v>
      </c>
      <c r="K2339" s="4" t="s">
        <v>20</v>
      </c>
      <c r="L2339" s="4" t="s">
        <v>742</v>
      </c>
      <c r="M2339" s="17">
        <v>27</v>
      </c>
      <c r="N2339" s="17">
        <v>912</v>
      </c>
      <c r="O2339" s="18" t="s">
        <v>31</v>
      </c>
      <c r="P2339" s="18">
        <v>905</v>
      </c>
      <c r="Q2339" s="18">
        <v>27</v>
      </c>
      <c r="R2339" s="18" t="s">
        <v>778</v>
      </c>
      <c r="S2339" s="18" t="s">
        <v>850</v>
      </c>
      <c r="T2339" s="18" t="s">
        <v>782</v>
      </c>
      <c r="U23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39" s="19">
        <f>IF(AUDITORIA[[#This Row],[CAT]]="",0,1)</f>
        <v>1</v>
      </c>
      <c r="W2339" s="20">
        <v>46233</v>
      </c>
      <c r="X2339" s="21" t="s">
        <v>906</v>
      </c>
      <c r="Y2339" s="24" t="s">
        <v>901</v>
      </c>
      <c r="Z2339" s="24" t="s">
        <v>945</v>
      </c>
      <c r="AA2339" s="24" t="s">
        <v>946</v>
      </c>
    </row>
    <row r="2340" spans="1:27" ht="14.4" hidden="1" customHeight="1" x14ac:dyDescent="0.3">
      <c r="A2340" s="29" t="s">
        <v>279</v>
      </c>
      <c r="B2340" s="4" t="s">
        <v>17</v>
      </c>
      <c r="C2340" s="16" t="s">
        <v>18</v>
      </c>
      <c r="D2340" s="4">
        <v>11</v>
      </c>
      <c r="E2340" s="4" t="s">
        <v>745</v>
      </c>
      <c r="F2340" t="s">
        <v>406</v>
      </c>
      <c r="G2340" t="s">
        <v>399</v>
      </c>
      <c r="J2340" s="4" t="s">
        <v>88</v>
      </c>
      <c r="K2340" s="4" t="s">
        <v>20</v>
      </c>
      <c r="L2340" s="4" t="s">
        <v>742</v>
      </c>
      <c r="M2340" s="17">
        <v>0</v>
      </c>
      <c r="N2340" s="17">
        <v>834</v>
      </c>
      <c r="O2340" s="18" t="s">
        <v>88</v>
      </c>
      <c r="P2340" s="30" t="s">
        <v>905</v>
      </c>
      <c r="Q2340" s="30">
        <v>0</v>
      </c>
      <c r="R2340" s="30" t="s">
        <v>905</v>
      </c>
      <c r="S2340" s="30" t="s">
        <v>905</v>
      </c>
      <c r="T2340" s="30" t="s">
        <v>905</v>
      </c>
      <c r="U23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40" s="19">
        <v>0</v>
      </c>
      <c r="W2340" s="20">
        <v>46233</v>
      </c>
      <c r="X2340" s="21" t="s">
        <v>906</v>
      </c>
      <c r="Y2340" s="24" t="s">
        <v>901</v>
      </c>
      <c r="Z2340" s="24" t="s">
        <v>945</v>
      </c>
      <c r="AA2340" s="24" t="s">
        <v>946</v>
      </c>
    </row>
    <row r="2341" spans="1:27" ht="14.4" hidden="1" customHeight="1" x14ac:dyDescent="0.3">
      <c r="A2341" s="29" t="s">
        <v>279</v>
      </c>
      <c r="B2341" s="4" t="s">
        <v>17</v>
      </c>
      <c r="C2341" s="16" t="s">
        <v>18</v>
      </c>
      <c r="D2341" s="4">
        <v>11</v>
      </c>
      <c r="E2341" s="4" t="s">
        <v>745</v>
      </c>
      <c r="F2341" t="s">
        <v>413</v>
      </c>
      <c r="G2341" t="s">
        <v>66</v>
      </c>
      <c r="J2341" s="4" t="s">
        <v>55</v>
      </c>
      <c r="K2341" s="4" t="s">
        <v>21</v>
      </c>
      <c r="L2341" s="4" t="s">
        <v>742</v>
      </c>
      <c r="M2341" s="17">
        <v>24</v>
      </c>
      <c r="N2341" s="17">
        <v>1031</v>
      </c>
      <c r="O2341" s="18" t="s">
        <v>55</v>
      </c>
      <c r="P2341" s="18">
        <v>1031</v>
      </c>
      <c r="Q2341" s="18">
        <v>24</v>
      </c>
      <c r="R2341" s="18" t="s">
        <v>778</v>
      </c>
      <c r="S2341" s="18" t="s">
        <v>848</v>
      </c>
      <c r="T2341" s="18" t="s">
        <v>794</v>
      </c>
      <c r="U23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41" s="19">
        <f>IF(AUDITORIA[[#This Row],[CAT]]="",0,1)</f>
        <v>1</v>
      </c>
      <c r="W2341" s="20">
        <v>46233</v>
      </c>
      <c r="X2341" s="21" t="s">
        <v>906</v>
      </c>
      <c r="Y2341" s="24" t="s">
        <v>901</v>
      </c>
      <c r="Z2341" s="24" t="s">
        <v>945</v>
      </c>
      <c r="AA2341" s="24" t="s">
        <v>946</v>
      </c>
    </row>
    <row r="2342" spans="1:27" ht="14.4" hidden="1" customHeight="1" x14ac:dyDescent="0.3">
      <c r="A2342" s="29" t="s">
        <v>279</v>
      </c>
      <c r="B2342" s="4" t="s">
        <v>17</v>
      </c>
      <c r="C2342" s="16" t="s">
        <v>18</v>
      </c>
      <c r="D2342" s="4">
        <v>11</v>
      </c>
      <c r="E2342" s="4" t="s">
        <v>745</v>
      </c>
      <c r="F2342" t="s">
        <v>416</v>
      </c>
      <c r="G2342" t="s">
        <v>399</v>
      </c>
      <c r="J2342" s="4" t="s">
        <v>88</v>
      </c>
      <c r="K2342" s="4" t="s">
        <v>20</v>
      </c>
      <c r="L2342" s="4" t="s">
        <v>742</v>
      </c>
      <c r="M2342" s="17">
        <v>0</v>
      </c>
      <c r="N2342" s="17">
        <v>822</v>
      </c>
      <c r="O2342" s="18" t="s">
        <v>88</v>
      </c>
      <c r="P2342" s="30" t="s">
        <v>905</v>
      </c>
      <c r="Q2342" s="30">
        <v>0</v>
      </c>
      <c r="R2342" s="30" t="s">
        <v>905</v>
      </c>
      <c r="S2342" s="30" t="s">
        <v>905</v>
      </c>
      <c r="T2342" s="30" t="s">
        <v>905</v>
      </c>
      <c r="U23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42" s="19">
        <v>0</v>
      </c>
      <c r="W2342" s="20">
        <v>46233</v>
      </c>
      <c r="X2342" s="21" t="s">
        <v>906</v>
      </c>
      <c r="Y2342" s="24" t="s">
        <v>901</v>
      </c>
      <c r="Z2342" s="24" t="s">
        <v>945</v>
      </c>
      <c r="AA2342" s="24" t="s">
        <v>946</v>
      </c>
    </row>
    <row r="2343" spans="1:27" ht="14.4" hidden="1" customHeight="1" x14ac:dyDescent="0.3">
      <c r="A2343" s="29" t="s">
        <v>279</v>
      </c>
      <c r="B2343" s="4" t="s">
        <v>17</v>
      </c>
      <c r="C2343" s="16" t="s">
        <v>18</v>
      </c>
      <c r="D2343" s="4">
        <v>11</v>
      </c>
      <c r="E2343" s="4" t="s">
        <v>745</v>
      </c>
      <c r="F2343" t="s">
        <v>417</v>
      </c>
      <c r="G2343" t="s">
        <v>66</v>
      </c>
      <c r="J2343" s="4" t="s">
        <v>55</v>
      </c>
      <c r="K2343" s="4" t="s">
        <v>21</v>
      </c>
      <c r="L2343" s="4" t="s">
        <v>742</v>
      </c>
      <c r="M2343" s="17">
        <v>24</v>
      </c>
      <c r="N2343" s="17">
        <v>1030</v>
      </c>
      <c r="O2343" s="18" t="s">
        <v>55</v>
      </c>
      <c r="P2343" s="18">
        <v>1030</v>
      </c>
      <c r="Q2343" s="18">
        <v>24</v>
      </c>
      <c r="R2343" s="18" t="s">
        <v>778</v>
      </c>
      <c r="S2343" s="18" t="s">
        <v>851</v>
      </c>
      <c r="T2343" s="18" t="s">
        <v>780</v>
      </c>
      <c r="U23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43" s="19">
        <f>IF(AUDITORIA[[#This Row],[CAT]]="",0,1)</f>
        <v>1</v>
      </c>
      <c r="W2343" s="20">
        <v>46233</v>
      </c>
      <c r="X2343" s="21" t="s">
        <v>906</v>
      </c>
      <c r="Y2343" s="24" t="s">
        <v>901</v>
      </c>
      <c r="Z2343" s="24" t="s">
        <v>945</v>
      </c>
      <c r="AA2343" s="24" t="s">
        <v>946</v>
      </c>
    </row>
    <row r="2344" spans="1:27" ht="14.4" hidden="1" customHeight="1" x14ac:dyDescent="0.3">
      <c r="A2344" s="29" t="s">
        <v>279</v>
      </c>
      <c r="B2344" s="4" t="s">
        <v>17</v>
      </c>
      <c r="C2344" s="16" t="s">
        <v>18</v>
      </c>
      <c r="D2344" s="4">
        <v>11</v>
      </c>
      <c r="E2344" s="4" t="s">
        <v>745</v>
      </c>
      <c r="F2344" t="s">
        <v>418</v>
      </c>
      <c r="G2344" t="s">
        <v>66</v>
      </c>
      <c r="J2344" s="4" t="s">
        <v>55</v>
      </c>
      <c r="K2344" s="4" t="s">
        <v>20</v>
      </c>
      <c r="L2344" s="4" t="s">
        <v>742</v>
      </c>
      <c r="M2344" s="17">
        <v>30</v>
      </c>
      <c r="N2344" s="17">
        <v>800</v>
      </c>
      <c r="O2344" s="18" t="s">
        <v>55</v>
      </c>
      <c r="P2344" s="18">
        <v>800</v>
      </c>
      <c r="Q2344" s="18">
        <v>30</v>
      </c>
      <c r="R2344" s="18" t="s">
        <v>778</v>
      </c>
      <c r="S2344" s="18" t="s">
        <v>852</v>
      </c>
      <c r="T2344" s="18" t="s">
        <v>780</v>
      </c>
      <c r="U23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44" s="19">
        <f>IF(AUDITORIA[[#This Row],[CAT]]="",0,1)</f>
        <v>1</v>
      </c>
      <c r="W2344" s="20">
        <v>46233</v>
      </c>
      <c r="X2344" s="21" t="s">
        <v>906</v>
      </c>
      <c r="Y2344" s="24" t="s">
        <v>901</v>
      </c>
      <c r="Z2344" s="24" t="s">
        <v>945</v>
      </c>
      <c r="AA2344" s="24" t="s">
        <v>946</v>
      </c>
    </row>
    <row r="2345" spans="1:27" ht="14.4" hidden="1" customHeight="1" x14ac:dyDescent="0.3">
      <c r="A2345" s="29" t="s">
        <v>279</v>
      </c>
      <c r="B2345" s="4" t="s">
        <v>17</v>
      </c>
      <c r="C2345" s="16" t="s">
        <v>18</v>
      </c>
      <c r="D2345" s="4">
        <v>11</v>
      </c>
      <c r="E2345" s="4" t="s">
        <v>745</v>
      </c>
      <c r="F2345" t="s">
        <v>403</v>
      </c>
      <c r="G2345" t="s">
        <v>399</v>
      </c>
      <c r="J2345" s="4" t="s">
        <v>88</v>
      </c>
      <c r="K2345" s="4" t="s">
        <v>21</v>
      </c>
      <c r="L2345" s="4" t="s">
        <v>742</v>
      </c>
      <c r="M2345" s="17">
        <v>24</v>
      </c>
      <c r="N2345" s="17">
        <v>1050</v>
      </c>
      <c r="O2345" s="18" t="s">
        <v>88</v>
      </c>
      <c r="P2345" s="18">
        <v>1050</v>
      </c>
      <c r="Q2345" s="18">
        <v>24</v>
      </c>
      <c r="R2345" s="18" t="s">
        <v>778</v>
      </c>
      <c r="S2345" s="18" t="s">
        <v>779</v>
      </c>
      <c r="T2345" s="18" t="s">
        <v>782</v>
      </c>
      <c r="U23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45" s="19">
        <f>IF(AUDITORIA[[#This Row],[CAT]]="",0,1)</f>
        <v>1</v>
      </c>
      <c r="W2345" s="20">
        <v>46233</v>
      </c>
      <c r="X2345" s="21" t="s">
        <v>906</v>
      </c>
      <c r="Y2345" s="24" t="s">
        <v>901</v>
      </c>
      <c r="Z2345" s="24" t="s">
        <v>945</v>
      </c>
      <c r="AA2345" s="24" t="s">
        <v>946</v>
      </c>
    </row>
    <row r="2346" spans="1:27" ht="14.4" hidden="1" customHeight="1" x14ac:dyDescent="0.3">
      <c r="A2346" s="29" t="s">
        <v>279</v>
      </c>
      <c r="B2346" s="4" t="s">
        <v>17</v>
      </c>
      <c r="C2346" s="16" t="s">
        <v>18</v>
      </c>
      <c r="D2346" s="4">
        <v>11</v>
      </c>
      <c r="E2346" s="4" t="s">
        <v>745</v>
      </c>
      <c r="F2346" t="s">
        <v>408</v>
      </c>
      <c r="G2346" t="s">
        <v>399</v>
      </c>
      <c r="J2346" s="4" t="s">
        <v>88</v>
      </c>
      <c r="K2346" s="4" t="s">
        <v>21</v>
      </c>
      <c r="L2346" s="4" t="s">
        <v>742</v>
      </c>
      <c r="M2346" s="17">
        <v>0</v>
      </c>
      <c r="N2346" s="17">
        <v>1078</v>
      </c>
      <c r="O2346" s="18" t="s">
        <v>88</v>
      </c>
      <c r="P2346" s="30" t="s">
        <v>905</v>
      </c>
      <c r="Q2346" s="30">
        <v>0</v>
      </c>
      <c r="R2346" s="30" t="s">
        <v>905</v>
      </c>
      <c r="S2346" s="30" t="s">
        <v>905</v>
      </c>
      <c r="T2346" s="30" t="s">
        <v>905</v>
      </c>
      <c r="U23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46" s="19">
        <v>0</v>
      </c>
      <c r="W2346" s="20">
        <v>46233</v>
      </c>
      <c r="X2346" s="21" t="s">
        <v>906</v>
      </c>
      <c r="Y2346" s="24" t="s">
        <v>901</v>
      </c>
      <c r="Z2346" s="24" t="s">
        <v>945</v>
      </c>
      <c r="AA2346" s="24" t="s">
        <v>946</v>
      </c>
    </row>
    <row r="2347" spans="1:27" ht="14.4" hidden="1" customHeight="1" x14ac:dyDescent="0.3">
      <c r="A2347" s="29" t="s">
        <v>279</v>
      </c>
      <c r="B2347" s="4" t="s">
        <v>17</v>
      </c>
      <c r="C2347" s="16" t="s">
        <v>18</v>
      </c>
      <c r="D2347" s="4">
        <v>11</v>
      </c>
      <c r="E2347" s="4" t="s">
        <v>745</v>
      </c>
      <c r="F2347" t="s">
        <v>414</v>
      </c>
      <c r="G2347" t="s">
        <v>66</v>
      </c>
      <c r="J2347" s="4" t="s">
        <v>55</v>
      </c>
      <c r="K2347" s="4" t="s">
        <v>20</v>
      </c>
      <c r="L2347" s="4" t="s">
        <v>742</v>
      </c>
      <c r="M2347" s="17">
        <v>30</v>
      </c>
      <c r="N2347" s="17">
        <v>803</v>
      </c>
      <c r="O2347" s="18" t="s">
        <v>55</v>
      </c>
      <c r="P2347" s="18">
        <v>803</v>
      </c>
      <c r="Q2347" s="18">
        <v>30</v>
      </c>
      <c r="R2347" s="18" t="s">
        <v>778</v>
      </c>
      <c r="S2347" s="18" t="s">
        <v>852</v>
      </c>
      <c r="T2347" s="18" t="s">
        <v>781</v>
      </c>
      <c r="U23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47" s="19">
        <f>IF(AUDITORIA[[#This Row],[CAT]]="",0,1)</f>
        <v>1</v>
      </c>
      <c r="W2347" s="20">
        <v>46233</v>
      </c>
      <c r="X2347" s="21" t="s">
        <v>906</v>
      </c>
      <c r="Y2347" s="24" t="s">
        <v>901</v>
      </c>
      <c r="Z2347" s="24" t="s">
        <v>945</v>
      </c>
      <c r="AA2347" s="24" t="s">
        <v>946</v>
      </c>
    </row>
    <row r="2348" spans="1:27" ht="14.4" hidden="1" customHeight="1" x14ac:dyDescent="0.3">
      <c r="A2348" s="29" t="s">
        <v>279</v>
      </c>
      <c r="B2348" s="4" t="s">
        <v>17</v>
      </c>
      <c r="C2348" s="16" t="s">
        <v>18</v>
      </c>
      <c r="D2348" s="4">
        <v>11</v>
      </c>
      <c r="E2348" s="4" t="s">
        <v>745</v>
      </c>
      <c r="F2348" t="s">
        <v>415</v>
      </c>
      <c r="G2348" t="s">
        <v>399</v>
      </c>
      <c r="J2348" s="4" t="s">
        <v>88</v>
      </c>
      <c r="K2348" s="4" t="s">
        <v>21</v>
      </c>
      <c r="L2348" s="4" t="s">
        <v>742</v>
      </c>
      <c r="M2348" s="17">
        <v>24</v>
      </c>
      <c r="N2348" s="17">
        <v>1034</v>
      </c>
      <c r="O2348" s="18" t="s">
        <v>88</v>
      </c>
      <c r="P2348" s="18">
        <v>1034</v>
      </c>
      <c r="Q2348" s="18">
        <v>24</v>
      </c>
      <c r="R2348" s="18" t="s">
        <v>778</v>
      </c>
      <c r="S2348" s="18" t="s">
        <v>821</v>
      </c>
      <c r="T2348" s="18" t="s">
        <v>780</v>
      </c>
      <c r="U23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48" s="19">
        <f>IF(AUDITORIA[[#This Row],[CAT]]="",0,1)</f>
        <v>1</v>
      </c>
      <c r="W2348" s="20">
        <v>46233</v>
      </c>
      <c r="X2348" s="21" t="s">
        <v>906</v>
      </c>
      <c r="Y2348" s="24" t="s">
        <v>901</v>
      </c>
      <c r="Z2348" s="24" t="s">
        <v>945</v>
      </c>
      <c r="AA2348" s="24" t="s">
        <v>946</v>
      </c>
    </row>
    <row r="2349" spans="1:27" ht="14.4" hidden="1" customHeight="1" x14ac:dyDescent="0.3">
      <c r="A2349" s="29" t="s">
        <v>279</v>
      </c>
      <c r="B2349" s="4" t="s">
        <v>17</v>
      </c>
      <c r="C2349" s="16" t="s">
        <v>18</v>
      </c>
      <c r="D2349" s="4">
        <v>11</v>
      </c>
      <c r="E2349" s="4" t="s">
        <v>745</v>
      </c>
      <c r="F2349" t="s">
        <v>397</v>
      </c>
      <c r="G2349" t="s">
        <v>66</v>
      </c>
      <c r="J2349" s="4" t="s">
        <v>55</v>
      </c>
      <c r="K2349" s="4" t="s">
        <v>21</v>
      </c>
      <c r="L2349" s="4" t="s">
        <v>742</v>
      </c>
      <c r="M2349" s="17">
        <v>24</v>
      </c>
      <c r="N2349" s="17">
        <v>1020</v>
      </c>
      <c r="O2349" s="18" t="s">
        <v>55</v>
      </c>
      <c r="P2349" s="18">
        <v>1020</v>
      </c>
      <c r="Q2349" s="18">
        <v>24</v>
      </c>
      <c r="R2349" s="18" t="s">
        <v>778</v>
      </c>
      <c r="S2349" s="18" t="s">
        <v>851</v>
      </c>
      <c r="T2349" s="18" t="s">
        <v>782</v>
      </c>
      <c r="U23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49" s="19">
        <f>IF(AUDITORIA[[#This Row],[CAT]]="",0,1)</f>
        <v>1</v>
      </c>
      <c r="W2349" s="20">
        <v>46233</v>
      </c>
      <c r="X2349" s="21" t="s">
        <v>906</v>
      </c>
      <c r="Y2349" s="24" t="s">
        <v>901</v>
      </c>
      <c r="Z2349" s="24" t="s">
        <v>945</v>
      </c>
      <c r="AA2349" s="24" t="s">
        <v>946</v>
      </c>
    </row>
    <row r="2350" spans="1:27" ht="14.4" hidden="1" customHeight="1" x14ac:dyDescent="0.3">
      <c r="A2350" s="29" t="s">
        <v>279</v>
      </c>
      <c r="B2350" s="4" t="s">
        <v>17</v>
      </c>
      <c r="C2350" s="16" t="s">
        <v>18</v>
      </c>
      <c r="D2350" s="4">
        <v>11</v>
      </c>
      <c r="E2350" s="4" t="s">
        <v>745</v>
      </c>
      <c r="F2350" t="s">
        <v>398</v>
      </c>
      <c r="G2350" t="s">
        <v>399</v>
      </c>
      <c r="J2350" s="4" t="s">
        <v>88</v>
      </c>
      <c r="K2350" s="4" t="s">
        <v>20</v>
      </c>
      <c r="L2350" s="4" t="s">
        <v>742</v>
      </c>
      <c r="M2350" s="17">
        <v>2</v>
      </c>
      <c r="N2350" s="17">
        <v>835</v>
      </c>
      <c r="O2350" s="18" t="s">
        <v>88</v>
      </c>
      <c r="P2350" s="18">
        <v>855</v>
      </c>
      <c r="Q2350" s="18">
        <v>2</v>
      </c>
      <c r="R2350" s="18" t="s">
        <v>778</v>
      </c>
      <c r="S2350" s="18" t="s">
        <v>783</v>
      </c>
      <c r="T2350" s="18" t="s">
        <v>782</v>
      </c>
      <c r="U23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50" s="19">
        <f>IF(AUDITORIA[[#This Row],[CAT]]="",0,1)</f>
        <v>1</v>
      </c>
      <c r="W2350" s="20">
        <v>46233</v>
      </c>
      <c r="X2350" s="21" t="s">
        <v>906</v>
      </c>
      <c r="Y2350" s="24" t="s">
        <v>901</v>
      </c>
      <c r="Z2350" s="24" t="s">
        <v>945</v>
      </c>
      <c r="AA2350" s="24" t="s">
        <v>946</v>
      </c>
    </row>
    <row r="2351" spans="1:27" ht="14.4" hidden="1" customHeight="1" x14ac:dyDescent="0.3">
      <c r="A2351" s="29" t="s">
        <v>279</v>
      </c>
      <c r="B2351" s="4" t="s">
        <v>17</v>
      </c>
      <c r="C2351" s="16" t="s">
        <v>18</v>
      </c>
      <c r="D2351" s="4">
        <v>11</v>
      </c>
      <c r="E2351" s="4" t="s">
        <v>745</v>
      </c>
      <c r="F2351" t="s">
        <v>402</v>
      </c>
      <c r="G2351" t="s">
        <v>399</v>
      </c>
      <c r="J2351" s="4" t="s">
        <v>88</v>
      </c>
      <c r="K2351" s="4" t="s">
        <v>21</v>
      </c>
      <c r="L2351" s="4" t="s">
        <v>742</v>
      </c>
      <c r="M2351" s="17">
        <v>0</v>
      </c>
      <c r="N2351" s="17">
        <v>1029</v>
      </c>
      <c r="O2351" s="18" t="s">
        <v>88</v>
      </c>
      <c r="P2351" s="30" t="s">
        <v>905</v>
      </c>
      <c r="Q2351" s="30">
        <v>0</v>
      </c>
      <c r="R2351" s="30" t="s">
        <v>905</v>
      </c>
      <c r="S2351" s="30" t="s">
        <v>905</v>
      </c>
      <c r="T2351" s="30" t="s">
        <v>905</v>
      </c>
      <c r="U23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51" s="19">
        <v>0</v>
      </c>
      <c r="W2351" s="20">
        <v>46233</v>
      </c>
      <c r="X2351" s="21" t="s">
        <v>906</v>
      </c>
      <c r="Y2351" s="24" t="s">
        <v>901</v>
      </c>
      <c r="Z2351" s="24" t="s">
        <v>945</v>
      </c>
      <c r="AA2351" s="24" t="s">
        <v>946</v>
      </c>
    </row>
    <row r="2352" spans="1:27" ht="14.4" hidden="1" customHeight="1" x14ac:dyDescent="0.3">
      <c r="A2352" s="29" t="s">
        <v>279</v>
      </c>
      <c r="B2352" s="4" t="s">
        <v>17</v>
      </c>
      <c r="C2352" s="16" t="s">
        <v>18</v>
      </c>
      <c r="D2352" s="4">
        <v>11</v>
      </c>
      <c r="E2352" s="4" t="s">
        <v>745</v>
      </c>
      <c r="F2352" t="s">
        <v>407</v>
      </c>
      <c r="G2352" t="s">
        <v>399</v>
      </c>
      <c r="J2352" s="4" t="s">
        <v>88</v>
      </c>
      <c r="K2352" s="4" t="s">
        <v>20</v>
      </c>
      <c r="L2352" s="4" t="s">
        <v>742</v>
      </c>
      <c r="M2352" s="17">
        <v>30</v>
      </c>
      <c r="N2352" s="17">
        <v>836</v>
      </c>
      <c r="O2352" s="18" t="s">
        <v>88</v>
      </c>
      <c r="P2352" s="18">
        <v>836</v>
      </c>
      <c r="Q2352" s="18">
        <v>30</v>
      </c>
      <c r="R2352" s="18" t="s">
        <v>778</v>
      </c>
      <c r="S2352" s="18" t="s">
        <v>824</v>
      </c>
      <c r="T2352" s="18" t="s">
        <v>780</v>
      </c>
      <c r="U23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52" s="19">
        <f>IF(AUDITORIA[[#This Row],[CAT]]="",0,1)</f>
        <v>1</v>
      </c>
      <c r="W2352" s="20">
        <v>46233</v>
      </c>
      <c r="X2352" s="21" t="s">
        <v>906</v>
      </c>
      <c r="Y2352" s="24" t="s">
        <v>901</v>
      </c>
      <c r="Z2352" s="24" t="s">
        <v>945</v>
      </c>
      <c r="AA2352" s="24" t="s">
        <v>946</v>
      </c>
    </row>
    <row r="2353" spans="1:27" ht="14.4" hidden="1" customHeight="1" x14ac:dyDescent="0.3">
      <c r="A2353" s="29" t="s">
        <v>279</v>
      </c>
      <c r="B2353" s="4" t="s">
        <v>17</v>
      </c>
      <c r="C2353" s="16" t="s">
        <v>18</v>
      </c>
      <c r="D2353" s="4">
        <v>11</v>
      </c>
      <c r="E2353" s="4" t="s">
        <v>745</v>
      </c>
      <c r="F2353" t="s">
        <v>409</v>
      </c>
      <c r="G2353" t="s">
        <v>66</v>
      </c>
      <c r="J2353" s="4" t="s">
        <v>55</v>
      </c>
      <c r="K2353" s="4" t="s">
        <v>20</v>
      </c>
      <c r="L2353" s="4" t="s">
        <v>742</v>
      </c>
      <c r="M2353" s="17">
        <v>30</v>
      </c>
      <c r="N2353" s="17">
        <v>801</v>
      </c>
      <c r="O2353" s="18" t="s">
        <v>55</v>
      </c>
      <c r="P2353" s="18">
        <v>801</v>
      </c>
      <c r="Q2353" s="18">
        <v>30</v>
      </c>
      <c r="R2353" s="18" t="s">
        <v>778</v>
      </c>
      <c r="S2353" s="18" t="s">
        <v>852</v>
      </c>
      <c r="T2353" s="18" t="s">
        <v>782</v>
      </c>
      <c r="U23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53" s="19">
        <f>IF(AUDITORIA[[#This Row],[CAT]]="",0,1)</f>
        <v>1</v>
      </c>
      <c r="W2353" s="20">
        <v>46233</v>
      </c>
      <c r="X2353" s="21" t="s">
        <v>906</v>
      </c>
      <c r="Y2353" s="24" t="s">
        <v>901</v>
      </c>
      <c r="Z2353" s="24" t="s">
        <v>945</v>
      </c>
      <c r="AA2353" s="24" t="s">
        <v>946</v>
      </c>
    </row>
    <row r="2354" spans="1:27" ht="14.4" hidden="1" customHeight="1" x14ac:dyDescent="0.3">
      <c r="A2354" s="29" t="s">
        <v>279</v>
      </c>
      <c r="B2354" s="4" t="s">
        <v>17</v>
      </c>
      <c r="C2354" s="16" t="s">
        <v>18</v>
      </c>
      <c r="D2354" s="4">
        <v>11</v>
      </c>
      <c r="E2354" s="4" t="s">
        <v>745</v>
      </c>
      <c r="F2354" t="s">
        <v>410</v>
      </c>
      <c r="G2354" t="s">
        <v>66</v>
      </c>
      <c r="J2354" s="4" t="s">
        <v>55</v>
      </c>
      <c r="K2354" s="4" t="s">
        <v>21</v>
      </c>
      <c r="L2354" s="4" t="s">
        <v>742</v>
      </c>
      <c r="M2354" s="17">
        <v>24</v>
      </c>
      <c r="N2354" s="17">
        <v>1022</v>
      </c>
      <c r="O2354" s="18" t="s">
        <v>55</v>
      </c>
      <c r="P2354" s="18">
        <v>1022</v>
      </c>
      <c r="Q2354" s="18">
        <v>24</v>
      </c>
      <c r="R2354" s="18" t="s">
        <v>778</v>
      </c>
      <c r="S2354" s="18" t="s">
        <v>851</v>
      </c>
      <c r="T2354" s="18" t="s">
        <v>794</v>
      </c>
      <c r="U23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54" s="19">
        <f>IF(AUDITORIA[[#This Row],[CAT]]="",0,1)</f>
        <v>1</v>
      </c>
      <c r="W2354" s="20">
        <v>46233</v>
      </c>
      <c r="X2354" s="21" t="s">
        <v>906</v>
      </c>
      <c r="Y2354" s="24" t="s">
        <v>901</v>
      </c>
      <c r="Z2354" s="24" t="s">
        <v>945</v>
      </c>
      <c r="AA2354" s="24" t="s">
        <v>946</v>
      </c>
    </row>
    <row r="2355" spans="1:27" ht="14.4" hidden="1" customHeight="1" x14ac:dyDescent="0.3">
      <c r="A2355" s="29" t="s">
        <v>279</v>
      </c>
      <c r="B2355" s="4" t="s">
        <v>17</v>
      </c>
      <c r="C2355" s="16" t="s">
        <v>18</v>
      </c>
      <c r="D2355" s="4">
        <v>11</v>
      </c>
      <c r="E2355" s="4" t="s">
        <v>745</v>
      </c>
      <c r="F2355" t="s">
        <v>411</v>
      </c>
      <c r="G2355" t="s">
        <v>66</v>
      </c>
      <c r="J2355" s="4" t="s">
        <v>55</v>
      </c>
      <c r="K2355" s="4" t="s">
        <v>21</v>
      </c>
      <c r="L2355" s="4" t="s">
        <v>742</v>
      </c>
      <c r="M2355" s="17">
        <v>24</v>
      </c>
      <c r="N2355" s="17">
        <v>1028</v>
      </c>
      <c r="O2355" s="18" t="s">
        <v>55</v>
      </c>
      <c r="P2355" s="18">
        <v>1028</v>
      </c>
      <c r="Q2355" s="18">
        <v>24</v>
      </c>
      <c r="R2355" s="18" t="s">
        <v>778</v>
      </c>
      <c r="S2355" s="18" t="s">
        <v>851</v>
      </c>
      <c r="T2355" s="18" t="s">
        <v>781</v>
      </c>
      <c r="U23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55" s="19">
        <f>IF(AUDITORIA[[#This Row],[CAT]]="",0,1)</f>
        <v>1</v>
      </c>
      <c r="W2355" s="20">
        <v>46233</v>
      </c>
      <c r="X2355" s="21" t="s">
        <v>906</v>
      </c>
      <c r="Y2355" s="24" t="s">
        <v>901</v>
      </c>
      <c r="Z2355" s="24" t="s">
        <v>945</v>
      </c>
      <c r="AA2355" s="24" t="s">
        <v>946</v>
      </c>
    </row>
    <row r="2356" spans="1:27" ht="14.4" hidden="1" customHeight="1" x14ac:dyDescent="0.3">
      <c r="A2356" s="29" t="s">
        <v>279</v>
      </c>
      <c r="B2356" s="4" t="s">
        <v>17</v>
      </c>
      <c r="C2356" s="16" t="s">
        <v>18</v>
      </c>
      <c r="D2356" s="4">
        <v>11</v>
      </c>
      <c r="E2356" s="4" t="s">
        <v>745</v>
      </c>
      <c r="F2356" t="s">
        <v>391</v>
      </c>
      <c r="G2356" t="s">
        <v>66</v>
      </c>
      <c r="J2356" s="4" t="s">
        <v>55</v>
      </c>
      <c r="K2356" s="4" t="s">
        <v>21</v>
      </c>
      <c r="L2356" s="4" t="s">
        <v>742</v>
      </c>
      <c r="M2356" s="17">
        <v>24</v>
      </c>
      <c r="N2356" s="17">
        <v>1041</v>
      </c>
      <c r="O2356" s="18" t="s">
        <v>55</v>
      </c>
      <c r="P2356" s="18">
        <v>1041</v>
      </c>
      <c r="Q2356" s="18">
        <v>24</v>
      </c>
      <c r="R2356" s="18" t="s">
        <v>778</v>
      </c>
      <c r="S2356" s="18" t="s">
        <v>851</v>
      </c>
      <c r="T2356" s="18" t="s">
        <v>840</v>
      </c>
      <c r="U23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56" s="19">
        <f>IF(AUDITORIA[[#This Row],[CAT]]="",0,1)</f>
        <v>1</v>
      </c>
      <c r="W2356" s="20">
        <v>46233</v>
      </c>
      <c r="X2356" s="21" t="s">
        <v>906</v>
      </c>
      <c r="Y2356" s="24" t="s">
        <v>901</v>
      </c>
      <c r="Z2356" s="24" t="s">
        <v>945</v>
      </c>
      <c r="AA2356" s="24" t="s">
        <v>946</v>
      </c>
    </row>
    <row r="2357" spans="1:27" ht="14.4" hidden="1" customHeight="1" x14ac:dyDescent="0.3">
      <c r="A2357" s="29" t="s">
        <v>279</v>
      </c>
      <c r="B2357" s="4" t="s">
        <v>17</v>
      </c>
      <c r="C2357" s="16" t="s">
        <v>18</v>
      </c>
      <c r="D2357" s="4">
        <v>11</v>
      </c>
      <c r="E2357" s="4" t="s">
        <v>745</v>
      </c>
      <c r="F2357" t="s">
        <v>392</v>
      </c>
      <c r="G2357" t="s">
        <v>290</v>
      </c>
      <c r="J2357" s="4" t="s">
        <v>19</v>
      </c>
      <c r="K2357" s="4" t="s">
        <v>20</v>
      </c>
      <c r="L2357" s="4" t="s">
        <v>742</v>
      </c>
      <c r="M2357" s="17">
        <v>0</v>
      </c>
      <c r="N2357" s="17">
        <v>826</v>
      </c>
      <c r="O2357" s="18" t="s">
        <v>19</v>
      </c>
      <c r="P2357" s="30" t="s">
        <v>905</v>
      </c>
      <c r="Q2357" s="30">
        <v>0</v>
      </c>
      <c r="R2357" s="30" t="s">
        <v>905</v>
      </c>
      <c r="S2357" s="30" t="s">
        <v>905</v>
      </c>
      <c r="T2357" s="30" t="s">
        <v>905</v>
      </c>
      <c r="U23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57" s="19">
        <v>0</v>
      </c>
      <c r="W2357" s="20">
        <v>46233</v>
      </c>
      <c r="X2357" s="21" t="s">
        <v>906</v>
      </c>
      <c r="Y2357" s="24" t="s">
        <v>901</v>
      </c>
      <c r="Z2357" s="24" t="s">
        <v>945</v>
      </c>
      <c r="AA2357" s="24" t="s">
        <v>946</v>
      </c>
    </row>
    <row r="2358" spans="1:27" ht="14.4" hidden="1" customHeight="1" x14ac:dyDescent="0.3">
      <c r="A2358" s="29" t="s">
        <v>279</v>
      </c>
      <c r="B2358" s="4" t="s">
        <v>17</v>
      </c>
      <c r="C2358" s="16" t="s">
        <v>18</v>
      </c>
      <c r="D2358" s="4">
        <v>11</v>
      </c>
      <c r="E2358" s="4" t="s">
        <v>745</v>
      </c>
      <c r="F2358" t="s">
        <v>393</v>
      </c>
      <c r="G2358" t="s">
        <v>290</v>
      </c>
      <c r="J2358" s="4" t="s">
        <v>19</v>
      </c>
      <c r="K2358" s="4" t="s">
        <v>20</v>
      </c>
      <c r="L2358" s="4" t="s">
        <v>742</v>
      </c>
      <c r="M2358" s="17">
        <v>30</v>
      </c>
      <c r="N2358" s="17">
        <v>838</v>
      </c>
      <c r="O2358" s="18" t="s">
        <v>19</v>
      </c>
      <c r="P2358" s="18">
        <v>838</v>
      </c>
      <c r="Q2358" s="18">
        <v>30</v>
      </c>
      <c r="R2358" s="18" t="s">
        <v>778</v>
      </c>
      <c r="S2358" s="18" t="s">
        <v>891</v>
      </c>
      <c r="T2358" s="18" t="s">
        <v>780</v>
      </c>
      <c r="U23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58" s="19">
        <f>IF(AUDITORIA[[#This Row],[CAT]]="",0,1)</f>
        <v>1</v>
      </c>
      <c r="W2358" s="20">
        <v>46233</v>
      </c>
      <c r="X2358" s="21" t="s">
        <v>906</v>
      </c>
      <c r="Y2358" s="24" t="s">
        <v>901</v>
      </c>
      <c r="Z2358" s="24" t="s">
        <v>945</v>
      </c>
      <c r="AA2358" s="24" t="s">
        <v>946</v>
      </c>
    </row>
    <row r="2359" spans="1:27" ht="14.4" hidden="1" customHeight="1" x14ac:dyDescent="0.3">
      <c r="A2359" s="29" t="s">
        <v>279</v>
      </c>
      <c r="B2359" s="4" t="s">
        <v>17</v>
      </c>
      <c r="C2359" s="16" t="s">
        <v>18</v>
      </c>
      <c r="D2359" s="4">
        <v>11</v>
      </c>
      <c r="E2359" s="4" t="s">
        <v>745</v>
      </c>
      <c r="F2359" t="s">
        <v>394</v>
      </c>
      <c r="G2359" t="s">
        <v>66</v>
      </c>
      <c r="J2359" s="4" t="s">
        <v>55</v>
      </c>
      <c r="K2359" s="4" t="s">
        <v>20</v>
      </c>
      <c r="L2359" s="4" t="s">
        <v>742</v>
      </c>
      <c r="M2359" s="17">
        <v>30</v>
      </c>
      <c r="N2359" s="17">
        <v>811</v>
      </c>
      <c r="O2359" s="18" t="s">
        <v>55</v>
      </c>
      <c r="P2359" s="18">
        <v>811</v>
      </c>
      <c r="Q2359" s="18">
        <v>30</v>
      </c>
      <c r="R2359" s="18" t="s">
        <v>778</v>
      </c>
      <c r="S2359" s="18" t="s">
        <v>853</v>
      </c>
      <c r="T2359" s="18" t="s">
        <v>780</v>
      </c>
      <c r="U23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59" s="19">
        <f>IF(AUDITORIA[[#This Row],[CAT]]="",0,1)</f>
        <v>1</v>
      </c>
      <c r="W2359" s="20">
        <v>46233</v>
      </c>
      <c r="X2359" s="21" t="s">
        <v>906</v>
      </c>
      <c r="Y2359" s="24" t="s">
        <v>901</v>
      </c>
      <c r="Z2359" s="24" t="s">
        <v>945</v>
      </c>
      <c r="AA2359" s="24" t="s">
        <v>946</v>
      </c>
    </row>
    <row r="2360" spans="1:27" ht="14.4" hidden="1" customHeight="1" x14ac:dyDescent="0.3">
      <c r="A2360" s="29" t="s">
        <v>279</v>
      </c>
      <c r="B2360" s="4" t="s">
        <v>17</v>
      </c>
      <c r="C2360" s="16" t="s">
        <v>18</v>
      </c>
      <c r="D2360" s="4">
        <v>11</v>
      </c>
      <c r="E2360" s="4" t="s">
        <v>745</v>
      </c>
      <c r="F2360" t="s">
        <v>395</v>
      </c>
      <c r="G2360" t="s">
        <v>66</v>
      </c>
      <c r="J2360" s="4" t="s">
        <v>55</v>
      </c>
      <c r="K2360" s="4" t="s">
        <v>21</v>
      </c>
      <c r="L2360" s="4" t="s">
        <v>742</v>
      </c>
      <c r="M2360" s="17">
        <v>24</v>
      </c>
      <c r="N2360" s="17">
        <v>1038</v>
      </c>
      <c r="O2360" s="18" t="s">
        <v>55</v>
      </c>
      <c r="P2360" s="18">
        <v>1038</v>
      </c>
      <c r="Q2360" s="18">
        <v>24</v>
      </c>
      <c r="R2360" s="18" t="s">
        <v>778</v>
      </c>
      <c r="S2360" s="18" t="s">
        <v>848</v>
      </c>
      <c r="T2360" s="18" t="s">
        <v>840</v>
      </c>
      <c r="U23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60" s="19">
        <f>IF(AUDITORIA[[#This Row],[CAT]]="",0,1)</f>
        <v>1</v>
      </c>
      <c r="W2360" s="20">
        <v>46233</v>
      </c>
      <c r="X2360" s="21" t="s">
        <v>906</v>
      </c>
      <c r="Y2360" s="24" t="s">
        <v>901</v>
      </c>
      <c r="Z2360" s="24" t="s">
        <v>945</v>
      </c>
      <c r="AA2360" s="24" t="s">
        <v>946</v>
      </c>
    </row>
    <row r="2361" spans="1:27" ht="14.4" hidden="1" customHeight="1" x14ac:dyDescent="0.3">
      <c r="A2361" s="29" t="s">
        <v>279</v>
      </c>
      <c r="B2361" s="4" t="s">
        <v>17</v>
      </c>
      <c r="C2361" s="16" t="s">
        <v>18</v>
      </c>
      <c r="D2361" s="4">
        <v>11</v>
      </c>
      <c r="E2361" s="4" t="s">
        <v>745</v>
      </c>
      <c r="F2361" t="s">
        <v>396</v>
      </c>
      <c r="G2361" t="s">
        <v>66</v>
      </c>
      <c r="J2361" s="4" t="s">
        <v>55</v>
      </c>
      <c r="K2361" s="4" t="s">
        <v>20</v>
      </c>
      <c r="L2361" s="4" t="s">
        <v>742</v>
      </c>
      <c r="M2361" s="17">
        <v>30</v>
      </c>
      <c r="N2361" s="17">
        <v>810</v>
      </c>
      <c r="O2361" s="18" t="s">
        <v>55</v>
      </c>
      <c r="P2361" s="18">
        <v>810</v>
      </c>
      <c r="Q2361" s="18">
        <v>30</v>
      </c>
      <c r="R2361" s="18" t="s">
        <v>778</v>
      </c>
      <c r="S2361" s="18" t="s">
        <v>852</v>
      </c>
      <c r="T2361" s="18" t="s">
        <v>794</v>
      </c>
      <c r="U23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61" s="19">
        <f>IF(AUDITORIA[[#This Row],[CAT]]="",0,1)</f>
        <v>1</v>
      </c>
      <c r="W2361" s="20">
        <v>46233</v>
      </c>
      <c r="X2361" s="21" t="s">
        <v>906</v>
      </c>
      <c r="Y2361" s="24" t="s">
        <v>901</v>
      </c>
      <c r="Z2361" s="24" t="s">
        <v>945</v>
      </c>
      <c r="AA2361" s="24" t="s">
        <v>946</v>
      </c>
    </row>
    <row r="2362" spans="1:27" ht="14.4" hidden="1" customHeight="1" x14ac:dyDescent="0.3">
      <c r="A2362" s="29" t="s">
        <v>279</v>
      </c>
      <c r="B2362" s="4" t="s">
        <v>17</v>
      </c>
      <c r="C2362" s="16" t="s">
        <v>18</v>
      </c>
      <c r="D2362" s="4">
        <v>11</v>
      </c>
      <c r="E2362" s="4" t="s">
        <v>745</v>
      </c>
      <c r="F2362" t="s">
        <v>387</v>
      </c>
      <c r="G2362" t="s">
        <v>66</v>
      </c>
      <c r="J2362" s="4" t="s">
        <v>55</v>
      </c>
      <c r="K2362" s="4" t="s">
        <v>21</v>
      </c>
      <c r="L2362" s="4" t="s">
        <v>742</v>
      </c>
      <c r="M2362" s="17">
        <v>24</v>
      </c>
      <c r="N2362" s="17">
        <v>1053</v>
      </c>
      <c r="O2362" s="18" t="s">
        <v>55</v>
      </c>
      <c r="P2362" s="18">
        <v>1053</v>
      </c>
      <c r="Q2362" s="18">
        <v>24</v>
      </c>
      <c r="R2362" s="18" t="s">
        <v>778</v>
      </c>
      <c r="S2362" s="18" t="s">
        <v>854</v>
      </c>
      <c r="T2362" s="18" t="s">
        <v>780</v>
      </c>
      <c r="U23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62" s="19">
        <f>IF(AUDITORIA[[#This Row],[CAT]]="",0,1)</f>
        <v>1</v>
      </c>
      <c r="W2362" s="20">
        <v>46233</v>
      </c>
      <c r="X2362" s="21" t="s">
        <v>906</v>
      </c>
      <c r="Y2362" s="24" t="s">
        <v>901</v>
      </c>
      <c r="Z2362" s="24" t="s">
        <v>945</v>
      </c>
      <c r="AA2362" s="24" t="s">
        <v>946</v>
      </c>
    </row>
    <row r="2363" spans="1:27" ht="14.4" hidden="1" customHeight="1" x14ac:dyDescent="0.3">
      <c r="A2363" s="29" t="s">
        <v>279</v>
      </c>
      <c r="B2363" s="4" t="s">
        <v>17</v>
      </c>
      <c r="C2363" s="16" t="s">
        <v>18</v>
      </c>
      <c r="D2363" s="4">
        <v>11</v>
      </c>
      <c r="E2363" s="4" t="s">
        <v>745</v>
      </c>
      <c r="F2363" t="s">
        <v>388</v>
      </c>
      <c r="G2363" t="s">
        <v>290</v>
      </c>
      <c r="J2363" s="4" t="s">
        <v>19</v>
      </c>
      <c r="K2363" s="4" t="s">
        <v>20</v>
      </c>
      <c r="L2363" s="4" t="s">
        <v>742</v>
      </c>
      <c r="M2363" s="17">
        <v>30</v>
      </c>
      <c r="N2363" s="17">
        <v>822</v>
      </c>
      <c r="O2363" s="18" t="s">
        <v>19</v>
      </c>
      <c r="P2363" s="18">
        <v>822</v>
      </c>
      <c r="Q2363" s="18">
        <v>30</v>
      </c>
      <c r="R2363" s="18" t="s">
        <v>778</v>
      </c>
      <c r="S2363" s="18" t="s">
        <v>891</v>
      </c>
      <c r="T2363" s="18" t="s">
        <v>782</v>
      </c>
      <c r="U23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63" s="19">
        <f>IF(AUDITORIA[[#This Row],[CAT]]="",0,1)</f>
        <v>1</v>
      </c>
      <c r="W2363" s="20">
        <v>46233</v>
      </c>
      <c r="X2363" s="21" t="s">
        <v>906</v>
      </c>
      <c r="Y2363" s="24" t="s">
        <v>901</v>
      </c>
      <c r="Z2363" s="24" t="s">
        <v>945</v>
      </c>
      <c r="AA2363" s="24" t="s">
        <v>946</v>
      </c>
    </row>
    <row r="2364" spans="1:27" ht="14.4" hidden="1" customHeight="1" x14ac:dyDescent="0.3">
      <c r="A2364" s="29" t="s">
        <v>279</v>
      </c>
      <c r="B2364" s="4" t="s">
        <v>17</v>
      </c>
      <c r="C2364" s="16" t="s">
        <v>18</v>
      </c>
      <c r="D2364" s="4">
        <v>11</v>
      </c>
      <c r="E2364" s="4" t="s">
        <v>745</v>
      </c>
      <c r="F2364" t="s">
        <v>389</v>
      </c>
      <c r="G2364" t="s">
        <v>290</v>
      </c>
      <c r="J2364" s="4" t="s">
        <v>19</v>
      </c>
      <c r="K2364" s="4" t="s">
        <v>21</v>
      </c>
      <c r="L2364" s="4" t="s">
        <v>742</v>
      </c>
      <c r="M2364" s="17">
        <v>14</v>
      </c>
      <c r="N2364" s="17">
        <v>1010</v>
      </c>
      <c r="O2364" s="18" t="s">
        <v>19</v>
      </c>
      <c r="P2364" s="18">
        <v>1010</v>
      </c>
      <c r="Q2364" s="18">
        <v>14</v>
      </c>
      <c r="R2364" s="18" t="s">
        <v>778</v>
      </c>
      <c r="S2364" s="18" t="s">
        <v>890</v>
      </c>
      <c r="T2364" s="18" t="s">
        <v>780</v>
      </c>
      <c r="U23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64" s="19">
        <f>IF(AUDITORIA[[#This Row],[CAT]]="",0,1)</f>
        <v>1</v>
      </c>
      <c r="W2364" s="20">
        <v>46233</v>
      </c>
      <c r="X2364" s="21" t="s">
        <v>906</v>
      </c>
      <c r="Y2364" s="24" t="s">
        <v>901</v>
      </c>
      <c r="Z2364" s="24" t="s">
        <v>945</v>
      </c>
      <c r="AA2364" s="24" t="s">
        <v>946</v>
      </c>
    </row>
    <row r="2365" spans="1:27" ht="14.4" hidden="1" customHeight="1" x14ac:dyDescent="0.3">
      <c r="A2365" s="29" t="s">
        <v>279</v>
      </c>
      <c r="B2365" s="4" t="s">
        <v>17</v>
      </c>
      <c r="C2365" s="16" t="s">
        <v>18</v>
      </c>
      <c r="D2365" s="4">
        <v>11</v>
      </c>
      <c r="E2365" s="4" t="s">
        <v>745</v>
      </c>
      <c r="F2365" t="s">
        <v>390</v>
      </c>
      <c r="G2365" t="s">
        <v>66</v>
      </c>
      <c r="J2365" s="4" t="s">
        <v>55</v>
      </c>
      <c r="K2365" s="4" t="s">
        <v>20</v>
      </c>
      <c r="L2365" s="4" t="s">
        <v>742</v>
      </c>
      <c r="M2365" s="17">
        <v>30</v>
      </c>
      <c r="N2365" s="17">
        <v>805</v>
      </c>
      <c r="O2365" s="18" t="s">
        <v>55</v>
      </c>
      <c r="P2365" s="18">
        <v>805</v>
      </c>
      <c r="Q2365" s="18">
        <v>30</v>
      </c>
      <c r="R2365" s="18" t="s">
        <v>778</v>
      </c>
      <c r="S2365" s="18" t="s">
        <v>847</v>
      </c>
      <c r="T2365" s="18" t="s">
        <v>840</v>
      </c>
      <c r="U23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65" s="19">
        <f>IF(AUDITORIA[[#This Row],[CAT]]="",0,1)</f>
        <v>1</v>
      </c>
      <c r="W2365" s="20">
        <v>46233</v>
      </c>
      <c r="X2365" s="21" t="s">
        <v>906</v>
      </c>
      <c r="Y2365" s="24" t="s">
        <v>901</v>
      </c>
      <c r="Z2365" s="24" t="s">
        <v>945</v>
      </c>
      <c r="AA2365" s="24" t="s">
        <v>946</v>
      </c>
    </row>
    <row r="2366" spans="1:27" ht="14.4" hidden="1" customHeight="1" x14ac:dyDescent="0.3">
      <c r="A2366" s="29" t="s">
        <v>279</v>
      </c>
      <c r="B2366" s="4" t="s">
        <v>17</v>
      </c>
      <c r="C2366" s="16" t="s">
        <v>18</v>
      </c>
      <c r="D2366" s="4">
        <v>11</v>
      </c>
      <c r="E2366" s="4" t="s">
        <v>745</v>
      </c>
      <c r="F2366" t="s">
        <v>382</v>
      </c>
      <c r="G2366" t="s">
        <v>66</v>
      </c>
      <c r="J2366" s="4" t="s">
        <v>55</v>
      </c>
      <c r="K2366" s="4" t="s">
        <v>21</v>
      </c>
      <c r="L2366" s="4" t="s">
        <v>742</v>
      </c>
      <c r="M2366" s="17">
        <v>24</v>
      </c>
      <c r="N2366" s="17">
        <v>1015</v>
      </c>
      <c r="O2366" s="18" t="s">
        <v>55</v>
      </c>
      <c r="P2366" s="18">
        <v>1015</v>
      </c>
      <c r="Q2366" s="18">
        <v>24</v>
      </c>
      <c r="R2366" s="18" t="s">
        <v>778</v>
      </c>
      <c r="S2366" s="18" t="s">
        <v>854</v>
      </c>
      <c r="T2366" s="18" t="s">
        <v>781</v>
      </c>
      <c r="U23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66" s="19">
        <f>IF(AUDITORIA[[#This Row],[CAT]]="",0,1)</f>
        <v>1</v>
      </c>
      <c r="W2366" s="20">
        <v>46233</v>
      </c>
      <c r="X2366" s="21" t="s">
        <v>906</v>
      </c>
      <c r="Y2366" s="24" t="s">
        <v>901</v>
      </c>
      <c r="Z2366" s="24" t="s">
        <v>945</v>
      </c>
      <c r="AA2366" s="24" t="s">
        <v>946</v>
      </c>
    </row>
    <row r="2367" spans="1:27" ht="14.4" hidden="1" customHeight="1" x14ac:dyDescent="0.3">
      <c r="A2367" s="29" t="s">
        <v>279</v>
      </c>
      <c r="B2367" s="4" t="s">
        <v>17</v>
      </c>
      <c r="C2367" s="16" t="s">
        <v>18</v>
      </c>
      <c r="D2367" s="4">
        <v>11</v>
      </c>
      <c r="E2367" s="4" t="s">
        <v>745</v>
      </c>
      <c r="F2367" t="s">
        <v>383</v>
      </c>
      <c r="G2367" t="s">
        <v>66</v>
      </c>
      <c r="J2367" s="4" t="s">
        <v>55</v>
      </c>
      <c r="K2367" s="4" t="s">
        <v>20</v>
      </c>
      <c r="L2367" s="4" t="s">
        <v>742</v>
      </c>
      <c r="M2367" s="17">
        <v>30</v>
      </c>
      <c r="N2367" s="17">
        <v>791</v>
      </c>
      <c r="O2367" s="18" t="s">
        <v>55</v>
      </c>
      <c r="P2367" s="18">
        <v>791</v>
      </c>
      <c r="Q2367" s="18">
        <v>30</v>
      </c>
      <c r="R2367" s="18" t="s">
        <v>778</v>
      </c>
      <c r="S2367" s="18" t="s">
        <v>853</v>
      </c>
      <c r="T2367" s="18" t="s">
        <v>782</v>
      </c>
      <c r="U23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67" s="19">
        <f>IF(AUDITORIA[[#This Row],[CAT]]="",0,1)</f>
        <v>1</v>
      </c>
      <c r="W2367" s="20">
        <v>46233</v>
      </c>
      <c r="X2367" s="21" t="s">
        <v>906</v>
      </c>
      <c r="Y2367" s="24" t="s">
        <v>901</v>
      </c>
      <c r="Z2367" s="24" t="s">
        <v>945</v>
      </c>
      <c r="AA2367" s="24" t="s">
        <v>946</v>
      </c>
    </row>
    <row r="2368" spans="1:27" ht="14.4" hidden="1" customHeight="1" x14ac:dyDescent="0.3">
      <c r="A2368" s="29" t="s">
        <v>279</v>
      </c>
      <c r="B2368" s="4" t="s">
        <v>17</v>
      </c>
      <c r="C2368" s="16" t="s">
        <v>18</v>
      </c>
      <c r="D2368" s="4">
        <v>11</v>
      </c>
      <c r="E2368" s="4" t="s">
        <v>745</v>
      </c>
      <c r="F2368" t="s">
        <v>384</v>
      </c>
      <c r="G2368" t="s">
        <v>290</v>
      </c>
      <c r="J2368" s="4" t="s">
        <v>19</v>
      </c>
      <c r="K2368" s="4" t="s">
        <v>20</v>
      </c>
      <c r="L2368" s="4" t="s">
        <v>742</v>
      </c>
      <c r="M2368" s="17">
        <v>30</v>
      </c>
      <c r="N2368" s="17">
        <v>830</v>
      </c>
      <c r="O2368" s="18" t="s">
        <v>19</v>
      </c>
      <c r="P2368" s="18">
        <v>830</v>
      </c>
      <c r="Q2368" s="18">
        <v>30</v>
      </c>
      <c r="R2368" s="18" t="s">
        <v>778</v>
      </c>
      <c r="S2368" s="18" t="s">
        <v>891</v>
      </c>
      <c r="T2368" s="18" t="s">
        <v>840</v>
      </c>
      <c r="U236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68" s="19">
        <f>IF(AUDITORIA[[#This Row],[CAT]]="",0,1)</f>
        <v>1</v>
      </c>
      <c r="W2368" s="20">
        <v>46233</v>
      </c>
      <c r="X2368" s="21" t="s">
        <v>906</v>
      </c>
      <c r="Y2368" s="24" t="s">
        <v>901</v>
      </c>
      <c r="Z2368" s="24" t="s">
        <v>945</v>
      </c>
      <c r="AA2368" s="24" t="s">
        <v>946</v>
      </c>
    </row>
    <row r="2369" spans="1:27" ht="14.4" hidden="1" customHeight="1" x14ac:dyDescent="0.3">
      <c r="A2369" s="29" t="s">
        <v>279</v>
      </c>
      <c r="B2369" s="4" t="s">
        <v>17</v>
      </c>
      <c r="C2369" s="16" t="s">
        <v>18</v>
      </c>
      <c r="D2369" s="4">
        <v>11</v>
      </c>
      <c r="E2369" s="4" t="s">
        <v>745</v>
      </c>
      <c r="F2369" t="s">
        <v>385</v>
      </c>
      <c r="G2369" t="s">
        <v>66</v>
      </c>
      <c r="J2369" s="4" t="s">
        <v>55</v>
      </c>
      <c r="K2369" s="4" t="s">
        <v>21</v>
      </c>
      <c r="L2369" s="4" t="s">
        <v>742</v>
      </c>
      <c r="M2369" s="17">
        <v>24</v>
      </c>
      <c r="N2369" s="17">
        <v>1038</v>
      </c>
      <c r="O2369" s="18" t="s">
        <v>55</v>
      </c>
      <c r="P2369" s="18">
        <v>1038</v>
      </c>
      <c r="Q2369" s="18">
        <v>24</v>
      </c>
      <c r="R2369" s="18" t="s">
        <v>778</v>
      </c>
      <c r="S2369" s="18" t="s">
        <v>854</v>
      </c>
      <c r="T2369" s="18" t="s">
        <v>794</v>
      </c>
      <c r="U23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69" s="19">
        <f>IF(AUDITORIA[[#This Row],[CAT]]="",0,1)</f>
        <v>1</v>
      </c>
      <c r="W2369" s="20">
        <v>46233</v>
      </c>
      <c r="X2369" s="21" t="s">
        <v>906</v>
      </c>
      <c r="Y2369" s="24" t="s">
        <v>901</v>
      </c>
      <c r="Z2369" s="24" t="s">
        <v>945</v>
      </c>
      <c r="AA2369" s="24" t="s">
        <v>946</v>
      </c>
    </row>
    <row r="2370" spans="1:27" ht="14.4" hidden="1" customHeight="1" x14ac:dyDescent="0.3">
      <c r="A2370" s="29" t="s">
        <v>279</v>
      </c>
      <c r="B2370" s="4" t="s">
        <v>17</v>
      </c>
      <c r="C2370" s="16" t="s">
        <v>18</v>
      </c>
      <c r="D2370" s="4">
        <v>11</v>
      </c>
      <c r="E2370" s="4" t="s">
        <v>745</v>
      </c>
      <c r="F2370" t="s">
        <v>386</v>
      </c>
      <c r="G2370" t="s">
        <v>66</v>
      </c>
      <c r="J2370" s="4" t="s">
        <v>55</v>
      </c>
      <c r="K2370" s="4" t="s">
        <v>20</v>
      </c>
      <c r="L2370" s="4" t="s">
        <v>742</v>
      </c>
      <c r="M2370" s="17">
        <v>30</v>
      </c>
      <c r="N2370" s="17">
        <v>791</v>
      </c>
      <c r="O2370" s="18" t="s">
        <v>55</v>
      </c>
      <c r="P2370" s="18">
        <v>791</v>
      </c>
      <c r="Q2370" s="18">
        <v>30</v>
      </c>
      <c r="R2370" s="18" t="s">
        <v>778</v>
      </c>
      <c r="S2370" s="18" t="s">
        <v>853</v>
      </c>
      <c r="T2370" s="18" t="s">
        <v>781</v>
      </c>
      <c r="U23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70" s="19">
        <f>IF(AUDITORIA[[#This Row],[CAT]]="",0,1)</f>
        <v>1</v>
      </c>
      <c r="W2370" s="20">
        <v>46233</v>
      </c>
      <c r="X2370" s="21" t="s">
        <v>906</v>
      </c>
      <c r="Y2370" s="24" t="s">
        <v>901</v>
      </c>
      <c r="Z2370" s="24" t="s">
        <v>945</v>
      </c>
      <c r="AA2370" s="24" t="s">
        <v>946</v>
      </c>
    </row>
    <row r="2371" spans="1:27" ht="14.4" hidden="1" customHeight="1" x14ac:dyDescent="0.3">
      <c r="A2371" s="29" t="s">
        <v>279</v>
      </c>
      <c r="B2371" s="4" t="s">
        <v>17</v>
      </c>
      <c r="C2371" s="16" t="s">
        <v>18</v>
      </c>
      <c r="D2371" s="4">
        <v>11</v>
      </c>
      <c r="E2371" s="4" t="s">
        <v>745</v>
      </c>
      <c r="F2371" t="s">
        <v>378</v>
      </c>
      <c r="G2371" t="s">
        <v>290</v>
      </c>
      <c r="J2371" s="4" t="s">
        <v>19</v>
      </c>
      <c r="K2371" s="4" t="s">
        <v>20</v>
      </c>
      <c r="L2371" s="4" t="s">
        <v>742</v>
      </c>
      <c r="M2371" s="17">
        <v>30</v>
      </c>
      <c r="N2371" s="17">
        <v>794</v>
      </c>
      <c r="O2371" s="18" t="s">
        <v>19</v>
      </c>
      <c r="P2371" s="18">
        <v>794</v>
      </c>
      <c r="Q2371" s="18">
        <v>30</v>
      </c>
      <c r="R2371" s="18" t="s">
        <v>778</v>
      </c>
      <c r="S2371" s="18" t="s">
        <v>891</v>
      </c>
      <c r="T2371" s="18" t="s">
        <v>794</v>
      </c>
      <c r="U237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71" s="19">
        <f>IF(AUDITORIA[[#This Row],[CAT]]="",0,1)</f>
        <v>1</v>
      </c>
      <c r="W2371" s="20">
        <v>46233</v>
      </c>
      <c r="X2371" s="21" t="s">
        <v>906</v>
      </c>
      <c r="Y2371" s="24" t="s">
        <v>901</v>
      </c>
      <c r="Z2371" s="24" t="s">
        <v>945</v>
      </c>
      <c r="AA2371" s="24" t="s">
        <v>946</v>
      </c>
    </row>
    <row r="2372" spans="1:27" ht="14.4" hidden="1" customHeight="1" x14ac:dyDescent="0.3">
      <c r="A2372" s="29" t="s">
        <v>279</v>
      </c>
      <c r="B2372" s="4" t="s">
        <v>17</v>
      </c>
      <c r="C2372" s="16" t="s">
        <v>18</v>
      </c>
      <c r="D2372" s="4">
        <v>11</v>
      </c>
      <c r="E2372" s="4" t="s">
        <v>745</v>
      </c>
      <c r="F2372" t="s">
        <v>380</v>
      </c>
      <c r="G2372" t="s">
        <v>66</v>
      </c>
      <c r="J2372" s="4" t="s">
        <v>55</v>
      </c>
      <c r="K2372" s="4" t="s">
        <v>21</v>
      </c>
      <c r="L2372" s="4" t="s">
        <v>742</v>
      </c>
      <c r="M2372" s="17">
        <v>24</v>
      </c>
      <c r="N2372" s="17">
        <v>1045</v>
      </c>
      <c r="O2372" s="18" t="s">
        <v>55</v>
      </c>
      <c r="P2372" s="18">
        <v>1045</v>
      </c>
      <c r="Q2372" s="18">
        <v>24</v>
      </c>
      <c r="R2372" s="18" t="s">
        <v>778</v>
      </c>
      <c r="S2372" s="18" t="s">
        <v>854</v>
      </c>
      <c r="T2372" s="18" t="s">
        <v>782</v>
      </c>
      <c r="U237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72" s="19">
        <f>IF(AUDITORIA[[#This Row],[CAT]]="",0,1)</f>
        <v>1</v>
      </c>
      <c r="W2372" s="20">
        <v>46233</v>
      </c>
      <c r="X2372" s="21" t="s">
        <v>906</v>
      </c>
      <c r="Y2372" s="24" t="s">
        <v>901</v>
      </c>
      <c r="Z2372" s="24" t="s">
        <v>945</v>
      </c>
      <c r="AA2372" s="24" t="s">
        <v>946</v>
      </c>
    </row>
    <row r="2373" spans="1:27" ht="14.4" hidden="1" customHeight="1" x14ac:dyDescent="0.3">
      <c r="A2373" s="29" t="s">
        <v>279</v>
      </c>
      <c r="B2373" s="4" t="s">
        <v>17</v>
      </c>
      <c r="C2373" s="16" t="s">
        <v>18</v>
      </c>
      <c r="D2373" s="4">
        <v>11</v>
      </c>
      <c r="E2373" s="4" t="s">
        <v>745</v>
      </c>
      <c r="F2373" t="s">
        <v>381</v>
      </c>
      <c r="G2373" t="s">
        <v>66</v>
      </c>
      <c r="J2373" s="4" t="s">
        <v>55</v>
      </c>
      <c r="K2373" s="4" t="s">
        <v>20</v>
      </c>
      <c r="L2373" s="4" t="s">
        <v>742</v>
      </c>
      <c r="M2373" s="17">
        <v>30</v>
      </c>
      <c r="N2373" s="17">
        <v>814</v>
      </c>
      <c r="O2373" s="18" t="s">
        <v>55</v>
      </c>
      <c r="P2373" s="18">
        <v>814</v>
      </c>
      <c r="Q2373" s="18">
        <v>30</v>
      </c>
      <c r="R2373" s="18" t="s">
        <v>778</v>
      </c>
      <c r="S2373" s="18" t="s">
        <v>853</v>
      </c>
      <c r="T2373" s="18" t="s">
        <v>794</v>
      </c>
      <c r="U23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73" s="19">
        <f>IF(AUDITORIA[[#This Row],[CAT]]="",0,1)</f>
        <v>1</v>
      </c>
      <c r="W2373" s="20">
        <v>46233</v>
      </c>
      <c r="X2373" s="21" t="s">
        <v>906</v>
      </c>
      <c r="Y2373" s="24" t="s">
        <v>901</v>
      </c>
      <c r="Z2373" s="24" t="s">
        <v>945</v>
      </c>
      <c r="AA2373" s="24" t="s">
        <v>946</v>
      </c>
    </row>
    <row r="2374" spans="1:27" ht="14.4" hidden="1" customHeight="1" x14ac:dyDescent="0.3">
      <c r="A2374" s="29" t="s">
        <v>279</v>
      </c>
      <c r="B2374" s="4" t="s">
        <v>17</v>
      </c>
      <c r="C2374" s="16" t="s">
        <v>18</v>
      </c>
      <c r="D2374" s="4">
        <v>11</v>
      </c>
      <c r="E2374" s="4" t="s">
        <v>745</v>
      </c>
      <c r="F2374" t="s">
        <v>357</v>
      </c>
      <c r="G2374" t="s">
        <v>290</v>
      </c>
      <c r="J2374" s="4" t="s">
        <v>19</v>
      </c>
      <c r="K2374" s="4" t="s">
        <v>20</v>
      </c>
      <c r="L2374" s="4" t="s">
        <v>742</v>
      </c>
      <c r="M2374" s="17">
        <v>30</v>
      </c>
      <c r="N2374" s="17">
        <v>764</v>
      </c>
      <c r="O2374" s="18" t="s">
        <v>19</v>
      </c>
      <c r="P2374" s="18">
        <v>764</v>
      </c>
      <c r="Q2374" s="18">
        <v>30</v>
      </c>
      <c r="R2374" s="18" t="s">
        <v>778</v>
      </c>
      <c r="S2374" s="18" t="s">
        <v>942</v>
      </c>
      <c r="T2374" s="18" t="s">
        <v>840</v>
      </c>
      <c r="U23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74" s="19">
        <f>IF(AUDITORIA[[#This Row],[CAT]]="",0,1)</f>
        <v>1</v>
      </c>
      <c r="W2374" s="20">
        <v>46233</v>
      </c>
      <c r="X2374" s="21" t="s">
        <v>906</v>
      </c>
      <c r="Y2374" s="24" t="s">
        <v>901</v>
      </c>
      <c r="Z2374" s="24" t="s">
        <v>945</v>
      </c>
      <c r="AA2374" s="24" t="s">
        <v>946</v>
      </c>
    </row>
    <row r="2375" spans="1:27" ht="14.4" hidden="1" customHeight="1" x14ac:dyDescent="0.3">
      <c r="A2375" s="29" t="s">
        <v>279</v>
      </c>
      <c r="B2375" s="4" t="s">
        <v>17</v>
      </c>
      <c r="C2375" s="16" t="s">
        <v>18</v>
      </c>
      <c r="D2375" s="4">
        <v>11</v>
      </c>
      <c r="E2375" s="4" t="s">
        <v>745</v>
      </c>
      <c r="F2375" t="s">
        <v>374</v>
      </c>
      <c r="G2375" t="s">
        <v>66</v>
      </c>
      <c r="J2375" s="4" t="s">
        <v>55</v>
      </c>
      <c r="K2375" s="4" t="s">
        <v>21</v>
      </c>
      <c r="L2375" s="4" t="s">
        <v>742</v>
      </c>
      <c r="M2375" s="17">
        <v>18</v>
      </c>
      <c r="N2375" s="17">
        <v>1023</v>
      </c>
      <c r="O2375" s="18" t="s">
        <v>55</v>
      </c>
      <c r="P2375" s="18">
        <v>1023</v>
      </c>
      <c r="Q2375" s="18">
        <v>18</v>
      </c>
      <c r="R2375" s="18" t="s">
        <v>778</v>
      </c>
      <c r="S2375" s="18" t="s">
        <v>944</v>
      </c>
      <c r="T2375" s="18" t="s">
        <v>780</v>
      </c>
      <c r="U23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75" s="19">
        <f>IF(AUDITORIA[[#This Row],[CAT]]="",0,1)</f>
        <v>1</v>
      </c>
      <c r="W2375" s="20">
        <v>46233</v>
      </c>
      <c r="X2375" s="21" t="s">
        <v>906</v>
      </c>
      <c r="Y2375" s="24" t="s">
        <v>901</v>
      </c>
      <c r="Z2375" s="24" t="s">
        <v>945</v>
      </c>
      <c r="AA2375" s="24" t="s">
        <v>946</v>
      </c>
    </row>
    <row r="2376" spans="1:27" ht="14.4" hidden="1" customHeight="1" x14ac:dyDescent="0.3">
      <c r="A2376" s="29" t="s">
        <v>279</v>
      </c>
      <c r="B2376" s="4" t="s">
        <v>17</v>
      </c>
      <c r="C2376" s="16" t="s">
        <v>18</v>
      </c>
      <c r="D2376" s="4">
        <v>11</v>
      </c>
      <c r="E2376" s="4" t="s">
        <v>745</v>
      </c>
      <c r="F2376" t="s">
        <v>375</v>
      </c>
      <c r="G2376" t="s">
        <v>290</v>
      </c>
      <c r="J2376" s="4" t="s">
        <v>19</v>
      </c>
      <c r="K2376" s="4" t="s">
        <v>20</v>
      </c>
      <c r="L2376" s="4" t="s">
        <v>742</v>
      </c>
      <c r="M2376" s="17">
        <v>30</v>
      </c>
      <c r="N2376" s="17">
        <v>789</v>
      </c>
      <c r="O2376" s="18" t="s">
        <v>19</v>
      </c>
      <c r="P2376" s="18">
        <v>789</v>
      </c>
      <c r="Q2376" s="18">
        <v>30</v>
      </c>
      <c r="R2376" s="18" t="s">
        <v>778</v>
      </c>
      <c r="S2376" s="18" t="s">
        <v>891</v>
      </c>
      <c r="T2376" s="18" t="s">
        <v>843</v>
      </c>
      <c r="U23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76" s="19">
        <f>IF(AUDITORIA[[#This Row],[CAT]]="",0,1)</f>
        <v>1</v>
      </c>
      <c r="W2376" s="20">
        <v>46233</v>
      </c>
      <c r="X2376" s="21" t="s">
        <v>906</v>
      </c>
      <c r="Y2376" s="24" t="s">
        <v>901</v>
      </c>
      <c r="Z2376" s="24" t="s">
        <v>945</v>
      </c>
      <c r="AA2376" s="24" t="s">
        <v>946</v>
      </c>
    </row>
    <row r="2377" spans="1:27" ht="14.4" hidden="1" customHeight="1" x14ac:dyDescent="0.3">
      <c r="A2377" s="29" t="s">
        <v>279</v>
      </c>
      <c r="B2377" s="4" t="s">
        <v>17</v>
      </c>
      <c r="C2377" s="16" t="s">
        <v>18</v>
      </c>
      <c r="D2377" s="4">
        <v>11</v>
      </c>
      <c r="E2377" s="4" t="s">
        <v>745</v>
      </c>
      <c r="F2377" t="s">
        <v>376</v>
      </c>
      <c r="G2377" t="s">
        <v>66</v>
      </c>
      <c r="J2377" s="4" t="s">
        <v>55</v>
      </c>
      <c r="K2377" s="4" t="s">
        <v>21</v>
      </c>
      <c r="L2377" s="4" t="s">
        <v>742</v>
      </c>
      <c r="M2377" s="17">
        <v>24</v>
      </c>
      <c r="N2377" s="17">
        <v>1015</v>
      </c>
      <c r="O2377" s="18" t="s">
        <v>55</v>
      </c>
      <c r="P2377" s="18">
        <v>1015</v>
      </c>
      <c r="Q2377" s="18">
        <v>24</v>
      </c>
      <c r="R2377" s="18" t="s">
        <v>778</v>
      </c>
      <c r="S2377" s="18" t="s">
        <v>854</v>
      </c>
      <c r="T2377" s="18" t="s">
        <v>840</v>
      </c>
      <c r="U237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77" s="19">
        <f>IF(AUDITORIA[[#This Row],[CAT]]="",0,1)</f>
        <v>1</v>
      </c>
      <c r="W2377" s="20">
        <v>46233</v>
      </c>
      <c r="X2377" s="21" t="s">
        <v>906</v>
      </c>
      <c r="Y2377" s="24" t="s">
        <v>901</v>
      </c>
      <c r="Z2377" s="24" t="s">
        <v>945</v>
      </c>
      <c r="AA2377" s="24" t="s">
        <v>946</v>
      </c>
    </row>
    <row r="2378" spans="1:27" ht="14.4" hidden="1" customHeight="1" x14ac:dyDescent="0.3">
      <c r="A2378" s="29" t="s">
        <v>279</v>
      </c>
      <c r="B2378" s="4" t="s">
        <v>17</v>
      </c>
      <c r="C2378" s="16" t="s">
        <v>18</v>
      </c>
      <c r="D2378" s="4">
        <v>11</v>
      </c>
      <c r="E2378" s="4" t="s">
        <v>745</v>
      </c>
      <c r="F2378" t="s">
        <v>377</v>
      </c>
      <c r="G2378" t="s">
        <v>66</v>
      </c>
      <c r="J2378" s="4" t="s">
        <v>55</v>
      </c>
      <c r="K2378" s="4" t="s">
        <v>20</v>
      </c>
      <c r="L2378" s="4" t="s">
        <v>742</v>
      </c>
      <c r="M2378" s="17">
        <v>30</v>
      </c>
      <c r="N2378" s="17">
        <v>799</v>
      </c>
      <c r="O2378" s="18" t="s">
        <v>55</v>
      </c>
      <c r="P2378" s="18">
        <v>799</v>
      </c>
      <c r="Q2378" s="18">
        <v>30</v>
      </c>
      <c r="R2378" s="18" t="s">
        <v>778</v>
      </c>
      <c r="S2378" s="18" t="s">
        <v>853</v>
      </c>
      <c r="T2378" s="18" t="s">
        <v>840</v>
      </c>
      <c r="U23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78" s="19">
        <f>IF(AUDITORIA[[#This Row],[CAT]]="",0,1)</f>
        <v>1</v>
      </c>
      <c r="W2378" s="20">
        <v>46233</v>
      </c>
      <c r="X2378" s="21" t="s">
        <v>906</v>
      </c>
      <c r="Y2378" s="24" t="s">
        <v>901</v>
      </c>
      <c r="Z2378" s="24" t="s">
        <v>945</v>
      </c>
      <c r="AA2378" s="24" t="s">
        <v>946</v>
      </c>
    </row>
    <row r="2379" spans="1:27" ht="14.4" hidden="1" customHeight="1" x14ac:dyDescent="0.3">
      <c r="A2379" s="29" t="s">
        <v>279</v>
      </c>
      <c r="B2379" s="4" t="s">
        <v>17</v>
      </c>
      <c r="C2379" s="16" t="s">
        <v>18</v>
      </c>
      <c r="D2379" s="4">
        <v>11</v>
      </c>
      <c r="E2379" s="4" t="s">
        <v>745</v>
      </c>
      <c r="F2379" t="s">
        <v>379</v>
      </c>
      <c r="G2379" t="s">
        <v>290</v>
      </c>
      <c r="J2379" s="4" t="s">
        <v>19</v>
      </c>
      <c r="K2379" s="4" t="s">
        <v>20</v>
      </c>
      <c r="L2379" s="4" t="s">
        <v>742</v>
      </c>
      <c r="M2379" s="17">
        <v>30</v>
      </c>
      <c r="N2379" s="17">
        <v>785</v>
      </c>
      <c r="O2379" s="18" t="s">
        <v>19</v>
      </c>
      <c r="P2379" s="18">
        <v>785</v>
      </c>
      <c r="Q2379" s="18">
        <v>30</v>
      </c>
      <c r="R2379" s="18" t="s">
        <v>778</v>
      </c>
      <c r="S2379" s="18" t="s">
        <v>942</v>
      </c>
      <c r="T2379" s="18" t="s">
        <v>780</v>
      </c>
      <c r="U23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79" s="19">
        <f>IF(AUDITORIA[[#This Row],[CAT]]="",0,1)</f>
        <v>1</v>
      </c>
      <c r="W2379" s="20">
        <v>46233</v>
      </c>
      <c r="X2379" s="21" t="s">
        <v>906</v>
      </c>
      <c r="Y2379" s="24" t="s">
        <v>901</v>
      </c>
      <c r="Z2379" s="24" t="s">
        <v>945</v>
      </c>
      <c r="AA2379" s="24" t="s">
        <v>946</v>
      </c>
    </row>
    <row r="2380" spans="1:27" ht="14.4" hidden="1" customHeight="1" x14ac:dyDescent="0.3">
      <c r="A2380" s="29" t="s">
        <v>279</v>
      </c>
      <c r="B2380" s="4" t="s">
        <v>17</v>
      </c>
      <c r="C2380" s="16" t="s">
        <v>18</v>
      </c>
      <c r="D2380" s="4">
        <v>11</v>
      </c>
      <c r="E2380" s="4" t="s">
        <v>745</v>
      </c>
      <c r="F2380" t="s">
        <v>362</v>
      </c>
      <c r="G2380" t="s">
        <v>290</v>
      </c>
      <c r="J2380" s="4" t="s">
        <v>19</v>
      </c>
      <c r="K2380" s="4" t="s">
        <v>20</v>
      </c>
      <c r="L2380" s="4" t="s">
        <v>742</v>
      </c>
      <c r="M2380" s="17">
        <v>30</v>
      </c>
      <c r="N2380" s="17">
        <v>797</v>
      </c>
      <c r="O2380" s="18" t="s">
        <v>19</v>
      </c>
      <c r="P2380" s="18">
        <v>707</v>
      </c>
      <c r="Q2380" s="18">
        <v>30</v>
      </c>
      <c r="R2380" s="18" t="s">
        <v>778</v>
      </c>
      <c r="S2380" s="18" t="s">
        <v>942</v>
      </c>
      <c r="T2380" s="18" t="s">
        <v>794</v>
      </c>
      <c r="U23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80" s="19">
        <f>IF(AUDITORIA[[#This Row],[CAT]]="",0,1)</f>
        <v>1</v>
      </c>
      <c r="W2380" s="20">
        <v>46233</v>
      </c>
      <c r="X2380" s="21" t="s">
        <v>906</v>
      </c>
      <c r="Y2380" s="24" t="s">
        <v>901</v>
      </c>
      <c r="Z2380" s="24" t="s">
        <v>945</v>
      </c>
      <c r="AA2380" s="24" t="s">
        <v>946</v>
      </c>
    </row>
    <row r="2381" spans="1:27" ht="14.4" hidden="1" customHeight="1" x14ac:dyDescent="0.3">
      <c r="A2381" s="29" t="s">
        <v>279</v>
      </c>
      <c r="B2381" s="4" t="s">
        <v>17</v>
      </c>
      <c r="C2381" s="16" t="s">
        <v>18</v>
      </c>
      <c r="D2381" s="4">
        <v>11</v>
      </c>
      <c r="E2381" s="4" t="s">
        <v>745</v>
      </c>
      <c r="F2381" t="s">
        <v>364</v>
      </c>
      <c r="G2381" t="s">
        <v>106</v>
      </c>
      <c r="J2381" s="4" t="s">
        <v>19</v>
      </c>
      <c r="K2381" s="4" t="s">
        <v>20</v>
      </c>
      <c r="L2381" s="4" t="s">
        <v>742</v>
      </c>
      <c r="M2381" s="17">
        <v>30</v>
      </c>
      <c r="N2381" s="17">
        <v>846</v>
      </c>
      <c r="O2381" s="18" t="s">
        <v>19</v>
      </c>
      <c r="P2381" s="18">
        <v>846</v>
      </c>
      <c r="Q2381" s="18">
        <v>30</v>
      </c>
      <c r="R2381" s="18" t="s">
        <v>778</v>
      </c>
      <c r="S2381" s="18" t="s">
        <v>882</v>
      </c>
      <c r="T2381" s="18" t="s">
        <v>781</v>
      </c>
      <c r="U23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81" s="19">
        <f>IF(AUDITORIA[[#This Row],[CAT]]="",0,1)</f>
        <v>1</v>
      </c>
      <c r="W2381" s="20">
        <v>46233</v>
      </c>
      <c r="X2381" s="21" t="s">
        <v>906</v>
      </c>
      <c r="Y2381" s="24" t="s">
        <v>901</v>
      </c>
      <c r="Z2381" s="24" t="s">
        <v>945</v>
      </c>
      <c r="AA2381" s="24" t="s">
        <v>946</v>
      </c>
    </row>
    <row r="2382" spans="1:27" ht="19.95" hidden="1" customHeight="1" x14ac:dyDescent="0.3">
      <c r="A2382" s="29" t="s">
        <v>279</v>
      </c>
      <c r="B2382" s="4" t="s">
        <v>17</v>
      </c>
      <c r="C2382" s="16" t="s">
        <v>18</v>
      </c>
      <c r="D2382" s="4">
        <v>11</v>
      </c>
      <c r="E2382" s="4" t="s">
        <v>745</v>
      </c>
      <c r="F2382" t="s">
        <v>365</v>
      </c>
      <c r="G2382" t="s">
        <v>290</v>
      </c>
      <c r="J2382" s="4" t="s">
        <v>19</v>
      </c>
      <c r="K2382" s="4" t="s">
        <v>20</v>
      </c>
      <c r="L2382" s="4" t="s">
        <v>742</v>
      </c>
      <c r="M2382" s="17">
        <v>30</v>
      </c>
      <c r="N2382" s="17">
        <v>802</v>
      </c>
      <c r="O2382" s="18" t="s">
        <v>19</v>
      </c>
      <c r="P2382" s="18">
        <v>802</v>
      </c>
      <c r="Q2382" s="18">
        <v>30</v>
      </c>
      <c r="R2382" s="18" t="s">
        <v>778</v>
      </c>
      <c r="S2382" s="18" t="s">
        <v>942</v>
      </c>
      <c r="T2382" s="18" t="s">
        <v>782</v>
      </c>
      <c r="U23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82" s="19">
        <f>IF(AUDITORIA[[#This Row],[CAT]]="",0,1)</f>
        <v>1</v>
      </c>
      <c r="W2382" s="20">
        <v>46233</v>
      </c>
      <c r="X2382" s="21" t="s">
        <v>906</v>
      </c>
      <c r="Y2382" s="24" t="s">
        <v>901</v>
      </c>
      <c r="Z2382" s="24" t="s">
        <v>945</v>
      </c>
      <c r="AA2382" s="24" t="s">
        <v>946</v>
      </c>
    </row>
    <row r="2383" spans="1:27" hidden="1" x14ac:dyDescent="0.3">
      <c r="A2383" s="29" t="s">
        <v>279</v>
      </c>
      <c r="B2383" s="4" t="s">
        <v>17</v>
      </c>
      <c r="C2383" s="16" t="s">
        <v>18</v>
      </c>
      <c r="D2383" s="4">
        <v>11</v>
      </c>
      <c r="E2383" s="4" t="s">
        <v>745</v>
      </c>
      <c r="F2383" t="s">
        <v>372</v>
      </c>
      <c r="G2383" t="s">
        <v>66</v>
      </c>
      <c r="J2383" s="4" t="s">
        <v>55</v>
      </c>
      <c r="K2383" s="4" t="s">
        <v>20</v>
      </c>
      <c r="L2383" s="4" t="s">
        <v>742</v>
      </c>
      <c r="M2383" s="17">
        <v>20</v>
      </c>
      <c r="N2383" s="17">
        <v>792</v>
      </c>
      <c r="O2383" s="18" t="s">
        <v>55</v>
      </c>
      <c r="P2383" s="18">
        <v>792</v>
      </c>
      <c r="Q2383" s="18">
        <v>20</v>
      </c>
      <c r="R2383" s="18" t="s">
        <v>778</v>
      </c>
      <c r="S2383" s="18" t="s">
        <v>852</v>
      </c>
      <c r="T2383" s="18" t="s">
        <v>840</v>
      </c>
      <c r="U23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83" s="19">
        <f>IF(AUDITORIA[[#This Row],[CAT]]="",0,1)</f>
        <v>1</v>
      </c>
      <c r="W2383" s="20">
        <v>46233</v>
      </c>
      <c r="X2383" s="21" t="s">
        <v>906</v>
      </c>
      <c r="Y2383" s="24" t="s">
        <v>901</v>
      </c>
      <c r="Z2383" s="24" t="s">
        <v>945</v>
      </c>
      <c r="AA2383" s="24" t="s">
        <v>946</v>
      </c>
    </row>
    <row r="2384" spans="1:27" hidden="1" x14ac:dyDescent="0.3">
      <c r="A2384" s="29" t="s">
        <v>279</v>
      </c>
      <c r="B2384" s="4" t="s">
        <v>17</v>
      </c>
      <c r="C2384" s="16" t="s">
        <v>18</v>
      </c>
      <c r="D2384" s="4">
        <v>11</v>
      </c>
      <c r="E2384" s="4" t="s">
        <v>745</v>
      </c>
      <c r="F2384" t="s">
        <v>373</v>
      </c>
      <c r="G2384" t="s">
        <v>290</v>
      </c>
      <c r="J2384" s="4" t="s">
        <v>19</v>
      </c>
      <c r="K2384" s="4" t="s">
        <v>20</v>
      </c>
      <c r="L2384" s="4" t="s">
        <v>742</v>
      </c>
      <c r="M2384" s="17">
        <v>30</v>
      </c>
      <c r="N2384" s="17">
        <v>792</v>
      </c>
      <c r="O2384" s="18" t="s">
        <v>19</v>
      </c>
      <c r="P2384" s="18">
        <v>792</v>
      </c>
      <c r="Q2384" s="18">
        <v>30</v>
      </c>
      <c r="R2384" s="18" t="s">
        <v>778</v>
      </c>
      <c r="S2384" s="18" t="s">
        <v>942</v>
      </c>
      <c r="T2384" s="18" t="s">
        <v>781</v>
      </c>
      <c r="U23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84" s="19">
        <f>IF(AUDITORIA[[#This Row],[CAT]]="",0,1)</f>
        <v>1</v>
      </c>
      <c r="W2384" s="20">
        <v>46233</v>
      </c>
      <c r="X2384" s="21" t="s">
        <v>906</v>
      </c>
      <c r="Y2384" s="24" t="s">
        <v>901</v>
      </c>
      <c r="Z2384" s="24" t="s">
        <v>945</v>
      </c>
      <c r="AA2384" s="24" t="s">
        <v>946</v>
      </c>
    </row>
    <row r="2385" spans="1:27" hidden="1" x14ac:dyDescent="0.3">
      <c r="A2385" s="29" t="s">
        <v>279</v>
      </c>
      <c r="B2385" s="4" t="s">
        <v>17</v>
      </c>
      <c r="C2385" s="16" t="s">
        <v>18</v>
      </c>
      <c r="D2385" s="4">
        <v>11</v>
      </c>
      <c r="E2385" s="4" t="s">
        <v>745</v>
      </c>
      <c r="F2385" t="s">
        <v>358</v>
      </c>
      <c r="G2385" t="s">
        <v>290</v>
      </c>
      <c r="J2385" s="4" t="s">
        <v>19</v>
      </c>
      <c r="K2385" s="4" t="s">
        <v>21</v>
      </c>
      <c r="L2385" s="4" t="s">
        <v>742</v>
      </c>
      <c r="M2385" s="17">
        <v>27</v>
      </c>
      <c r="N2385" s="17">
        <v>998</v>
      </c>
      <c r="O2385" s="18" t="s">
        <v>19</v>
      </c>
      <c r="P2385" s="18">
        <v>998</v>
      </c>
      <c r="Q2385" s="18">
        <v>27</v>
      </c>
      <c r="R2385" s="18" t="s">
        <v>778</v>
      </c>
      <c r="S2385" s="18" t="s">
        <v>890</v>
      </c>
      <c r="T2385" s="18" t="s">
        <v>782</v>
      </c>
      <c r="U23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85" s="19">
        <f>IF(AUDITORIA[[#This Row],[CAT]]="",0,1)</f>
        <v>1</v>
      </c>
      <c r="W2385" s="20">
        <v>46233</v>
      </c>
      <c r="X2385" s="21" t="s">
        <v>906</v>
      </c>
      <c r="Y2385" s="24" t="s">
        <v>901</v>
      </c>
      <c r="Z2385" s="24" t="s">
        <v>945</v>
      </c>
      <c r="AA2385" s="24" t="s">
        <v>946</v>
      </c>
    </row>
    <row r="2386" spans="1:27" hidden="1" x14ac:dyDescent="0.3">
      <c r="A2386" s="29" t="s">
        <v>279</v>
      </c>
      <c r="B2386" s="4" t="s">
        <v>17</v>
      </c>
      <c r="C2386" s="16" t="s">
        <v>18</v>
      </c>
      <c r="D2386" s="4">
        <v>11</v>
      </c>
      <c r="E2386" s="4" t="s">
        <v>745</v>
      </c>
      <c r="F2386" t="s">
        <v>360</v>
      </c>
      <c r="G2386" t="s">
        <v>106</v>
      </c>
      <c r="J2386" s="4" t="s">
        <v>19</v>
      </c>
      <c r="K2386" s="4" t="s">
        <v>20</v>
      </c>
      <c r="L2386" s="4" t="s">
        <v>742</v>
      </c>
      <c r="M2386" s="17">
        <v>30</v>
      </c>
      <c r="N2386" s="17">
        <v>853</v>
      </c>
      <c r="O2386" s="18" t="s">
        <v>19</v>
      </c>
      <c r="P2386" s="18">
        <v>853</v>
      </c>
      <c r="Q2386" s="18">
        <v>30</v>
      </c>
      <c r="R2386" s="18" t="s">
        <v>778</v>
      </c>
      <c r="S2386" s="18" t="s">
        <v>882</v>
      </c>
      <c r="T2386" s="18" t="s">
        <v>782</v>
      </c>
      <c r="U23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86" s="19">
        <f>IF(AUDITORIA[[#This Row],[CAT]]="",0,1)</f>
        <v>1</v>
      </c>
      <c r="W2386" s="20">
        <v>46233</v>
      </c>
      <c r="X2386" s="21" t="s">
        <v>906</v>
      </c>
      <c r="Y2386" s="24" t="s">
        <v>901</v>
      </c>
      <c r="Z2386" s="24" t="s">
        <v>945</v>
      </c>
      <c r="AA2386" s="24" t="s">
        <v>946</v>
      </c>
    </row>
    <row r="2387" spans="1:27" hidden="1" x14ac:dyDescent="0.3">
      <c r="A2387" s="29" t="s">
        <v>279</v>
      </c>
      <c r="B2387" s="4" t="s">
        <v>17</v>
      </c>
      <c r="C2387" s="16" t="s">
        <v>18</v>
      </c>
      <c r="D2387" s="4">
        <v>11</v>
      </c>
      <c r="E2387" s="4" t="s">
        <v>745</v>
      </c>
      <c r="F2387" t="s">
        <v>361</v>
      </c>
      <c r="G2387" t="s">
        <v>106</v>
      </c>
      <c r="J2387" s="4" t="s">
        <v>19</v>
      </c>
      <c r="K2387" s="4" t="s">
        <v>21</v>
      </c>
      <c r="L2387" s="4" t="s">
        <v>742</v>
      </c>
      <c r="M2387" s="17">
        <v>0</v>
      </c>
      <c r="N2387" s="17">
        <v>1030</v>
      </c>
      <c r="O2387" s="18" t="s">
        <v>19</v>
      </c>
      <c r="P2387" s="30" t="s">
        <v>905</v>
      </c>
      <c r="Q2387" s="30">
        <v>0</v>
      </c>
      <c r="R2387" s="30" t="s">
        <v>905</v>
      </c>
      <c r="S2387" s="30" t="s">
        <v>905</v>
      </c>
      <c r="T2387" s="30" t="s">
        <v>905</v>
      </c>
      <c r="U23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87" s="19">
        <v>0</v>
      </c>
      <c r="W2387" s="20">
        <v>46233</v>
      </c>
      <c r="X2387" s="21" t="s">
        <v>906</v>
      </c>
      <c r="Y2387" s="24" t="s">
        <v>901</v>
      </c>
      <c r="Z2387" s="24" t="s">
        <v>945</v>
      </c>
      <c r="AA2387" s="24" t="s">
        <v>946</v>
      </c>
    </row>
    <row r="2388" spans="1:27" hidden="1" x14ac:dyDescent="0.3">
      <c r="A2388" s="29" t="s">
        <v>279</v>
      </c>
      <c r="B2388" s="4" t="s">
        <v>17</v>
      </c>
      <c r="C2388" s="16" t="s">
        <v>18</v>
      </c>
      <c r="D2388" s="4">
        <v>11</v>
      </c>
      <c r="E2388" s="4" t="s">
        <v>745</v>
      </c>
      <c r="F2388" t="s">
        <v>363</v>
      </c>
      <c r="G2388" t="s">
        <v>106</v>
      </c>
      <c r="J2388" s="4" t="s">
        <v>19</v>
      </c>
      <c r="K2388" s="4" t="s">
        <v>20</v>
      </c>
      <c r="L2388" s="4" t="s">
        <v>742</v>
      </c>
      <c r="M2388" s="17">
        <v>0</v>
      </c>
      <c r="N2388" s="17">
        <v>834</v>
      </c>
      <c r="O2388" s="18" t="s">
        <v>19</v>
      </c>
      <c r="P2388" s="30" t="s">
        <v>905</v>
      </c>
      <c r="Q2388" s="30">
        <v>0</v>
      </c>
      <c r="R2388" s="30" t="s">
        <v>905</v>
      </c>
      <c r="S2388" s="30" t="s">
        <v>905</v>
      </c>
      <c r="T2388" s="30" t="s">
        <v>905</v>
      </c>
      <c r="U23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88" s="19">
        <v>0</v>
      </c>
      <c r="W2388" s="20">
        <v>46233</v>
      </c>
      <c r="X2388" s="21" t="s">
        <v>906</v>
      </c>
      <c r="Y2388" s="24" t="s">
        <v>901</v>
      </c>
      <c r="Z2388" s="24" t="s">
        <v>945</v>
      </c>
      <c r="AA2388" s="24" t="s">
        <v>946</v>
      </c>
    </row>
    <row r="2389" spans="1:27" hidden="1" x14ac:dyDescent="0.3">
      <c r="A2389" s="29" t="s">
        <v>279</v>
      </c>
      <c r="B2389" s="4" t="s">
        <v>17</v>
      </c>
      <c r="C2389" s="16" t="s">
        <v>18</v>
      </c>
      <c r="D2389" s="4">
        <v>11</v>
      </c>
      <c r="E2389" s="4" t="s">
        <v>745</v>
      </c>
      <c r="F2389" t="s">
        <v>366</v>
      </c>
      <c r="G2389" t="s">
        <v>106</v>
      </c>
      <c r="J2389" s="4" t="s">
        <v>19</v>
      </c>
      <c r="K2389" s="4" t="s">
        <v>21</v>
      </c>
      <c r="L2389" s="4" t="s">
        <v>742</v>
      </c>
      <c r="M2389" s="17">
        <v>24</v>
      </c>
      <c r="N2389" s="17">
        <v>1029</v>
      </c>
      <c r="O2389" s="18" t="s">
        <v>19</v>
      </c>
      <c r="P2389" s="18">
        <v>1029</v>
      </c>
      <c r="Q2389" s="18">
        <v>24</v>
      </c>
      <c r="R2389" s="18" t="s">
        <v>778</v>
      </c>
      <c r="S2389" s="18" t="s">
        <v>877</v>
      </c>
      <c r="T2389" s="18" t="s">
        <v>782</v>
      </c>
      <c r="U23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89" s="19">
        <f>IF(AUDITORIA[[#This Row],[CAT]]="",0,1)</f>
        <v>1</v>
      </c>
      <c r="W2389" s="20">
        <v>46233</v>
      </c>
      <c r="X2389" s="21" t="s">
        <v>906</v>
      </c>
      <c r="Y2389" s="24" t="s">
        <v>901</v>
      </c>
      <c r="Z2389" s="24" t="s">
        <v>945</v>
      </c>
      <c r="AA2389" s="24" t="s">
        <v>946</v>
      </c>
    </row>
    <row r="2390" spans="1:27" hidden="1" x14ac:dyDescent="0.3">
      <c r="A2390" s="29" t="s">
        <v>279</v>
      </c>
      <c r="B2390" s="4" t="s">
        <v>17</v>
      </c>
      <c r="C2390" s="16" t="s">
        <v>18</v>
      </c>
      <c r="D2390" s="4">
        <v>11</v>
      </c>
      <c r="E2390" s="4" t="s">
        <v>745</v>
      </c>
      <c r="F2390" t="s">
        <v>346</v>
      </c>
      <c r="G2390" t="s">
        <v>290</v>
      </c>
      <c r="J2390" s="4" t="s">
        <v>19</v>
      </c>
      <c r="K2390" s="4" t="s">
        <v>21</v>
      </c>
      <c r="L2390" s="4" t="s">
        <v>742</v>
      </c>
      <c r="M2390" s="17">
        <v>27</v>
      </c>
      <c r="N2390" s="17">
        <v>931</v>
      </c>
      <c r="O2390" s="18" t="s">
        <v>19</v>
      </c>
      <c r="P2390" s="18">
        <v>931</v>
      </c>
      <c r="Q2390" s="18">
        <v>27</v>
      </c>
      <c r="R2390" s="18" t="s">
        <v>778</v>
      </c>
      <c r="S2390" s="18" t="s">
        <v>890</v>
      </c>
      <c r="T2390" s="18" t="s">
        <v>781</v>
      </c>
      <c r="U23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90" s="19">
        <f>IF(AUDITORIA[[#This Row],[CAT]]="",0,1)</f>
        <v>1</v>
      </c>
      <c r="W2390" s="20">
        <v>46233</v>
      </c>
      <c r="X2390" s="21" t="s">
        <v>906</v>
      </c>
      <c r="Y2390" s="24" t="s">
        <v>901</v>
      </c>
      <c r="Z2390" s="24" t="s">
        <v>945</v>
      </c>
      <c r="AA2390" s="24" t="s">
        <v>946</v>
      </c>
    </row>
    <row r="2391" spans="1:27" hidden="1" x14ac:dyDescent="0.3">
      <c r="A2391" s="29" t="s">
        <v>279</v>
      </c>
      <c r="B2391" s="4" t="s">
        <v>17</v>
      </c>
      <c r="C2391" s="16" t="s">
        <v>18</v>
      </c>
      <c r="D2391" s="4">
        <v>11</v>
      </c>
      <c r="E2391" s="4" t="s">
        <v>745</v>
      </c>
      <c r="F2391" t="s">
        <v>347</v>
      </c>
      <c r="G2391" t="s">
        <v>106</v>
      </c>
      <c r="J2391" s="4" t="s">
        <v>19</v>
      </c>
      <c r="K2391" s="4" t="s">
        <v>21</v>
      </c>
      <c r="L2391" s="4" t="s">
        <v>742</v>
      </c>
      <c r="M2391" s="17">
        <v>0</v>
      </c>
      <c r="N2391" s="17">
        <v>1019</v>
      </c>
      <c r="O2391" s="18" t="s">
        <v>19</v>
      </c>
      <c r="P2391" s="30" t="s">
        <v>905</v>
      </c>
      <c r="Q2391" s="30">
        <v>0</v>
      </c>
      <c r="R2391" s="30" t="s">
        <v>905</v>
      </c>
      <c r="S2391" s="30" t="s">
        <v>905</v>
      </c>
      <c r="T2391" s="30" t="s">
        <v>905</v>
      </c>
      <c r="U23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91" s="19">
        <v>0</v>
      </c>
      <c r="W2391" s="20">
        <v>46233</v>
      </c>
      <c r="X2391" s="21" t="s">
        <v>906</v>
      </c>
      <c r="Y2391" s="24" t="s">
        <v>901</v>
      </c>
      <c r="Z2391" s="24" t="s">
        <v>945</v>
      </c>
      <c r="AA2391" s="24" t="s">
        <v>946</v>
      </c>
    </row>
    <row r="2392" spans="1:27" hidden="1" x14ac:dyDescent="0.3">
      <c r="A2392" s="29" t="s">
        <v>279</v>
      </c>
      <c r="B2392" s="4" t="s">
        <v>17</v>
      </c>
      <c r="C2392" s="16" t="s">
        <v>18</v>
      </c>
      <c r="D2392" s="4">
        <v>11</v>
      </c>
      <c r="E2392" s="4" t="s">
        <v>745</v>
      </c>
      <c r="F2392" t="s">
        <v>349</v>
      </c>
      <c r="G2392" t="s">
        <v>106</v>
      </c>
      <c r="J2392" s="4" t="s">
        <v>19</v>
      </c>
      <c r="K2392" s="4" t="s">
        <v>20</v>
      </c>
      <c r="L2392" s="4" t="s">
        <v>742</v>
      </c>
      <c r="M2392" s="17">
        <v>30</v>
      </c>
      <c r="N2392" s="17">
        <v>844</v>
      </c>
      <c r="O2392" s="18" t="s">
        <v>19</v>
      </c>
      <c r="P2392" s="18">
        <v>844</v>
      </c>
      <c r="Q2392" s="18">
        <v>30</v>
      </c>
      <c r="R2392" s="18" t="s">
        <v>778</v>
      </c>
      <c r="S2392" s="18" t="s">
        <v>884</v>
      </c>
      <c r="T2392" s="18" t="s">
        <v>780</v>
      </c>
      <c r="U23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92" s="19">
        <f>IF(AUDITORIA[[#This Row],[CAT]]="",0,1)</f>
        <v>1</v>
      </c>
      <c r="W2392" s="20">
        <v>46233</v>
      </c>
      <c r="X2392" s="21" t="s">
        <v>906</v>
      </c>
      <c r="Y2392" s="24" t="s">
        <v>901</v>
      </c>
      <c r="Z2392" s="24" t="s">
        <v>945</v>
      </c>
      <c r="AA2392" s="24" t="s">
        <v>946</v>
      </c>
    </row>
    <row r="2393" spans="1:27" hidden="1" x14ac:dyDescent="0.3">
      <c r="A2393" s="29" t="s">
        <v>279</v>
      </c>
      <c r="B2393" s="4" t="s">
        <v>17</v>
      </c>
      <c r="C2393" s="16" t="s">
        <v>18</v>
      </c>
      <c r="D2393" s="4">
        <v>11</v>
      </c>
      <c r="E2393" s="4" t="s">
        <v>745</v>
      </c>
      <c r="F2393" t="s">
        <v>350</v>
      </c>
      <c r="G2393" t="s">
        <v>106</v>
      </c>
      <c r="J2393" s="4" t="s">
        <v>19</v>
      </c>
      <c r="K2393" s="4" t="s">
        <v>21</v>
      </c>
      <c r="L2393" s="4" t="s">
        <v>742</v>
      </c>
      <c r="M2393" s="17">
        <v>0</v>
      </c>
      <c r="N2393" s="17">
        <v>1031</v>
      </c>
      <c r="O2393" s="18" t="s">
        <v>19</v>
      </c>
      <c r="P2393" s="30" t="s">
        <v>905</v>
      </c>
      <c r="Q2393" s="30">
        <v>0</v>
      </c>
      <c r="R2393" s="30" t="s">
        <v>905</v>
      </c>
      <c r="S2393" s="30" t="s">
        <v>905</v>
      </c>
      <c r="T2393" s="30" t="s">
        <v>905</v>
      </c>
      <c r="U23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93" s="19">
        <v>0</v>
      </c>
      <c r="W2393" s="20">
        <v>46233</v>
      </c>
      <c r="X2393" s="21" t="s">
        <v>906</v>
      </c>
      <c r="Y2393" s="24" t="s">
        <v>901</v>
      </c>
      <c r="Z2393" s="24" t="s">
        <v>945</v>
      </c>
      <c r="AA2393" s="24" t="s">
        <v>946</v>
      </c>
    </row>
    <row r="2394" spans="1:27" hidden="1" x14ac:dyDescent="0.3">
      <c r="A2394" s="29" t="s">
        <v>279</v>
      </c>
      <c r="B2394" s="4" t="s">
        <v>17</v>
      </c>
      <c r="C2394" s="16" t="s">
        <v>18</v>
      </c>
      <c r="D2394" s="4">
        <v>11</v>
      </c>
      <c r="E2394" s="4" t="s">
        <v>745</v>
      </c>
      <c r="F2394" t="s">
        <v>352</v>
      </c>
      <c r="G2394" t="s">
        <v>106</v>
      </c>
      <c r="J2394" s="4" t="s">
        <v>19</v>
      </c>
      <c r="K2394" s="4" t="s">
        <v>20</v>
      </c>
      <c r="L2394" s="4" t="s">
        <v>742</v>
      </c>
      <c r="M2394" s="17">
        <v>30</v>
      </c>
      <c r="N2394" s="17">
        <v>833</v>
      </c>
      <c r="O2394" s="18" t="s">
        <v>19</v>
      </c>
      <c r="P2394" s="18">
        <v>833</v>
      </c>
      <c r="Q2394" s="18">
        <v>30</v>
      </c>
      <c r="R2394" s="18" t="s">
        <v>778</v>
      </c>
      <c r="S2394" s="18" t="s">
        <v>882</v>
      </c>
      <c r="T2394" s="18" t="s">
        <v>794</v>
      </c>
      <c r="U23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94" s="19">
        <f>IF(AUDITORIA[[#This Row],[CAT]]="",0,1)</f>
        <v>1</v>
      </c>
      <c r="W2394" s="20">
        <v>46233</v>
      </c>
      <c r="X2394" s="21" t="s">
        <v>906</v>
      </c>
      <c r="Y2394" s="24" t="s">
        <v>901</v>
      </c>
      <c r="Z2394" s="24" t="s">
        <v>945</v>
      </c>
      <c r="AA2394" s="24" t="s">
        <v>946</v>
      </c>
    </row>
    <row r="2395" spans="1:27" hidden="1" x14ac:dyDescent="0.3">
      <c r="A2395" s="29" t="s">
        <v>279</v>
      </c>
      <c r="B2395" s="4" t="s">
        <v>17</v>
      </c>
      <c r="C2395" s="16" t="s">
        <v>18</v>
      </c>
      <c r="D2395" s="4">
        <v>11</v>
      </c>
      <c r="E2395" s="4" t="s">
        <v>745</v>
      </c>
      <c r="F2395" t="s">
        <v>353</v>
      </c>
      <c r="G2395" t="s">
        <v>106</v>
      </c>
      <c r="J2395" s="4" t="s">
        <v>19</v>
      </c>
      <c r="K2395" s="4" t="s">
        <v>21</v>
      </c>
      <c r="L2395" s="4" t="s">
        <v>742</v>
      </c>
      <c r="M2395" s="17">
        <v>0</v>
      </c>
      <c r="N2395" s="17">
        <v>1023</v>
      </c>
      <c r="O2395" s="18" t="s">
        <v>19</v>
      </c>
      <c r="P2395" s="30" t="s">
        <v>905</v>
      </c>
      <c r="Q2395" s="30">
        <v>0</v>
      </c>
      <c r="R2395" s="30" t="s">
        <v>905</v>
      </c>
      <c r="S2395" s="30" t="s">
        <v>905</v>
      </c>
      <c r="T2395" s="30" t="s">
        <v>905</v>
      </c>
      <c r="U23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95" s="19">
        <v>0</v>
      </c>
      <c r="W2395" s="20">
        <v>46233</v>
      </c>
      <c r="X2395" s="21" t="s">
        <v>906</v>
      </c>
      <c r="Y2395" s="24" t="s">
        <v>901</v>
      </c>
      <c r="Z2395" s="24" t="s">
        <v>945</v>
      </c>
      <c r="AA2395" s="24" t="s">
        <v>946</v>
      </c>
    </row>
    <row r="2396" spans="1:27" hidden="1" x14ac:dyDescent="0.3">
      <c r="A2396" s="29" t="s">
        <v>279</v>
      </c>
      <c r="B2396" s="4" t="s">
        <v>17</v>
      </c>
      <c r="C2396" s="16" t="s">
        <v>18</v>
      </c>
      <c r="D2396" s="4">
        <v>11</v>
      </c>
      <c r="E2396" s="4" t="s">
        <v>745</v>
      </c>
      <c r="F2396" t="s">
        <v>354</v>
      </c>
      <c r="G2396" t="s">
        <v>290</v>
      </c>
      <c r="J2396" s="4" t="s">
        <v>19</v>
      </c>
      <c r="K2396" s="4" t="s">
        <v>20</v>
      </c>
      <c r="L2396" s="4" t="s">
        <v>742</v>
      </c>
      <c r="M2396" s="17">
        <v>30</v>
      </c>
      <c r="N2396" s="17">
        <v>764</v>
      </c>
      <c r="O2396" s="18" t="s">
        <v>19</v>
      </c>
      <c r="P2396" s="18">
        <v>764</v>
      </c>
      <c r="Q2396" s="18">
        <v>30</v>
      </c>
      <c r="R2396" s="18" t="s">
        <v>778</v>
      </c>
      <c r="S2396" s="18" t="s">
        <v>942</v>
      </c>
      <c r="T2396" s="18" t="s">
        <v>843</v>
      </c>
      <c r="U23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96" s="19">
        <f>IF(AUDITORIA[[#This Row],[CAT]]="",0,1)</f>
        <v>1</v>
      </c>
      <c r="W2396" s="20">
        <v>46233</v>
      </c>
      <c r="X2396" s="21" t="s">
        <v>906</v>
      </c>
      <c r="Y2396" s="24" t="s">
        <v>901</v>
      </c>
      <c r="Z2396" s="24" t="s">
        <v>945</v>
      </c>
      <c r="AA2396" s="24" t="s">
        <v>946</v>
      </c>
    </row>
    <row r="2397" spans="1:27" hidden="1" x14ac:dyDescent="0.3">
      <c r="A2397" s="29" t="s">
        <v>279</v>
      </c>
      <c r="B2397" s="4" t="s">
        <v>17</v>
      </c>
      <c r="C2397" s="16" t="s">
        <v>18</v>
      </c>
      <c r="D2397" s="4">
        <v>11</v>
      </c>
      <c r="E2397" s="4" t="s">
        <v>745</v>
      </c>
      <c r="F2397" t="s">
        <v>355</v>
      </c>
      <c r="G2397" t="s">
        <v>106</v>
      </c>
      <c r="J2397" s="4" t="s">
        <v>19</v>
      </c>
      <c r="K2397" s="4" t="s">
        <v>20</v>
      </c>
      <c r="L2397" s="4" t="s">
        <v>742</v>
      </c>
      <c r="M2397" s="17">
        <v>0</v>
      </c>
      <c r="N2397" s="17">
        <v>853</v>
      </c>
      <c r="O2397" s="18" t="s">
        <v>19</v>
      </c>
      <c r="P2397" s="30" t="s">
        <v>905</v>
      </c>
      <c r="Q2397" s="30">
        <v>0</v>
      </c>
      <c r="R2397" s="30" t="s">
        <v>905</v>
      </c>
      <c r="S2397" s="30" t="s">
        <v>905</v>
      </c>
      <c r="T2397" s="30" t="s">
        <v>905</v>
      </c>
      <c r="U23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97" s="19">
        <v>0</v>
      </c>
      <c r="W2397" s="20">
        <v>46233</v>
      </c>
      <c r="X2397" s="21" t="s">
        <v>906</v>
      </c>
      <c r="Y2397" s="24" t="s">
        <v>901</v>
      </c>
      <c r="Z2397" s="24" t="s">
        <v>945</v>
      </c>
      <c r="AA2397" s="24" t="s">
        <v>946</v>
      </c>
    </row>
    <row r="2398" spans="1:27" hidden="1" x14ac:dyDescent="0.3">
      <c r="A2398" s="29" t="s">
        <v>279</v>
      </c>
      <c r="B2398" s="4" t="s">
        <v>17</v>
      </c>
      <c r="C2398" s="16" t="s">
        <v>18</v>
      </c>
      <c r="D2398" s="4">
        <v>11</v>
      </c>
      <c r="E2398" s="4" t="s">
        <v>745</v>
      </c>
      <c r="F2398" t="s">
        <v>356</v>
      </c>
      <c r="G2398" t="s">
        <v>106</v>
      </c>
      <c r="J2398" s="4" t="s">
        <v>19</v>
      </c>
      <c r="K2398" s="4" t="s">
        <v>20</v>
      </c>
      <c r="L2398" s="4" t="s">
        <v>742</v>
      </c>
      <c r="M2398" s="17">
        <v>0</v>
      </c>
      <c r="N2398" s="17">
        <v>849</v>
      </c>
      <c r="O2398" s="18" t="s">
        <v>19</v>
      </c>
      <c r="P2398" s="30" t="s">
        <v>905</v>
      </c>
      <c r="Q2398" s="30">
        <v>0</v>
      </c>
      <c r="R2398" s="30" t="s">
        <v>905</v>
      </c>
      <c r="S2398" s="30" t="s">
        <v>905</v>
      </c>
      <c r="T2398" s="30" t="s">
        <v>905</v>
      </c>
      <c r="U23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98" s="19">
        <v>0</v>
      </c>
      <c r="W2398" s="20">
        <v>46233</v>
      </c>
      <c r="X2398" s="21" t="s">
        <v>906</v>
      </c>
      <c r="Y2398" s="24" t="s">
        <v>901</v>
      </c>
      <c r="Z2398" s="24" t="s">
        <v>945</v>
      </c>
      <c r="AA2398" s="24" t="s">
        <v>946</v>
      </c>
    </row>
    <row r="2399" spans="1:27" hidden="1" x14ac:dyDescent="0.3">
      <c r="A2399" s="29" t="s">
        <v>279</v>
      </c>
      <c r="B2399" s="4" t="s">
        <v>17</v>
      </c>
      <c r="C2399" s="16" t="s">
        <v>18</v>
      </c>
      <c r="D2399" s="4">
        <v>11</v>
      </c>
      <c r="E2399" s="4" t="s">
        <v>745</v>
      </c>
      <c r="F2399" t="s">
        <v>359</v>
      </c>
      <c r="G2399" t="s">
        <v>106</v>
      </c>
      <c r="J2399" s="4" t="s">
        <v>19</v>
      </c>
      <c r="K2399" s="4" t="s">
        <v>21</v>
      </c>
      <c r="L2399" s="4" t="s">
        <v>742</v>
      </c>
      <c r="M2399" s="17">
        <v>0</v>
      </c>
      <c r="N2399" s="17">
        <v>1026</v>
      </c>
      <c r="O2399" s="18" t="s">
        <v>19</v>
      </c>
      <c r="P2399" s="30" t="s">
        <v>905</v>
      </c>
      <c r="Q2399" s="30">
        <v>0</v>
      </c>
      <c r="R2399" s="30" t="s">
        <v>905</v>
      </c>
      <c r="S2399" s="30" t="s">
        <v>905</v>
      </c>
      <c r="T2399" s="30" t="s">
        <v>905</v>
      </c>
      <c r="U23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399" s="19">
        <v>0</v>
      </c>
      <c r="W2399" s="20">
        <v>46233</v>
      </c>
      <c r="X2399" s="21" t="s">
        <v>906</v>
      </c>
      <c r="Y2399" s="24" t="s">
        <v>901</v>
      </c>
      <c r="Z2399" s="24" t="s">
        <v>945</v>
      </c>
      <c r="AA2399" s="24" t="s">
        <v>946</v>
      </c>
    </row>
    <row r="2400" spans="1:27" hidden="1" x14ac:dyDescent="0.3">
      <c r="A2400" s="29" t="s">
        <v>279</v>
      </c>
      <c r="B2400" s="4" t="s">
        <v>17</v>
      </c>
      <c r="C2400" s="16" t="s">
        <v>18</v>
      </c>
      <c r="D2400" s="4">
        <v>11</v>
      </c>
      <c r="E2400" s="4" t="s">
        <v>745</v>
      </c>
      <c r="F2400" t="s">
        <v>495</v>
      </c>
      <c r="G2400" t="s">
        <v>85</v>
      </c>
      <c r="J2400" s="4" t="s">
        <v>88</v>
      </c>
      <c r="K2400" s="4" t="s">
        <v>20</v>
      </c>
      <c r="L2400" s="4" t="s">
        <v>742</v>
      </c>
      <c r="M2400" s="17">
        <v>0</v>
      </c>
      <c r="N2400" s="17">
        <v>676</v>
      </c>
      <c r="O2400" s="18" t="s">
        <v>88</v>
      </c>
      <c r="P2400" s="30" t="s">
        <v>905</v>
      </c>
      <c r="Q2400" s="30">
        <v>0</v>
      </c>
      <c r="R2400" s="30" t="s">
        <v>905</v>
      </c>
      <c r="S2400" s="30" t="s">
        <v>905</v>
      </c>
      <c r="T2400" s="30" t="s">
        <v>905</v>
      </c>
      <c r="U24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00" s="19">
        <v>0</v>
      </c>
      <c r="W2400" s="20">
        <v>46233</v>
      </c>
      <c r="X2400" s="21" t="s">
        <v>906</v>
      </c>
      <c r="Y2400" s="24" t="s">
        <v>901</v>
      </c>
      <c r="Z2400" s="24" t="s">
        <v>945</v>
      </c>
      <c r="AA2400" s="24" t="s">
        <v>946</v>
      </c>
    </row>
    <row r="2401" spans="1:27" hidden="1" x14ac:dyDescent="0.3">
      <c r="A2401" s="29" t="s">
        <v>279</v>
      </c>
      <c r="B2401" s="4" t="s">
        <v>17</v>
      </c>
      <c r="C2401" s="16" t="s">
        <v>18</v>
      </c>
      <c r="D2401" s="4">
        <v>11</v>
      </c>
      <c r="E2401" s="4" t="s">
        <v>745</v>
      </c>
      <c r="F2401" t="s">
        <v>343</v>
      </c>
      <c r="G2401" t="s">
        <v>106</v>
      </c>
      <c r="J2401" s="4" t="s">
        <v>19</v>
      </c>
      <c r="K2401" s="4" t="s">
        <v>20</v>
      </c>
      <c r="L2401" s="4" t="s">
        <v>742</v>
      </c>
      <c r="M2401" s="17">
        <v>0</v>
      </c>
      <c r="N2401" s="17">
        <v>838</v>
      </c>
      <c r="O2401" s="18" t="s">
        <v>19</v>
      </c>
      <c r="P2401" s="30" t="s">
        <v>905</v>
      </c>
      <c r="Q2401" s="30">
        <v>0</v>
      </c>
      <c r="R2401" s="30" t="s">
        <v>905</v>
      </c>
      <c r="S2401" s="30" t="s">
        <v>905</v>
      </c>
      <c r="T2401" s="30" t="s">
        <v>905</v>
      </c>
      <c r="U24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01" s="19">
        <v>0</v>
      </c>
      <c r="W2401" s="20">
        <v>46233</v>
      </c>
      <c r="X2401" s="21" t="s">
        <v>906</v>
      </c>
      <c r="Y2401" s="24" t="s">
        <v>901</v>
      </c>
      <c r="Z2401" s="24" t="s">
        <v>945</v>
      </c>
      <c r="AA2401" s="24" t="s">
        <v>946</v>
      </c>
    </row>
    <row r="2402" spans="1:27" hidden="1" x14ac:dyDescent="0.3">
      <c r="A2402" s="29" t="s">
        <v>279</v>
      </c>
      <c r="B2402" s="4" t="s">
        <v>17</v>
      </c>
      <c r="C2402" s="16" t="s">
        <v>18</v>
      </c>
      <c r="D2402" s="4">
        <v>11</v>
      </c>
      <c r="E2402" s="4" t="s">
        <v>745</v>
      </c>
      <c r="F2402" t="s">
        <v>344</v>
      </c>
      <c r="G2402" t="s">
        <v>106</v>
      </c>
      <c r="J2402" s="4" t="s">
        <v>19</v>
      </c>
      <c r="K2402" s="4" t="s">
        <v>20</v>
      </c>
      <c r="L2402" s="4" t="s">
        <v>742</v>
      </c>
      <c r="M2402" s="17">
        <v>30</v>
      </c>
      <c r="N2402" s="17">
        <v>853</v>
      </c>
      <c r="O2402" s="18" t="s">
        <v>19</v>
      </c>
      <c r="P2402" s="18">
        <v>853</v>
      </c>
      <c r="Q2402" s="18">
        <v>30</v>
      </c>
      <c r="R2402" s="18" t="s">
        <v>778</v>
      </c>
      <c r="S2402" s="18" t="s">
        <v>884</v>
      </c>
      <c r="T2402" s="18" t="s">
        <v>782</v>
      </c>
      <c r="U24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02" s="19">
        <f>IF(AUDITORIA[[#This Row],[CAT]]="",0,1)</f>
        <v>1</v>
      </c>
      <c r="W2402" s="20">
        <v>46233</v>
      </c>
      <c r="X2402" s="21" t="s">
        <v>906</v>
      </c>
      <c r="Y2402" s="24" t="s">
        <v>901</v>
      </c>
      <c r="Z2402" s="24" t="s">
        <v>945</v>
      </c>
      <c r="AA2402" s="24" t="s">
        <v>946</v>
      </c>
    </row>
    <row r="2403" spans="1:27" hidden="1" x14ac:dyDescent="0.3">
      <c r="A2403" s="29" t="s">
        <v>279</v>
      </c>
      <c r="B2403" s="4" t="s">
        <v>17</v>
      </c>
      <c r="C2403" s="16" t="s">
        <v>18</v>
      </c>
      <c r="D2403" s="4">
        <v>11</v>
      </c>
      <c r="E2403" s="4" t="s">
        <v>745</v>
      </c>
      <c r="F2403" t="s">
        <v>345</v>
      </c>
      <c r="G2403" t="s">
        <v>290</v>
      </c>
      <c r="J2403" s="4" t="s">
        <v>19</v>
      </c>
      <c r="K2403" s="4" t="s">
        <v>20</v>
      </c>
      <c r="L2403" s="4" t="s">
        <v>742</v>
      </c>
      <c r="M2403" s="17">
        <v>30</v>
      </c>
      <c r="N2403" s="17">
        <v>762</v>
      </c>
      <c r="O2403" s="18" t="s">
        <v>19</v>
      </c>
      <c r="P2403" s="18">
        <v>762</v>
      </c>
      <c r="Q2403" s="18">
        <v>30</v>
      </c>
      <c r="R2403" s="18" t="s">
        <v>778</v>
      </c>
      <c r="S2403" s="18" t="s">
        <v>889</v>
      </c>
      <c r="T2403" s="18" t="s">
        <v>781</v>
      </c>
      <c r="U24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03" s="19">
        <f>IF(AUDITORIA[[#This Row],[CAT]]="",0,1)</f>
        <v>1</v>
      </c>
      <c r="W2403" s="20">
        <v>46233</v>
      </c>
      <c r="X2403" s="21" t="s">
        <v>906</v>
      </c>
      <c r="Y2403" s="24" t="s">
        <v>901</v>
      </c>
      <c r="Z2403" s="24" t="s">
        <v>945</v>
      </c>
      <c r="AA2403" s="24" t="s">
        <v>946</v>
      </c>
    </row>
    <row r="2404" spans="1:27" hidden="1" x14ac:dyDescent="0.3">
      <c r="A2404" s="29" t="s">
        <v>279</v>
      </c>
      <c r="B2404" s="4" t="s">
        <v>17</v>
      </c>
      <c r="C2404" s="16" t="s">
        <v>18</v>
      </c>
      <c r="D2404" s="4">
        <v>11</v>
      </c>
      <c r="E2404" s="4" t="s">
        <v>745</v>
      </c>
      <c r="F2404" t="s">
        <v>348</v>
      </c>
      <c r="G2404" t="s">
        <v>106</v>
      </c>
      <c r="J2404" s="4" t="s">
        <v>19</v>
      </c>
      <c r="K2404" s="4" t="s">
        <v>20</v>
      </c>
      <c r="L2404" s="4" t="s">
        <v>742</v>
      </c>
      <c r="M2404" s="17">
        <v>0</v>
      </c>
      <c r="N2404" s="17">
        <v>842</v>
      </c>
      <c r="O2404" s="18" t="s">
        <v>19</v>
      </c>
      <c r="P2404" s="30" t="s">
        <v>905</v>
      </c>
      <c r="Q2404" s="30">
        <v>0</v>
      </c>
      <c r="R2404" s="30" t="s">
        <v>905</v>
      </c>
      <c r="S2404" s="30" t="s">
        <v>905</v>
      </c>
      <c r="T2404" s="30" t="s">
        <v>905</v>
      </c>
      <c r="U24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04" s="19">
        <v>0</v>
      </c>
      <c r="W2404" s="20">
        <v>46233</v>
      </c>
      <c r="X2404" s="21" t="s">
        <v>906</v>
      </c>
      <c r="Y2404" s="24" t="s">
        <v>901</v>
      </c>
      <c r="Z2404" s="24" t="s">
        <v>945</v>
      </c>
      <c r="AA2404" s="24" t="s">
        <v>946</v>
      </c>
    </row>
    <row r="2405" spans="1:27" hidden="1" x14ac:dyDescent="0.3">
      <c r="A2405" s="29" t="s">
        <v>279</v>
      </c>
      <c r="B2405" s="4" t="s">
        <v>17</v>
      </c>
      <c r="C2405" s="16" t="s">
        <v>18</v>
      </c>
      <c r="D2405" s="4">
        <v>11</v>
      </c>
      <c r="E2405" s="4" t="s">
        <v>745</v>
      </c>
      <c r="F2405" t="s">
        <v>336</v>
      </c>
      <c r="G2405" t="s">
        <v>290</v>
      </c>
      <c r="J2405" s="4" t="s">
        <v>31</v>
      </c>
      <c r="K2405" s="4" t="s">
        <v>20</v>
      </c>
      <c r="L2405" s="4" t="s">
        <v>742</v>
      </c>
      <c r="M2405" s="17">
        <v>0</v>
      </c>
      <c r="N2405" s="17">
        <v>778</v>
      </c>
      <c r="O2405" s="18" t="s">
        <v>31</v>
      </c>
      <c r="P2405" s="30" t="s">
        <v>905</v>
      </c>
      <c r="Q2405" s="30">
        <v>0</v>
      </c>
      <c r="R2405" s="30" t="s">
        <v>905</v>
      </c>
      <c r="S2405" s="30" t="s">
        <v>905</v>
      </c>
      <c r="T2405" s="30" t="s">
        <v>905</v>
      </c>
      <c r="U24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05" s="19">
        <v>0</v>
      </c>
      <c r="W2405" s="20">
        <v>46233</v>
      </c>
      <c r="X2405" s="21" t="s">
        <v>906</v>
      </c>
      <c r="Y2405" s="24" t="s">
        <v>901</v>
      </c>
      <c r="Z2405" s="24" t="s">
        <v>945</v>
      </c>
      <c r="AA2405" s="24" t="s">
        <v>946</v>
      </c>
    </row>
    <row r="2406" spans="1:27" hidden="1" x14ac:dyDescent="0.3">
      <c r="A2406" s="29" t="s">
        <v>279</v>
      </c>
      <c r="B2406" s="4" t="s">
        <v>17</v>
      </c>
      <c r="C2406" s="16" t="s">
        <v>18</v>
      </c>
      <c r="D2406" s="4">
        <v>11</v>
      </c>
      <c r="E2406" s="4" t="s">
        <v>745</v>
      </c>
      <c r="F2406" t="s">
        <v>337</v>
      </c>
      <c r="G2406" t="s">
        <v>290</v>
      </c>
      <c r="J2406" s="4" t="s">
        <v>31</v>
      </c>
      <c r="K2406" s="4" t="s">
        <v>21</v>
      </c>
      <c r="L2406" s="4" t="s">
        <v>742</v>
      </c>
      <c r="M2406" s="17">
        <v>27</v>
      </c>
      <c r="N2406" s="17">
        <v>928</v>
      </c>
      <c r="O2406" s="18" t="s">
        <v>31</v>
      </c>
      <c r="P2406" s="18">
        <v>928</v>
      </c>
      <c r="Q2406" s="18">
        <v>27</v>
      </c>
      <c r="R2406" s="18" t="s">
        <v>778</v>
      </c>
      <c r="S2406" s="18" t="s">
        <v>887</v>
      </c>
      <c r="T2406" s="18" t="s">
        <v>780</v>
      </c>
      <c r="U24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06" s="19">
        <f>IF(AUDITORIA[[#This Row],[CAT]]="",0,1)</f>
        <v>1</v>
      </c>
      <c r="W2406" s="20">
        <v>46233</v>
      </c>
      <c r="X2406" s="21" t="s">
        <v>906</v>
      </c>
      <c r="Y2406" s="24" t="s">
        <v>901</v>
      </c>
      <c r="Z2406" s="24" t="s">
        <v>945</v>
      </c>
      <c r="AA2406" s="24" t="s">
        <v>946</v>
      </c>
    </row>
    <row r="2407" spans="1:27" hidden="1" x14ac:dyDescent="0.3">
      <c r="A2407" s="29" t="s">
        <v>279</v>
      </c>
      <c r="B2407" s="4" t="s">
        <v>17</v>
      </c>
      <c r="C2407" s="16" t="s">
        <v>18</v>
      </c>
      <c r="D2407" s="4">
        <v>11</v>
      </c>
      <c r="E2407" s="4" t="s">
        <v>745</v>
      </c>
      <c r="F2407" t="s">
        <v>338</v>
      </c>
      <c r="G2407" t="s">
        <v>290</v>
      </c>
      <c r="J2407" s="4" t="s">
        <v>31</v>
      </c>
      <c r="K2407" s="4" t="s">
        <v>20</v>
      </c>
      <c r="L2407" s="4" t="s">
        <v>742</v>
      </c>
      <c r="M2407" s="17">
        <v>0</v>
      </c>
      <c r="N2407" s="17">
        <v>787</v>
      </c>
      <c r="O2407" s="18" t="s">
        <v>31</v>
      </c>
      <c r="P2407" s="30" t="s">
        <v>905</v>
      </c>
      <c r="Q2407" s="30">
        <v>0</v>
      </c>
      <c r="R2407" s="30" t="s">
        <v>905</v>
      </c>
      <c r="S2407" s="30" t="s">
        <v>905</v>
      </c>
      <c r="T2407" s="30" t="s">
        <v>905</v>
      </c>
      <c r="U24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07" s="19">
        <v>0</v>
      </c>
      <c r="W2407" s="20">
        <v>46233</v>
      </c>
      <c r="X2407" s="21" t="s">
        <v>906</v>
      </c>
      <c r="Y2407" s="24" t="s">
        <v>901</v>
      </c>
      <c r="Z2407" s="24" t="s">
        <v>945</v>
      </c>
      <c r="AA2407" s="24" t="s">
        <v>946</v>
      </c>
    </row>
    <row r="2408" spans="1:27" hidden="1" x14ac:dyDescent="0.3">
      <c r="A2408" s="29" t="s">
        <v>279</v>
      </c>
      <c r="B2408" s="4" t="s">
        <v>17</v>
      </c>
      <c r="C2408" s="16" t="s">
        <v>18</v>
      </c>
      <c r="D2408" s="4">
        <v>11</v>
      </c>
      <c r="E2408" s="4" t="s">
        <v>745</v>
      </c>
      <c r="F2408" t="s">
        <v>339</v>
      </c>
      <c r="G2408" t="s">
        <v>106</v>
      </c>
      <c r="J2408" s="4" t="s">
        <v>19</v>
      </c>
      <c r="K2408" s="4" t="s">
        <v>20</v>
      </c>
      <c r="L2408" s="4" t="s">
        <v>742</v>
      </c>
      <c r="M2408" s="17">
        <v>30</v>
      </c>
      <c r="N2408" s="17">
        <v>825</v>
      </c>
      <c r="O2408" s="18" t="s">
        <v>19</v>
      </c>
      <c r="P2408" s="18">
        <v>825</v>
      </c>
      <c r="Q2408" s="18">
        <v>30</v>
      </c>
      <c r="R2408" s="18" t="s">
        <v>778</v>
      </c>
      <c r="S2408" s="18" t="s">
        <v>884</v>
      </c>
      <c r="T2408" s="18" t="s">
        <v>843</v>
      </c>
      <c r="U24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08" s="19">
        <f>IF(AUDITORIA[[#This Row],[CAT]]="",0,1)</f>
        <v>1</v>
      </c>
      <c r="W2408" s="20">
        <v>46233</v>
      </c>
      <c r="X2408" s="21" t="s">
        <v>906</v>
      </c>
      <c r="Y2408" s="24" t="s">
        <v>901</v>
      </c>
      <c r="Z2408" s="24" t="s">
        <v>945</v>
      </c>
      <c r="AA2408" s="24" t="s">
        <v>946</v>
      </c>
    </row>
    <row r="2409" spans="1:27" hidden="1" x14ac:dyDescent="0.3">
      <c r="A2409" s="29" t="s">
        <v>279</v>
      </c>
      <c r="B2409" s="4" t="s">
        <v>17</v>
      </c>
      <c r="C2409" s="16" t="s">
        <v>18</v>
      </c>
      <c r="D2409" s="4">
        <v>11</v>
      </c>
      <c r="E2409" s="4" t="s">
        <v>745</v>
      </c>
      <c r="F2409" t="s">
        <v>340</v>
      </c>
      <c r="G2409" t="s">
        <v>106</v>
      </c>
      <c r="J2409" s="4" t="s">
        <v>19</v>
      </c>
      <c r="K2409" s="4" t="s">
        <v>20</v>
      </c>
      <c r="L2409" s="4" t="s">
        <v>742</v>
      </c>
      <c r="M2409" s="17">
        <v>30</v>
      </c>
      <c r="N2409" s="17">
        <v>842</v>
      </c>
      <c r="O2409" s="18" t="s">
        <v>19</v>
      </c>
      <c r="P2409" s="18">
        <v>842</v>
      </c>
      <c r="Q2409" s="18">
        <v>30</v>
      </c>
      <c r="R2409" s="18" t="s">
        <v>778</v>
      </c>
      <c r="S2409" s="18" t="s">
        <v>884</v>
      </c>
      <c r="T2409" s="18" t="s">
        <v>840</v>
      </c>
      <c r="U24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09" s="19">
        <f>IF(AUDITORIA[[#This Row],[CAT]]="",0,1)</f>
        <v>1</v>
      </c>
      <c r="W2409" s="20">
        <v>46233</v>
      </c>
      <c r="X2409" s="21" t="s">
        <v>906</v>
      </c>
      <c r="Y2409" s="24" t="s">
        <v>901</v>
      </c>
      <c r="Z2409" s="24" t="s">
        <v>945</v>
      </c>
      <c r="AA2409" s="24" t="s">
        <v>946</v>
      </c>
    </row>
    <row r="2410" spans="1:27" hidden="1" x14ac:dyDescent="0.3">
      <c r="A2410" s="29" t="s">
        <v>279</v>
      </c>
      <c r="B2410" s="4" t="s">
        <v>17</v>
      </c>
      <c r="C2410" s="16" t="s">
        <v>18</v>
      </c>
      <c r="D2410" s="4">
        <v>11</v>
      </c>
      <c r="E2410" s="4" t="s">
        <v>745</v>
      </c>
      <c r="F2410" t="s">
        <v>341</v>
      </c>
      <c r="G2410" t="s">
        <v>290</v>
      </c>
      <c r="J2410" s="4" t="s">
        <v>19</v>
      </c>
      <c r="K2410" s="4" t="s">
        <v>20</v>
      </c>
      <c r="L2410" s="4" t="s">
        <v>742</v>
      </c>
      <c r="M2410" s="17">
        <v>0</v>
      </c>
      <c r="N2410" s="17">
        <v>787</v>
      </c>
      <c r="O2410" s="18" t="s">
        <v>19</v>
      </c>
      <c r="P2410" s="30" t="s">
        <v>905</v>
      </c>
      <c r="Q2410" s="30">
        <v>0</v>
      </c>
      <c r="R2410" s="30" t="s">
        <v>905</v>
      </c>
      <c r="S2410" s="30" t="s">
        <v>905</v>
      </c>
      <c r="T2410" s="30" t="s">
        <v>905</v>
      </c>
      <c r="U24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10" s="19">
        <v>0</v>
      </c>
      <c r="W2410" s="20">
        <v>46233</v>
      </c>
      <c r="X2410" s="21" t="s">
        <v>906</v>
      </c>
      <c r="Y2410" s="24" t="s">
        <v>901</v>
      </c>
      <c r="Z2410" s="24" t="s">
        <v>945</v>
      </c>
      <c r="AA2410" s="24" t="s">
        <v>946</v>
      </c>
    </row>
    <row r="2411" spans="1:27" hidden="1" x14ac:dyDescent="0.3">
      <c r="A2411" s="29" t="s">
        <v>279</v>
      </c>
      <c r="B2411" s="4" t="s">
        <v>17</v>
      </c>
      <c r="C2411" s="16" t="s">
        <v>18</v>
      </c>
      <c r="D2411" s="4">
        <v>11</v>
      </c>
      <c r="E2411" s="4" t="s">
        <v>745</v>
      </c>
      <c r="F2411" t="s">
        <v>342</v>
      </c>
      <c r="G2411" t="s">
        <v>106</v>
      </c>
      <c r="J2411" s="4" t="s">
        <v>19</v>
      </c>
      <c r="K2411" s="4" t="s">
        <v>21</v>
      </c>
      <c r="L2411" s="4" t="s">
        <v>742</v>
      </c>
      <c r="M2411" s="17">
        <v>0</v>
      </c>
      <c r="N2411" s="17">
        <v>1029</v>
      </c>
      <c r="O2411" s="18" t="s">
        <v>19</v>
      </c>
      <c r="P2411" s="30" t="s">
        <v>905</v>
      </c>
      <c r="Q2411" s="30">
        <v>0</v>
      </c>
      <c r="R2411" s="30" t="s">
        <v>905</v>
      </c>
      <c r="S2411" s="30" t="s">
        <v>905</v>
      </c>
      <c r="T2411" s="30" t="s">
        <v>905</v>
      </c>
      <c r="U24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11" s="19">
        <v>0</v>
      </c>
      <c r="W2411" s="20">
        <v>46233</v>
      </c>
      <c r="X2411" s="21" t="s">
        <v>906</v>
      </c>
      <c r="Y2411" s="24" t="s">
        <v>901</v>
      </c>
      <c r="Z2411" s="24" t="s">
        <v>945</v>
      </c>
      <c r="AA2411" s="24" t="s">
        <v>946</v>
      </c>
    </row>
    <row r="2412" spans="1:27" hidden="1" x14ac:dyDescent="0.3">
      <c r="A2412" s="29" t="s">
        <v>279</v>
      </c>
      <c r="B2412" s="4" t="s">
        <v>17</v>
      </c>
      <c r="C2412" s="16" t="s">
        <v>18</v>
      </c>
      <c r="D2412" s="4">
        <v>11</v>
      </c>
      <c r="E2412" s="4" t="s">
        <v>745</v>
      </c>
      <c r="F2412" t="s">
        <v>333</v>
      </c>
      <c r="G2412" t="s">
        <v>106</v>
      </c>
      <c r="J2412" s="4" t="s">
        <v>19</v>
      </c>
      <c r="K2412" s="4" t="s">
        <v>20</v>
      </c>
      <c r="L2412" s="4" t="s">
        <v>742</v>
      </c>
      <c r="M2412" s="17">
        <v>30</v>
      </c>
      <c r="N2412" s="17">
        <v>842</v>
      </c>
      <c r="O2412" s="18" t="s">
        <v>19</v>
      </c>
      <c r="P2412" s="18">
        <v>842</v>
      </c>
      <c r="Q2412" s="18">
        <v>30</v>
      </c>
      <c r="R2412" s="18" t="s">
        <v>778</v>
      </c>
      <c r="S2412" s="18" t="s">
        <v>876</v>
      </c>
      <c r="T2412" s="18" t="s">
        <v>780</v>
      </c>
      <c r="U24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12" s="19">
        <f>IF(AUDITORIA[[#This Row],[CAT]]="",0,1)</f>
        <v>1</v>
      </c>
      <c r="W2412" s="20">
        <v>46233</v>
      </c>
      <c r="X2412" s="21" t="s">
        <v>906</v>
      </c>
      <c r="Y2412" s="24" t="s">
        <v>901</v>
      </c>
      <c r="Z2412" s="24" t="s">
        <v>945</v>
      </c>
      <c r="AA2412" s="24" t="s">
        <v>946</v>
      </c>
    </row>
    <row r="2413" spans="1:27" hidden="1" x14ac:dyDescent="0.3">
      <c r="A2413" s="29" t="s">
        <v>279</v>
      </c>
      <c r="B2413" s="4" t="s">
        <v>17</v>
      </c>
      <c r="C2413" s="16" t="s">
        <v>18</v>
      </c>
      <c r="D2413" s="4">
        <v>11</v>
      </c>
      <c r="E2413" s="4" t="s">
        <v>745</v>
      </c>
      <c r="F2413" t="s">
        <v>334</v>
      </c>
      <c r="G2413" t="s">
        <v>290</v>
      </c>
      <c r="J2413" s="4" t="s">
        <v>31</v>
      </c>
      <c r="K2413" s="4" t="s">
        <v>20</v>
      </c>
      <c r="L2413" s="4" t="s">
        <v>742</v>
      </c>
      <c r="M2413" s="17">
        <v>16</v>
      </c>
      <c r="N2413" s="17">
        <v>785</v>
      </c>
      <c r="O2413" s="18" t="s">
        <v>31</v>
      </c>
      <c r="P2413" s="18">
        <v>785</v>
      </c>
      <c r="Q2413" s="18">
        <v>16</v>
      </c>
      <c r="R2413" s="18" t="s">
        <v>778</v>
      </c>
      <c r="S2413" s="18" t="s">
        <v>888</v>
      </c>
      <c r="T2413" s="18" t="s">
        <v>780</v>
      </c>
      <c r="U24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13" s="19">
        <f>IF(AUDITORIA[[#This Row],[CAT]]="",0,1)</f>
        <v>1</v>
      </c>
      <c r="W2413" s="20">
        <v>46233</v>
      </c>
      <c r="X2413" s="21" t="s">
        <v>906</v>
      </c>
      <c r="Y2413" s="24" t="s">
        <v>901</v>
      </c>
      <c r="Z2413" s="24" t="s">
        <v>945</v>
      </c>
      <c r="AA2413" s="24" t="s">
        <v>946</v>
      </c>
    </row>
    <row r="2414" spans="1:27" hidden="1" x14ac:dyDescent="0.3">
      <c r="A2414" s="29" t="s">
        <v>279</v>
      </c>
      <c r="B2414" s="4" t="s">
        <v>17</v>
      </c>
      <c r="C2414" s="16" t="s">
        <v>18</v>
      </c>
      <c r="D2414" s="4">
        <v>11</v>
      </c>
      <c r="E2414" s="4" t="s">
        <v>745</v>
      </c>
      <c r="F2414" t="s">
        <v>335</v>
      </c>
      <c r="G2414" t="s">
        <v>106</v>
      </c>
      <c r="J2414" s="4" t="s">
        <v>19</v>
      </c>
      <c r="K2414" s="4" t="s">
        <v>21</v>
      </c>
      <c r="L2414" s="4" t="s">
        <v>742</v>
      </c>
      <c r="M2414" s="17">
        <v>24</v>
      </c>
      <c r="N2414" s="17">
        <v>1027</v>
      </c>
      <c r="O2414" s="18" t="s">
        <v>19</v>
      </c>
      <c r="P2414" s="18">
        <v>1027</v>
      </c>
      <c r="Q2414" s="18">
        <v>24</v>
      </c>
      <c r="R2414" s="18" t="s">
        <v>778</v>
      </c>
      <c r="S2414" s="18" t="s">
        <v>883</v>
      </c>
      <c r="T2414" s="18" t="s">
        <v>843</v>
      </c>
      <c r="U24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14" s="19">
        <f>IF(AUDITORIA[[#This Row],[CAT]]="",0,1)</f>
        <v>1</v>
      </c>
      <c r="W2414" s="20">
        <v>46233</v>
      </c>
      <c r="X2414" s="21" t="s">
        <v>906</v>
      </c>
      <c r="Y2414" s="24" t="s">
        <v>901</v>
      </c>
      <c r="Z2414" s="24" t="s">
        <v>945</v>
      </c>
      <c r="AA2414" s="24" t="s">
        <v>946</v>
      </c>
    </row>
    <row r="2415" spans="1:27" hidden="1" x14ac:dyDescent="0.3">
      <c r="A2415" s="29" t="s">
        <v>279</v>
      </c>
      <c r="B2415" s="4" t="s">
        <v>17</v>
      </c>
      <c r="C2415" s="16" t="s">
        <v>18</v>
      </c>
      <c r="D2415" s="4">
        <v>11</v>
      </c>
      <c r="E2415" s="4" t="s">
        <v>745</v>
      </c>
      <c r="F2415" t="s">
        <v>324</v>
      </c>
      <c r="G2415" t="s">
        <v>290</v>
      </c>
      <c r="J2415" s="4" t="s">
        <v>31</v>
      </c>
      <c r="K2415" s="4" t="s">
        <v>21</v>
      </c>
      <c r="L2415" s="4" t="s">
        <v>742</v>
      </c>
      <c r="M2415" s="17">
        <v>27</v>
      </c>
      <c r="N2415" s="17">
        <v>934</v>
      </c>
      <c r="O2415" s="18" t="s">
        <v>31</v>
      </c>
      <c r="P2415" s="18">
        <v>934</v>
      </c>
      <c r="Q2415" s="18">
        <v>27</v>
      </c>
      <c r="R2415" s="18" t="s">
        <v>778</v>
      </c>
      <c r="S2415" s="18" t="s">
        <v>877</v>
      </c>
      <c r="T2415" s="18" t="s">
        <v>794</v>
      </c>
      <c r="U24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15" s="19">
        <f>IF(AUDITORIA[[#This Row],[CAT]]="",0,1)</f>
        <v>1</v>
      </c>
      <c r="W2415" s="20">
        <v>46233</v>
      </c>
      <c r="X2415" s="21" t="s">
        <v>906</v>
      </c>
      <c r="Y2415" s="24" t="s">
        <v>901</v>
      </c>
      <c r="Z2415" s="24" t="s">
        <v>945</v>
      </c>
      <c r="AA2415" s="24" t="s">
        <v>946</v>
      </c>
    </row>
    <row r="2416" spans="1:27" hidden="1" x14ac:dyDescent="0.3">
      <c r="A2416" s="29" t="s">
        <v>279</v>
      </c>
      <c r="B2416" s="4" t="s">
        <v>17</v>
      </c>
      <c r="C2416" s="16" t="s">
        <v>18</v>
      </c>
      <c r="D2416" s="4">
        <v>11</v>
      </c>
      <c r="E2416" s="4" t="s">
        <v>745</v>
      </c>
      <c r="F2416" t="s">
        <v>328</v>
      </c>
      <c r="G2416" t="s">
        <v>290</v>
      </c>
      <c r="J2416" s="4" t="s">
        <v>31</v>
      </c>
      <c r="K2416" s="4" t="s">
        <v>20</v>
      </c>
      <c r="L2416" s="4" t="s">
        <v>742</v>
      </c>
      <c r="M2416" s="17">
        <v>0</v>
      </c>
      <c r="N2416" s="17">
        <v>783</v>
      </c>
      <c r="O2416" s="18" t="s">
        <v>31</v>
      </c>
      <c r="P2416" s="30" t="s">
        <v>905</v>
      </c>
      <c r="Q2416" s="30">
        <v>0</v>
      </c>
      <c r="R2416" s="30" t="s">
        <v>905</v>
      </c>
      <c r="S2416" s="30" t="s">
        <v>905</v>
      </c>
      <c r="T2416" s="30" t="s">
        <v>905</v>
      </c>
      <c r="U24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16" s="19">
        <v>0</v>
      </c>
      <c r="W2416" s="20">
        <v>46233</v>
      </c>
      <c r="X2416" s="21" t="s">
        <v>906</v>
      </c>
      <c r="Y2416" s="24" t="s">
        <v>901</v>
      </c>
      <c r="Z2416" s="24" t="s">
        <v>945</v>
      </c>
      <c r="AA2416" s="24" t="s">
        <v>946</v>
      </c>
    </row>
    <row r="2417" spans="1:27" hidden="1" x14ac:dyDescent="0.3">
      <c r="A2417" s="29" t="s">
        <v>279</v>
      </c>
      <c r="B2417" s="4" t="s">
        <v>17</v>
      </c>
      <c r="C2417" s="16" t="s">
        <v>18</v>
      </c>
      <c r="D2417" s="4">
        <v>11</v>
      </c>
      <c r="E2417" s="4" t="s">
        <v>745</v>
      </c>
      <c r="F2417" t="s">
        <v>330</v>
      </c>
      <c r="G2417" t="s">
        <v>290</v>
      </c>
      <c r="J2417" s="4" t="s">
        <v>31</v>
      </c>
      <c r="K2417" s="4" t="s">
        <v>20</v>
      </c>
      <c r="L2417" s="4" t="s">
        <v>742</v>
      </c>
      <c r="M2417" s="17">
        <v>0</v>
      </c>
      <c r="N2417" s="17">
        <v>789</v>
      </c>
      <c r="O2417" s="18" t="s">
        <v>31</v>
      </c>
      <c r="P2417" s="30" t="s">
        <v>905</v>
      </c>
      <c r="Q2417" s="30">
        <v>0</v>
      </c>
      <c r="R2417" s="30" t="s">
        <v>905</v>
      </c>
      <c r="S2417" s="30" t="s">
        <v>905</v>
      </c>
      <c r="T2417" s="30" t="s">
        <v>905</v>
      </c>
      <c r="U24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17" s="19">
        <v>0</v>
      </c>
      <c r="W2417" s="20">
        <v>46233</v>
      </c>
      <c r="X2417" s="21" t="s">
        <v>906</v>
      </c>
      <c r="Y2417" s="24" t="s">
        <v>901</v>
      </c>
      <c r="Z2417" s="24" t="s">
        <v>945</v>
      </c>
      <c r="AA2417" s="24" t="s">
        <v>946</v>
      </c>
    </row>
    <row r="2418" spans="1:27" hidden="1" x14ac:dyDescent="0.3">
      <c r="A2418" s="29" t="s">
        <v>279</v>
      </c>
      <c r="B2418" s="4" t="s">
        <v>17</v>
      </c>
      <c r="C2418" s="16" t="s">
        <v>18</v>
      </c>
      <c r="D2418" s="4">
        <v>11</v>
      </c>
      <c r="E2418" s="4" t="s">
        <v>745</v>
      </c>
      <c r="F2418" t="s">
        <v>331</v>
      </c>
      <c r="G2418" t="s">
        <v>106</v>
      </c>
      <c r="J2418" s="4" t="s">
        <v>19</v>
      </c>
      <c r="K2418" s="4" t="s">
        <v>20</v>
      </c>
      <c r="L2418" s="4" t="s">
        <v>742</v>
      </c>
      <c r="M2418" s="17">
        <v>30</v>
      </c>
      <c r="N2418" s="17">
        <v>851</v>
      </c>
      <c r="O2418" s="18" t="s">
        <v>19</v>
      </c>
      <c r="P2418" s="18">
        <v>851</v>
      </c>
      <c r="Q2418" s="18">
        <v>30</v>
      </c>
      <c r="R2418" s="18" t="s">
        <v>778</v>
      </c>
      <c r="S2418" s="18" t="s">
        <v>876</v>
      </c>
      <c r="T2418" s="18" t="s">
        <v>781</v>
      </c>
      <c r="U24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18" s="19">
        <f>IF(AUDITORIA[[#This Row],[CAT]]="",0,1)</f>
        <v>1</v>
      </c>
      <c r="W2418" s="20">
        <v>46233</v>
      </c>
      <c r="X2418" s="21" t="s">
        <v>906</v>
      </c>
      <c r="Y2418" s="24" t="s">
        <v>901</v>
      </c>
      <c r="Z2418" s="24" t="s">
        <v>945</v>
      </c>
      <c r="AA2418" s="24" t="s">
        <v>946</v>
      </c>
    </row>
    <row r="2419" spans="1:27" hidden="1" x14ac:dyDescent="0.3">
      <c r="A2419" s="29" t="s">
        <v>279</v>
      </c>
      <c r="B2419" s="4" t="s">
        <v>17</v>
      </c>
      <c r="C2419" s="16" t="s">
        <v>18</v>
      </c>
      <c r="D2419" s="4">
        <v>11</v>
      </c>
      <c r="E2419" s="4" t="s">
        <v>745</v>
      </c>
      <c r="F2419" t="s">
        <v>332</v>
      </c>
      <c r="G2419" t="s">
        <v>290</v>
      </c>
      <c r="J2419" s="4" t="s">
        <v>31</v>
      </c>
      <c r="K2419" s="4" t="s">
        <v>21</v>
      </c>
      <c r="L2419" s="4" t="s">
        <v>742</v>
      </c>
      <c r="M2419" s="17">
        <v>27</v>
      </c>
      <c r="N2419" s="17">
        <v>937</v>
      </c>
      <c r="O2419" s="18" t="s">
        <v>31</v>
      </c>
      <c r="P2419" s="18">
        <v>937</v>
      </c>
      <c r="Q2419" s="18">
        <v>27</v>
      </c>
      <c r="R2419" s="18" t="s">
        <v>778</v>
      </c>
      <c r="S2419" s="18" t="s">
        <v>887</v>
      </c>
      <c r="T2419" s="18" t="s">
        <v>781</v>
      </c>
      <c r="U24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19" s="19">
        <f>IF(AUDITORIA[[#This Row],[CAT]]="",0,1)</f>
        <v>1</v>
      </c>
      <c r="W2419" s="20">
        <v>46233</v>
      </c>
      <c r="X2419" s="21" t="s">
        <v>906</v>
      </c>
      <c r="Y2419" s="24" t="s">
        <v>901</v>
      </c>
      <c r="Z2419" s="24" t="s">
        <v>945</v>
      </c>
      <c r="AA2419" s="24" t="s">
        <v>946</v>
      </c>
    </row>
    <row r="2420" spans="1:27" hidden="1" x14ac:dyDescent="0.3">
      <c r="A2420" s="29" t="s">
        <v>279</v>
      </c>
      <c r="B2420" s="4" t="s">
        <v>17</v>
      </c>
      <c r="C2420" s="16" t="s">
        <v>18</v>
      </c>
      <c r="D2420" s="4">
        <v>11</v>
      </c>
      <c r="E2420" s="4" t="s">
        <v>745</v>
      </c>
      <c r="F2420" t="s">
        <v>314</v>
      </c>
      <c r="G2420" t="s">
        <v>290</v>
      </c>
      <c r="J2420" s="4" t="s">
        <v>19</v>
      </c>
      <c r="K2420" s="4" t="s">
        <v>21</v>
      </c>
      <c r="L2420" s="4" t="s">
        <v>742</v>
      </c>
      <c r="M2420" s="17">
        <v>27</v>
      </c>
      <c r="N2420" s="17">
        <v>917</v>
      </c>
      <c r="O2420" s="18" t="s">
        <v>19</v>
      </c>
      <c r="P2420" s="18">
        <v>917</v>
      </c>
      <c r="Q2420" s="18">
        <v>27</v>
      </c>
      <c r="R2420" s="18" t="s">
        <v>778</v>
      </c>
      <c r="S2420" s="18" t="s">
        <v>890</v>
      </c>
      <c r="T2420" s="18" t="s">
        <v>794</v>
      </c>
      <c r="U24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20" s="19">
        <f>IF(AUDITORIA[[#This Row],[CAT]]="",0,1)</f>
        <v>1</v>
      </c>
      <c r="W2420" s="20">
        <v>46233</v>
      </c>
      <c r="X2420" s="21" t="s">
        <v>906</v>
      </c>
      <c r="Y2420" s="24" t="s">
        <v>901</v>
      </c>
      <c r="Z2420" s="24" t="s">
        <v>945</v>
      </c>
      <c r="AA2420" s="24" t="s">
        <v>946</v>
      </c>
    </row>
    <row r="2421" spans="1:27" hidden="1" x14ac:dyDescent="0.3">
      <c r="A2421" s="29" t="s">
        <v>279</v>
      </c>
      <c r="B2421" s="4" t="s">
        <v>17</v>
      </c>
      <c r="C2421" s="16" t="s">
        <v>18</v>
      </c>
      <c r="D2421" s="4">
        <v>11</v>
      </c>
      <c r="E2421" s="4" t="s">
        <v>745</v>
      </c>
      <c r="F2421" t="s">
        <v>320</v>
      </c>
      <c r="G2421" t="s">
        <v>290</v>
      </c>
      <c r="J2421" s="4" t="s">
        <v>19</v>
      </c>
      <c r="K2421" s="4" t="s">
        <v>20</v>
      </c>
      <c r="L2421" s="4" t="s">
        <v>742</v>
      </c>
      <c r="M2421" s="17">
        <v>30</v>
      </c>
      <c r="N2421" s="17">
        <v>786</v>
      </c>
      <c r="O2421" s="18" t="s">
        <v>19</v>
      </c>
      <c r="P2421" s="18">
        <v>786</v>
      </c>
      <c r="Q2421" s="18">
        <v>30</v>
      </c>
      <c r="R2421" s="18" t="s">
        <v>778</v>
      </c>
      <c r="S2421" s="18" t="s">
        <v>889</v>
      </c>
      <c r="T2421" s="18" t="s">
        <v>843</v>
      </c>
      <c r="U24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21" s="19">
        <f>IF(AUDITORIA[[#This Row],[CAT]]="",0,1)</f>
        <v>1</v>
      </c>
      <c r="W2421" s="20">
        <v>46233</v>
      </c>
      <c r="X2421" s="21" t="s">
        <v>906</v>
      </c>
      <c r="Y2421" s="24" t="s">
        <v>901</v>
      </c>
      <c r="Z2421" s="24" t="s">
        <v>945</v>
      </c>
      <c r="AA2421" s="24" t="s">
        <v>946</v>
      </c>
    </row>
    <row r="2422" spans="1:27" hidden="1" x14ac:dyDescent="0.3">
      <c r="A2422" s="29" t="s">
        <v>279</v>
      </c>
      <c r="B2422" s="4" t="s">
        <v>17</v>
      </c>
      <c r="C2422" s="16" t="s">
        <v>18</v>
      </c>
      <c r="D2422" s="4">
        <v>11</v>
      </c>
      <c r="E2422" s="4" t="s">
        <v>745</v>
      </c>
      <c r="F2422" t="s">
        <v>322</v>
      </c>
      <c r="G2422" t="s">
        <v>290</v>
      </c>
      <c r="J2422" s="4" t="s">
        <v>31</v>
      </c>
      <c r="K2422" s="4" t="s">
        <v>20</v>
      </c>
      <c r="L2422" s="4" t="s">
        <v>742</v>
      </c>
      <c r="M2422" s="17">
        <v>30</v>
      </c>
      <c r="N2422" s="17">
        <v>747</v>
      </c>
      <c r="O2422" s="18" t="s">
        <v>31</v>
      </c>
      <c r="P2422" s="18">
        <v>747</v>
      </c>
      <c r="Q2422" s="18">
        <v>30</v>
      </c>
      <c r="R2422" s="18" t="s">
        <v>778</v>
      </c>
      <c r="S2422" s="18" t="s">
        <v>887</v>
      </c>
      <c r="T2422" s="18" t="s">
        <v>794</v>
      </c>
      <c r="U24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22" s="19">
        <f>IF(AUDITORIA[[#This Row],[CAT]]="",0,1)</f>
        <v>1</v>
      </c>
      <c r="W2422" s="20">
        <v>46233</v>
      </c>
      <c r="X2422" s="21" t="s">
        <v>906</v>
      </c>
      <c r="Y2422" s="24" t="s">
        <v>901</v>
      </c>
      <c r="Z2422" s="24" t="s">
        <v>945</v>
      </c>
      <c r="AA2422" s="24" t="s">
        <v>946</v>
      </c>
    </row>
    <row r="2423" spans="1:27" hidden="1" x14ac:dyDescent="0.3">
      <c r="A2423" s="29" t="s">
        <v>279</v>
      </c>
      <c r="B2423" s="4" t="s">
        <v>17</v>
      </c>
      <c r="C2423" s="16" t="s">
        <v>18</v>
      </c>
      <c r="D2423" s="4">
        <v>11</v>
      </c>
      <c r="E2423" s="4" t="s">
        <v>745</v>
      </c>
      <c r="F2423" t="s">
        <v>323</v>
      </c>
      <c r="G2423" t="s">
        <v>106</v>
      </c>
      <c r="J2423" s="4" t="s">
        <v>19</v>
      </c>
      <c r="K2423" s="4" t="s">
        <v>21</v>
      </c>
      <c r="L2423" s="4" t="s">
        <v>742</v>
      </c>
      <c r="M2423" s="17">
        <v>0</v>
      </c>
      <c r="N2423" s="17">
        <v>1039</v>
      </c>
      <c r="O2423" s="18" t="s">
        <v>19</v>
      </c>
      <c r="P2423" s="30" t="s">
        <v>905</v>
      </c>
      <c r="Q2423" s="30">
        <v>0</v>
      </c>
      <c r="R2423" s="30" t="s">
        <v>905</v>
      </c>
      <c r="S2423" s="30" t="s">
        <v>905</v>
      </c>
      <c r="T2423" s="30" t="s">
        <v>905</v>
      </c>
      <c r="U24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23" s="19">
        <v>0</v>
      </c>
      <c r="W2423" s="20">
        <v>46233</v>
      </c>
      <c r="X2423" s="21" t="s">
        <v>906</v>
      </c>
      <c r="Y2423" s="24" t="s">
        <v>901</v>
      </c>
      <c r="Z2423" s="24" t="s">
        <v>945</v>
      </c>
      <c r="AA2423" s="24" t="s">
        <v>946</v>
      </c>
    </row>
    <row r="2424" spans="1:27" hidden="1" x14ac:dyDescent="0.3">
      <c r="A2424" s="29" t="s">
        <v>279</v>
      </c>
      <c r="B2424" s="4" t="s">
        <v>17</v>
      </c>
      <c r="C2424" s="16" t="s">
        <v>18</v>
      </c>
      <c r="D2424" s="4">
        <v>11</v>
      </c>
      <c r="E2424" s="4" t="s">
        <v>745</v>
      </c>
      <c r="F2424" t="s">
        <v>325</v>
      </c>
      <c r="G2424" t="s">
        <v>106</v>
      </c>
      <c r="J2424" s="4" t="s">
        <v>19</v>
      </c>
      <c r="K2424" s="4" t="s">
        <v>20</v>
      </c>
      <c r="L2424" s="4" t="s">
        <v>742</v>
      </c>
      <c r="M2424" s="17">
        <v>0</v>
      </c>
      <c r="N2424" s="17">
        <v>850</v>
      </c>
      <c r="O2424" s="18" t="s">
        <v>19</v>
      </c>
      <c r="P2424" s="30" t="s">
        <v>905</v>
      </c>
      <c r="Q2424" s="30">
        <v>0</v>
      </c>
      <c r="R2424" s="30" t="s">
        <v>905</v>
      </c>
      <c r="S2424" s="30" t="s">
        <v>905</v>
      </c>
      <c r="T2424" s="30" t="s">
        <v>905</v>
      </c>
      <c r="U24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24" s="19">
        <v>0</v>
      </c>
      <c r="W2424" s="20">
        <v>46233</v>
      </c>
      <c r="X2424" s="21" t="s">
        <v>906</v>
      </c>
      <c r="Y2424" s="24" t="s">
        <v>901</v>
      </c>
      <c r="Z2424" s="24" t="s">
        <v>945</v>
      </c>
      <c r="AA2424" s="24" t="s">
        <v>946</v>
      </c>
    </row>
    <row r="2425" spans="1:27" hidden="1" x14ac:dyDescent="0.3">
      <c r="A2425" s="29" t="s">
        <v>279</v>
      </c>
      <c r="B2425" s="4" t="s">
        <v>17</v>
      </c>
      <c r="C2425" s="16" t="s">
        <v>18</v>
      </c>
      <c r="D2425" s="4">
        <v>11</v>
      </c>
      <c r="E2425" s="4" t="s">
        <v>745</v>
      </c>
      <c r="F2425" t="s">
        <v>326</v>
      </c>
      <c r="G2425" t="s">
        <v>290</v>
      </c>
      <c r="J2425" s="4" t="s">
        <v>31</v>
      </c>
      <c r="K2425" s="4" t="s">
        <v>20</v>
      </c>
      <c r="L2425" s="4" t="s">
        <v>742</v>
      </c>
      <c r="M2425" s="17">
        <v>30</v>
      </c>
      <c r="N2425" s="17">
        <v>775</v>
      </c>
      <c r="O2425" s="18" t="s">
        <v>31</v>
      </c>
      <c r="P2425" s="18">
        <v>775</v>
      </c>
      <c r="Q2425" s="18">
        <v>30</v>
      </c>
      <c r="R2425" s="18" t="s">
        <v>778</v>
      </c>
      <c r="S2425" s="18" t="s">
        <v>888</v>
      </c>
      <c r="T2425" s="18" t="s">
        <v>840</v>
      </c>
      <c r="U24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25" s="19">
        <f>IF(AUDITORIA[[#This Row],[CAT]]="",0,1)</f>
        <v>1</v>
      </c>
      <c r="W2425" s="20">
        <v>46233</v>
      </c>
      <c r="X2425" s="21" t="s">
        <v>906</v>
      </c>
      <c r="Y2425" s="24" t="s">
        <v>901</v>
      </c>
      <c r="Z2425" s="24" t="s">
        <v>945</v>
      </c>
      <c r="AA2425" s="24" t="s">
        <v>946</v>
      </c>
    </row>
    <row r="2426" spans="1:27" hidden="1" x14ac:dyDescent="0.3">
      <c r="A2426" s="29" t="s">
        <v>279</v>
      </c>
      <c r="B2426" s="4" t="s">
        <v>17</v>
      </c>
      <c r="C2426" s="16" t="s">
        <v>18</v>
      </c>
      <c r="D2426" s="4">
        <v>11</v>
      </c>
      <c r="E2426" s="4" t="s">
        <v>745</v>
      </c>
      <c r="F2426" t="s">
        <v>327</v>
      </c>
      <c r="G2426" t="s">
        <v>106</v>
      </c>
      <c r="J2426" s="4" t="s">
        <v>19</v>
      </c>
      <c r="K2426" s="4" t="s">
        <v>20</v>
      </c>
      <c r="L2426" s="4" t="s">
        <v>742</v>
      </c>
      <c r="M2426" s="17">
        <v>30</v>
      </c>
      <c r="N2426" s="17">
        <v>850</v>
      </c>
      <c r="O2426" s="18" t="s">
        <v>19</v>
      </c>
      <c r="P2426" s="18">
        <v>850</v>
      </c>
      <c r="Q2426" s="18">
        <v>30</v>
      </c>
      <c r="R2426" s="18" t="s">
        <v>778</v>
      </c>
      <c r="S2426" s="18" t="s">
        <v>876</v>
      </c>
      <c r="T2426" s="18" t="s">
        <v>782</v>
      </c>
      <c r="U24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26" s="19">
        <f>IF(AUDITORIA[[#This Row],[CAT]]="",0,1)</f>
        <v>1</v>
      </c>
      <c r="W2426" s="20">
        <v>46233</v>
      </c>
      <c r="X2426" s="21" t="s">
        <v>906</v>
      </c>
      <c r="Y2426" s="24" t="s">
        <v>901</v>
      </c>
      <c r="Z2426" s="24" t="s">
        <v>945</v>
      </c>
      <c r="AA2426" s="24" t="s">
        <v>946</v>
      </c>
    </row>
    <row r="2427" spans="1:27" hidden="1" x14ac:dyDescent="0.3">
      <c r="A2427" s="29" t="s">
        <v>279</v>
      </c>
      <c r="B2427" s="4" t="s">
        <v>17</v>
      </c>
      <c r="C2427" s="16" t="s">
        <v>18</v>
      </c>
      <c r="D2427" s="4">
        <v>11</v>
      </c>
      <c r="E2427" s="4" t="s">
        <v>745</v>
      </c>
      <c r="F2427" t="s">
        <v>312</v>
      </c>
      <c r="G2427" t="s">
        <v>106</v>
      </c>
      <c r="J2427" s="4" t="s">
        <v>19</v>
      </c>
      <c r="K2427" s="4" t="s">
        <v>21</v>
      </c>
      <c r="L2427" s="4" t="s">
        <v>742</v>
      </c>
      <c r="M2427" s="17">
        <v>0</v>
      </c>
      <c r="N2427" s="17">
        <v>1045</v>
      </c>
      <c r="O2427" s="18" t="s">
        <v>19</v>
      </c>
      <c r="P2427" s="30" t="s">
        <v>905</v>
      </c>
      <c r="Q2427" s="30">
        <v>0</v>
      </c>
      <c r="R2427" s="30" t="s">
        <v>905</v>
      </c>
      <c r="S2427" s="30" t="s">
        <v>905</v>
      </c>
      <c r="T2427" s="30" t="s">
        <v>905</v>
      </c>
      <c r="U24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27" s="19">
        <v>0</v>
      </c>
      <c r="W2427" s="20">
        <v>46233</v>
      </c>
      <c r="X2427" s="21" t="s">
        <v>906</v>
      </c>
      <c r="Y2427" s="24" t="s">
        <v>901</v>
      </c>
      <c r="Z2427" s="24" t="s">
        <v>945</v>
      </c>
      <c r="AA2427" s="24" t="s">
        <v>946</v>
      </c>
    </row>
    <row r="2428" spans="1:27" hidden="1" x14ac:dyDescent="0.3">
      <c r="A2428" s="29" t="s">
        <v>279</v>
      </c>
      <c r="B2428" s="4" t="s">
        <v>17</v>
      </c>
      <c r="C2428" s="16" t="s">
        <v>18</v>
      </c>
      <c r="D2428" s="4">
        <v>11</v>
      </c>
      <c r="E2428" s="4" t="s">
        <v>745</v>
      </c>
      <c r="F2428" t="s">
        <v>313</v>
      </c>
      <c r="G2428" t="s">
        <v>290</v>
      </c>
      <c r="J2428" s="4" t="s">
        <v>19</v>
      </c>
      <c r="K2428" s="4" t="s">
        <v>20</v>
      </c>
      <c r="L2428" s="4" t="s">
        <v>742</v>
      </c>
      <c r="M2428" s="17">
        <v>30</v>
      </c>
      <c r="N2428" s="17">
        <v>763</v>
      </c>
      <c r="O2428" s="18" t="s">
        <v>19</v>
      </c>
      <c r="P2428" s="18">
        <v>763</v>
      </c>
      <c r="Q2428" s="18">
        <v>30</v>
      </c>
      <c r="R2428" s="18" t="s">
        <v>778</v>
      </c>
      <c r="S2428" s="18" t="s">
        <v>885</v>
      </c>
      <c r="T2428" s="18" t="s">
        <v>780</v>
      </c>
      <c r="U24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28" s="19">
        <f>IF(AUDITORIA[[#This Row],[CAT]]="",0,1)</f>
        <v>1</v>
      </c>
      <c r="W2428" s="20">
        <v>46233</v>
      </c>
      <c r="X2428" s="21" t="s">
        <v>906</v>
      </c>
      <c r="Y2428" s="24" t="s">
        <v>901</v>
      </c>
      <c r="Z2428" s="24" t="s">
        <v>945</v>
      </c>
      <c r="AA2428" s="24" t="s">
        <v>946</v>
      </c>
    </row>
    <row r="2429" spans="1:27" hidden="1" x14ac:dyDescent="0.3">
      <c r="A2429" s="29" t="s">
        <v>279</v>
      </c>
      <c r="B2429" s="4" t="s">
        <v>17</v>
      </c>
      <c r="C2429" s="16" t="s">
        <v>18</v>
      </c>
      <c r="D2429" s="4">
        <v>11</v>
      </c>
      <c r="E2429" s="4" t="s">
        <v>745</v>
      </c>
      <c r="F2429" t="s">
        <v>315</v>
      </c>
      <c r="G2429" t="s">
        <v>106</v>
      </c>
      <c r="J2429" s="4" t="s">
        <v>19</v>
      </c>
      <c r="K2429" s="4" t="s">
        <v>20</v>
      </c>
      <c r="L2429" s="4" t="s">
        <v>742</v>
      </c>
      <c r="M2429" s="17">
        <v>30</v>
      </c>
      <c r="N2429" s="17">
        <v>841</v>
      </c>
      <c r="O2429" s="18" t="s">
        <v>19</v>
      </c>
      <c r="P2429" s="18">
        <v>841</v>
      </c>
      <c r="Q2429" s="18">
        <v>30</v>
      </c>
      <c r="R2429" s="18" t="s">
        <v>778</v>
      </c>
      <c r="S2429" s="18" t="s">
        <v>879</v>
      </c>
      <c r="T2429" s="18" t="s">
        <v>780</v>
      </c>
      <c r="U24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29" s="19">
        <f>IF(AUDITORIA[[#This Row],[CAT]]="",0,1)</f>
        <v>1</v>
      </c>
      <c r="W2429" s="20">
        <v>46233</v>
      </c>
      <c r="X2429" s="21" t="s">
        <v>906</v>
      </c>
      <c r="Y2429" s="24" t="s">
        <v>901</v>
      </c>
      <c r="Z2429" s="24" t="s">
        <v>945</v>
      </c>
      <c r="AA2429" s="24" t="s">
        <v>946</v>
      </c>
    </row>
    <row r="2430" spans="1:27" hidden="1" x14ac:dyDescent="0.3">
      <c r="A2430" s="29" t="s">
        <v>279</v>
      </c>
      <c r="B2430" s="4" t="s">
        <v>17</v>
      </c>
      <c r="C2430" s="16" t="s">
        <v>18</v>
      </c>
      <c r="D2430" s="4">
        <v>11</v>
      </c>
      <c r="E2430" s="4" t="s">
        <v>745</v>
      </c>
      <c r="F2430" t="s">
        <v>316</v>
      </c>
      <c r="G2430" t="s">
        <v>290</v>
      </c>
      <c r="J2430" s="4" t="s">
        <v>19</v>
      </c>
      <c r="K2430" s="4" t="s">
        <v>20</v>
      </c>
      <c r="L2430" s="4" t="s">
        <v>742</v>
      </c>
      <c r="M2430" s="17">
        <v>30</v>
      </c>
      <c r="N2430" s="17">
        <v>760</v>
      </c>
      <c r="O2430" s="18" t="s">
        <v>19</v>
      </c>
      <c r="P2430" s="18">
        <v>760</v>
      </c>
      <c r="Q2430" s="18">
        <v>30</v>
      </c>
      <c r="R2430" s="18" t="s">
        <v>778</v>
      </c>
      <c r="S2430" s="18" t="s">
        <v>889</v>
      </c>
      <c r="T2430" s="18" t="s">
        <v>840</v>
      </c>
      <c r="U24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30" s="19">
        <f>IF(AUDITORIA[[#This Row],[CAT]]="",0,1)</f>
        <v>1</v>
      </c>
      <c r="W2430" s="20">
        <v>46233</v>
      </c>
      <c r="X2430" s="21" t="s">
        <v>906</v>
      </c>
      <c r="Y2430" s="24" t="s">
        <v>901</v>
      </c>
      <c r="Z2430" s="24" t="s">
        <v>945</v>
      </c>
      <c r="AA2430" s="24" t="s">
        <v>946</v>
      </c>
    </row>
    <row r="2431" spans="1:27" hidden="1" x14ac:dyDescent="0.3">
      <c r="A2431" s="29" t="s">
        <v>279</v>
      </c>
      <c r="B2431" s="4" t="s">
        <v>17</v>
      </c>
      <c r="C2431" s="16" t="s">
        <v>18</v>
      </c>
      <c r="D2431" s="4">
        <v>11</v>
      </c>
      <c r="E2431" s="4" t="s">
        <v>745</v>
      </c>
      <c r="F2431" t="s">
        <v>317</v>
      </c>
      <c r="G2431" t="s">
        <v>106</v>
      </c>
      <c r="J2431" s="4" t="s">
        <v>19</v>
      </c>
      <c r="K2431" s="4" t="s">
        <v>21</v>
      </c>
      <c r="L2431" s="4" t="s">
        <v>742</v>
      </c>
      <c r="M2431" s="17">
        <v>0</v>
      </c>
      <c r="N2431" s="17">
        <v>1029</v>
      </c>
      <c r="O2431" s="18" t="s">
        <v>19</v>
      </c>
      <c r="P2431" s="30" t="s">
        <v>905</v>
      </c>
      <c r="Q2431" s="30">
        <v>0</v>
      </c>
      <c r="R2431" s="30" t="s">
        <v>905</v>
      </c>
      <c r="S2431" s="30" t="s">
        <v>905</v>
      </c>
      <c r="T2431" s="30" t="s">
        <v>905</v>
      </c>
      <c r="U24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31" s="19">
        <v>0</v>
      </c>
      <c r="W2431" s="20">
        <v>46233</v>
      </c>
      <c r="X2431" s="21" t="s">
        <v>906</v>
      </c>
      <c r="Y2431" s="24" t="s">
        <v>901</v>
      </c>
      <c r="Z2431" s="24" t="s">
        <v>945</v>
      </c>
      <c r="AA2431" s="24" t="s">
        <v>946</v>
      </c>
    </row>
    <row r="2432" spans="1:27" hidden="1" x14ac:dyDescent="0.3">
      <c r="A2432" s="29" t="s">
        <v>279</v>
      </c>
      <c r="B2432" s="4" t="s">
        <v>17</v>
      </c>
      <c r="C2432" s="16" t="s">
        <v>18</v>
      </c>
      <c r="D2432" s="4">
        <v>11</v>
      </c>
      <c r="E2432" s="4" t="s">
        <v>745</v>
      </c>
      <c r="F2432" t="s">
        <v>318</v>
      </c>
      <c r="G2432" t="s">
        <v>106</v>
      </c>
      <c r="J2432" s="4" t="s">
        <v>19</v>
      </c>
      <c r="K2432" s="4" t="s">
        <v>20</v>
      </c>
      <c r="L2432" s="4" t="s">
        <v>742</v>
      </c>
      <c r="M2432" s="17">
        <v>0</v>
      </c>
      <c r="N2432" s="17">
        <v>846</v>
      </c>
      <c r="O2432" s="18" t="s">
        <v>19</v>
      </c>
      <c r="P2432" s="30" t="s">
        <v>905</v>
      </c>
      <c r="Q2432" s="30">
        <v>0</v>
      </c>
      <c r="R2432" s="30" t="s">
        <v>905</v>
      </c>
      <c r="S2432" s="30" t="s">
        <v>905</v>
      </c>
      <c r="T2432" s="30" t="s">
        <v>905</v>
      </c>
      <c r="U24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32" s="19">
        <v>0</v>
      </c>
      <c r="W2432" s="20">
        <v>46233</v>
      </c>
      <c r="X2432" s="21" t="s">
        <v>906</v>
      </c>
      <c r="Y2432" s="24" t="s">
        <v>901</v>
      </c>
      <c r="Z2432" s="24" t="s">
        <v>945</v>
      </c>
      <c r="AA2432" s="24" t="s">
        <v>946</v>
      </c>
    </row>
    <row r="2433" spans="1:27" hidden="1" x14ac:dyDescent="0.3">
      <c r="A2433" s="29" t="s">
        <v>279</v>
      </c>
      <c r="B2433" s="4" t="s">
        <v>17</v>
      </c>
      <c r="C2433" s="16" t="s">
        <v>18</v>
      </c>
      <c r="D2433" s="4">
        <v>11</v>
      </c>
      <c r="E2433" s="4" t="s">
        <v>745</v>
      </c>
      <c r="F2433" t="s">
        <v>319</v>
      </c>
      <c r="G2433" t="s">
        <v>290</v>
      </c>
      <c r="J2433" s="4" t="s">
        <v>19</v>
      </c>
      <c r="K2433" s="4" t="s">
        <v>20</v>
      </c>
      <c r="L2433" s="4" t="s">
        <v>742</v>
      </c>
      <c r="M2433" s="17">
        <v>30</v>
      </c>
      <c r="N2433" s="17">
        <v>759</v>
      </c>
      <c r="O2433" s="18" t="s">
        <v>19</v>
      </c>
      <c r="P2433" s="18">
        <v>759</v>
      </c>
      <c r="Q2433" s="18">
        <v>30</v>
      </c>
      <c r="R2433" s="18" t="s">
        <v>778</v>
      </c>
      <c r="S2433" s="18" t="s">
        <v>889</v>
      </c>
      <c r="T2433" s="18" t="s">
        <v>794</v>
      </c>
      <c r="U24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33" s="19">
        <f>IF(AUDITORIA[[#This Row],[CAT]]="",0,1)</f>
        <v>1</v>
      </c>
      <c r="W2433" s="20">
        <v>46233</v>
      </c>
      <c r="X2433" s="21" t="s">
        <v>906</v>
      </c>
      <c r="Y2433" s="24" t="s">
        <v>901</v>
      </c>
      <c r="Z2433" s="24" t="s">
        <v>945</v>
      </c>
      <c r="AA2433" s="24" t="s">
        <v>946</v>
      </c>
    </row>
    <row r="2434" spans="1:27" hidden="1" x14ac:dyDescent="0.3">
      <c r="A2434" s="29" t="s">
        <v>279</v>
      </c>
      <c r="B2434" s="4" t="s">
        <v>17</v>
      </c>
      <c r="C2434" s="16" t="s">
        <v>18</v>
      </c>
      <c r="D2434" s="4">
        <v>11</v>
      </c>
      <c r="E2434" s="4" t="s">
        <v>745</v>
      </c>
      <c r="F2434" t="s">
        <v>321</v>
      </c>
      <c r="G2434" t="s">
        <v>106</v>
      </c>
      <c r="J2434" s="4" t="s">
        <v>19</v>
      </c>
      <c r="K2434" s="4" t="s">
        <v>20</v>
      </c>
      <c r="L2434" s="4" t="s">
        <v>742</v>
      </c>
      <c r="M2434" s="17">
        <v>0</v>
      </c>
      <c r="N2434" s="17">
        <v>830</v>
      </c>
      <c r="O2434" s="18" t="s">
        <v>19</v>
      </c>
      <c r="P2434" s="30" t="s">
        <v>905</v>
      </c>
      <c r="Q2434" s="30">
        <v>0</v>
      </c>
      <c r="R2434" s="30" t="s">
        <v>905</v>
      </c>
      <c r="S2434" s="30" t="s">
        <v>905</v>
      </c>
      <c r="T2434" s="30" t="s">
        <v>905</v>
      </c>
      <c r="U24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34" s="19">
        <v>0</v>
      </c>
      <c r="W2434" s="20">
        <v>46233</v>
      </c>
      <c r="X2434" s="21" t="s">
        <v>906</v>
      </c>
      <c r="Y2434" s="24" t="s">
        <v>901</v>
      </c>
      <c r="Z2434" s="24" t="s">
        <v>945</v>
      </c>
      <c r="AA2434" s="24" t="s">
        <v>946</v>
      </c>
    </row>
    <row r="2435" spans="1:27" hidden="1" x14ac:dyDescent="0.3">
      <c r="A2435" s="29" t="s">
        <v>279</v>
      </c>
      <c r="B2435" s="4" t="s">
        <v>17</v>
      </c>
      <c r="C2435" s="16" t="s">
        <v>18</v>
      </c>
      <c r="D2435" s="4">
        <v>11</v>
      </c>
      <c r="E2435" s="4" t="s">
        <v>745</v>
      </c>
      <c r="F2435" t="s">
        <v>583</v>
      </c>
      <c r="G2435" t="s">
        <v>368</v>
      </c>
      <c r="J2435" s="4" t="s">
        <v>88</v>
      </c>
      <c r="K2435" s="4" t="s">
        <v>20</v>
      </c>
      <c r="L2435" s="4" t="s">
        <v>742</v>
      </c>
      <c r="M2435" s="17">
        <v>30</v>
      </c>
      <c r="N2435" s="17">
        <v>689</v>
      </c>
      <c r="O2435" s="18" t="s">
        <v>88</v>
      </c>
      <c r="P2435" s="18">
        <v>689</v>
      </c>
      <c r="Q2435" s="18">
        <v>30</v>
      </c>
      <c r="R2435" s="18" t="s">
        <v>778</v>
      </c>
      <c r="S2435" s="18" t="s">
        <v>842</v>
      </c>
      <c r="T2435" s="18" t="s">
        <v>780</v>
      </c>
      <c r="U24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35" s="19">
        <f>IF(AUDITORIA[[#This Row],[CAT]]="",0,1)</f>
        <v>1</v>
      </c>
      <c r="W2435" s="20">
        <v>46233</v>
      </c>
      <c r="X2435" s="21" t="s">
        <v>906</v>
      </c>
      <c r="Y2435" s="24" t="s">
        <v>901</v>
      </c>
      <c r="Z2435" s="24" t="s">
        <v>945</v>
      </c>
      <c r="AA2435" s="24" t="s">
        <v>946</v>
      </c>
    </row>
    <row r="2436" spans="1:27" hidden="1" x14ac:dyDescent="0.3">
      <c r="A2436" s="29" t="s">
        <v>279</v>
      </c>
      <c r="B2436" s="4" t="s">
        <v>17</v>
      </c>
      <c r="C2436" s="16" t="s">
        <v>18</v>
      </c>
      <c r="D2436" s="4">
        <v>11</v>
      </c>
      <c r="E2436" s="4" t="s">
        <v>745</v>
      </c>
      <c r="F2436" t="s">
        <v>581</v>
      </c>
      <c r="G2436" t="s">
        <v>368</v>
      </c>
      <c r="J2436" s="4" t="s">
        <v>88</v>
      </c>
      <c r="K2436" s="4" t="s">
        <v>20</v>
      </c>
      <c r="L2436" s="4" t="s">
        <v>742</v>
      </c>
      <c r="M2436" s="17">
        <v>30</v>
      </c>
      <c r="N2436" s="17">
        <v>668</v>
      </c>
      <c r="O2436" s="18" t="s">
        <v>88</v>
      </c>
      <c r="P2436" s="18">
        <v>688</v>
      </c>
      <c r="Q2436" s="18">
        <v>30</v>
      </c>
      <c r="R2436" s="18" t="s">
        <v>778</v>
      </c>
      <c r="S2436" s="18" t="s">
        <v>842</v>
      </c>
      <c r="T2436" s="18" t="s">
        <v>781</v>
      </c>
      <c r="U24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36" s="19">
        <f>IF(AUDITORIA[[#This Row],[CAT]]="",0,1)</f>
        <v>1</v>
      </c>
      <c r="W2436" s="20">
        <v>46233</v>
      </c>
      <c r="X2436" s="21" t="s">
        <v>906</v>
      </c>
      <c r="Y2436" s="24" t="s">
        <v>901</v>
      </c>
      <c r="Z2436" s="24" t="s">
        <v>945</v>
      </c>
      <c r="AA2436" s="24" t="s">
        <v>946</v>
      </c>
    </row>
    <row r="2437" spans="1:27" hidden="1" x14ac:dyDescent="0.3">
      <c r="A2437" s="29" t="s">
        <v>279</v>
      </c>
      <c r="B2437" s="4" t="s">
        <v>17</v>
      </c>
      <c r="C2437" s="16" t="s">
        <v>18</v>
      </c>
      <c r="D2437" s="4">
        <v>11</v>
      </c>
      <c r="E2437" s="4" t="s">
        <v>745</v>
      </c>
      <c r="F2437" t="s">
        <v>307</v>
      </c>
      <c r="G2437" t="s">
        <v>106</v>
      </c>
      <c r="J2437" s="4" t="s">
        <v>19</v>
      </c>
      <c r="K2437" s="4" t="s">
        <v>20</v>
      </c>
      <c r="L2437" s="4" t="s">
        <v>742</v>
      </c>
      <c r="M2437" s="17">
        <v>0</v>
      </c>
      <c r="N2437" s="17">
        <v>858</v>
      </c>
      <c r="O2437" s="18" t="s">
        <v>19</v>
      </c>
      <c r="P2437" s="30" t="s">
        <v>905</v>
      </c>
      <c r="Q2437" s="30">
        <v>0</v>
      </c>
      <c r="R2437" s="30" t="s">
        <v>905</v>
      </c>
      <c r="S2437" s="30" t="s">
        <v>905</v>
      </c>
      <c r="T2437" s="30" t="s">
        <v>905</v>
      </c>
      <c r="U24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37" s="19">
        <v>0</v>
      </c>
      <c r="W2437" s="20">
        <v>46233</v>
      </c>
      <c r="X2437" s="21" t="s">
        <v>906</v>
      </c>
      <c r="Y2437" s="24" t="s">
        <v>901</v>
      </c>
      <c r="Z2437" s="24" t="s">
        <v>945</v>
      </c>
      <c r="AA2437" s="24" t="s">
        <v>946</v>
      </c>
    </row>
    <row r="2438" spans="1:27" hidden="1" x14ac:dyDescent="0.3">
      <c r="A2438" s="29" t="s">
        <v>279</v>
      </c>
      <c r="B2438" s="4" t="s">
        <v>17</v>
      </c>
      <c r="C2438" s="16" t="s">
        <v>18</v>
      </c>
      <c r="D2438" s="4">
        <v>11</v>
      </c>
      <c r="E2438" s="4" t="s">
        <v>745</v>
      </c>
      <c r="F2438" t="s">
        <v>308</v>
      </c>
      <c r="G2438" t="s">
        <v>106</v>
      </c>
      <c r="J2438" s="4" t="s">
        <v>19</v>
      </c>
      <c r="K2438" s="4" t="s">
        <v>21</v>
      </c>
      <c r="L2438" s="4" t="s">
        <v>742</v>
      </c>
      <c r="M2438" s="17">
        <v>24</v>
      </c>
      <c r="N2438" s="17">
        <v>1030</v>
      </c>
      <c r="O2438" s="18" t="s">
        <v>19</v>
      </c>
      <c r="P2438" s="18">
        <v>1030</v>
      </c>
      <c r="Q2438" s="18">
        <v>24</v>
      </c>
      <c r="R2438" s="18" t="s">
        <v>778</v>
      </c>
      <c r="S2438" s="18" t="s">
        <v>876</v>
      </c>
      <c r="T2438" s="18" t="s">
        <v>794</v>
      </c>
      <c r="U24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38" s="19">
        <f>IF(AUDITORIA[[#This Row],[CAT]]="",0,1)</f>
        <v>1</v>
      </c>
      <c r="W2438" s="20">
        <v>46233</v>
      </c>
      <c r="X2438" s="21" t="s">
        <v>906</v>
      </c>
      <c r="Y2438" s="24" t="s">
        <v>901</v>
      </c>
      <c r="Z2438" s="24" t="s">
        <v>945</v>
      </c>
      <c r="AA2438" s="24" t="s">
        <v>946</v>
      </c>
    </row>
    <row r="2439" spans="1:27" hidden="1" x14ac:dyDescent="0.3">
      <c r="A2439" s="29" t="s">
        <v>279</v>
      </c>
      <c r="B2439" s="4" t="s">
        <v>17</v>
      </c>
      <c r="C2439" s="16" t="s">
        <v>18</v>
      </c>
      <c r="D2439" s="4">
        <v>11</v>
      </c>
      <c r="E2439" s="4" t="s">
        <v>745</v>
      </c>
      <c r="F2439" t="s">
        <v>309</v>
      </c>
      <c r="G2439" t="s">
        <v>290</v>
      </c>
      <c r="J2439" s="4" t="s">
        <v>19</v>
      </c>
      <c r="K2439" s="4" t="s">
        <v>20</v>
      </c>
      <c r="L2439" s="4" t="s">
        <v>742</v>
      </c>
      <c r="M2439" s="17">
        <v>30</v>
      </c>
      <c r="N2439" s="17">
        <v>739</v>
      </c>
      <c r="O2439" s="18" t="s">
        <v>19</v>
      </c>
      <c r="P2439" s="18">
        <v>739</v>
      </c>
      <c r="Q2439" s="18">
        <v>30</v>
      </c>
      <c r="R2439" s="18" t="s">
        <v>778</v>
      </c>
      <c r="S2439" s="18" t="s">
        <v>885</v>
      </c>
      <c r="T2439" s="18" t="s">
        <v>782</v>
      </c>
      <c r="U24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39" s="19">
        <f>IF(AUDITORIA[[#This Row],[CAT]]="",0,1)</f>
        <v>1</v>
      </c>
      <c r="W2439" s="20">
        <v>46233</v>
      </c>
      <c r="X2439" s="21" t="s">
        <v>906</v>
      </c>
      <c r="Y2439" s="24" t="s">
        <v>901</v>
      </c>
      <c r="Z2439" s="24" t="s">
        <v>945</v>
      </c>
      <c r="AA2439" s="24" t="s">
        <v>946</v>
      </c>
    </row>
    <row r="2440" spans="1:27" hidden="1" x14ac:dyDescent="0.3">
      <c r="A2440" s="29" t="s">
        <v>279</v>
      </c>
      <c r="B2440" s="4" t="s">
        <v>17</v>
      </c>
      <c r="C2440" s="16" t="s">
        <v>18</v>
      </c>
      <c r="D2440" s="4">
        <v>11</v>
      </c>
      <c r="E2440" s="4" t="s">
        <v>745</v>
      </c>
      <c r="F2440" t="s">
        <v>310</v>
      </c>
      <c r="G2440" t="s">
        <v>290</v>
      </c>
      <c r="J2440" s="4" t="s">
        <v>19</v>
      </c>
      <c r="K2440" s="4" t="s">
        <v>20</v>
      </c>
      <c r="L2440" s="4" t="s">
        <v>742</v>
      </c>
      <c r="M2440" s="17">
        <v>30</v>
      </c>
      <c r="N2440" s="17">
        <v>769</v>
      </c>
      <c r="O2440" s="18" t="s">
        <v>19</v>
      </c>
      <c r="P2440" s="18">
        <v>769</v>
      </c>
      <c r="Q2440" s="18">
        <v>30</v>
      </c>
      <c r="R2440" s="18" t="s">
        <v>778</v>
      </c>
      <c r="S2440" s="18" t="s">
        <v>885</v>
      </c>
      <c r="T2440" s="18" t="s">
        <v>781</v>
      </c>
      <c r="U24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40" s="19">
        <f>IF(AUDITORIA[[#This Row],[CAT]]="",0,1)</f>
        <v>1</v>
      </c>
      <c r="W2440" s="20">
        <v>46233</v>
      </c>
      <c r="X2440" s="21" t="s">
        <v>906</v>
      </c>
      <c r="Y2440" s="24" t="s">
        <v>901</v>
      </c>
      <c r="Z2440" s="24" t="s">
        <v>945</v>
      </c>
      <c r="AA2440" s="24" t="s">
        <v>946</v>
      </c>
    </row>
    <row r="2441" spans="1:27" hidden="1" x14ac:dyDescent="0.3">
      <c r="A2441" s="29" t="s">
        <v>279</v>
      </c>
      <c r="B2441" s="4" t="s">
        <v>17</v>
      </c>
      <c r="C2441" s="16" t="s">
        <v>18</v>
      </c>
      <c r="D2441" s="4">
        <v>11</v>
      </c>
      <c r="E2441" s="4" t="s">
        <v>745</v>
      </c>
      <c r="F2441" t="s">
        <v>311</v>
      </c>
      <c r="G2441" t="s">
        <v>106</v>
      </c>
      <c r="J2441" s="4" t="s">
        <v>19</v>
      </c>
      <c r="K2441" s="4" t="s">
        <v>20</v>
      </c>
      <c r="L2441" s="4" t="s">
        <v>742</v>
      </c>
      <c r="M2441" s="17">
        <v>0</v>
      </c>
      <c r="N2441" s="17">
        <v>857</v>
      </c>
      <c r="O2441" s="18" t="s">
        <v>19</v>
      </c>
      <c r="P2441" s="30" t="s">
        <v>905</v>
      </c>
      <c r="Q2441" s="30">
        <v>0</v>
      </c>
      <c r="R2441" s="30" t="s">
        <v>905</v>
      </c>
      <c r="S2441" s="30" t="s">
        <v>905</v>
      </c>
      <c r="T2441" s="30" t="s">
        <v>905</v>
      </c>
      <c r="U24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41" s="19">
        <v>0</v>
      </c>
      <c r="W2441" s="20">
        <v>46233</v>
      </c>
      <c r="X2441" s="21" t="s">
        <v>906</v>
      </c>
      <c r="Y2441" s="24" t="s">
        <v>901</v>
      </c>
      <c r="Z2441" s="24" t="s">
        <v>945</v>
      </c>
      <c r="AA2441" s="24" t="s">
        <v>946</v>
      </c>
    </row>
    <row r="2442" spans="1:27" hidden="1" x14ac:dyDescent="0.3">
      <c r="A2442" s="29" t="s">
        <v>279</v>
      </c>
      <c r="B2442" s="4" t="s">
        <v>17</v>
      </c>
      <c r="C2442" s="16" t="s">
        <v>18</v>
      </c>
      <c r="D2442" s="4">
        <v>11</v>
      </c>
      <c r="E2442" s="4" t="s">
        <v>745</v>
      </c>
      <c r="F2442" t="s">
        <v>299</v>
      </c>
      <c r="G2442" t="s">
        <v>290</v>
      </c>
      <c r="J2442" s="4" t="s">
        <v>19</v>
      </c>
      <c r="K2442" s="4" t="s">
        <v>21</v>
      </c>
      <c r="L2442" s="4" t="s">
        <v>742</v>
      </c>
      <c r="M2442" s="17">
        <v>30</v>
      </c>
      <c r="N2442" s="17">
        <v>911</v>
      </c>
      <c r="O2442" s="18" t="s">
        <v>19</v>
      </c>
      <c r="P2442" s="18">
        <v>911</v>
      </c>
      <c r="Q2442" s="18">
        <v>30</v>
      </c>
      <c r="R2442" s="18" t="s">
        <v>778</v>
      </c>
      <c r="S2442" s="18" t="s">
        <v>878</v>
      </c>
      <c r="T2442" s="18" t="s">
        <v>781</v>
      </c>
      <c r="U24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42" s="19">
        <f>IF(AUDITORIA[[#This Row],[CAT]]="",0,1)</f>
        <v>1</v>
      </c>
      <c r="W2442" s="20">
        <v>46233</v>
      </c>
      <c r="X2442" s="21" t="s">
        <v>906</v>
      </c>
      <c r="Y2442" s="24" t="s">
        <v>901</v>
      </c>
      <c r="Z2442" s="24" t="s">
        <v>945</v>
      </c>
      <c r="AA2442" s="24" t="s">
        <v>946</v>
      </c>
    </row>
    <row r="2443" spans="1:27" hidden="1" x14ac:dyDescent="0.3">
      <c r="A2443" s="29" t="s">
        <v>279</v>
      </c>
      <c r="B2443" s="4" t="s">
        <v>17</v>
      </c>
      <c r="C2443" s="16" t="s">
        <v>18</v>
      </c>
      <c r="D2443" s="4">
        <v>11</v>
      </c>
      <c r="E2443" s="4" t="s">
        <v>745</v>
      </c>
      <c r="F2443" t="s">
        <v>301</v>
      </c>
      <c r="G2443" t="s">
        <v>290</v>
      </c>
      <c r="J2443" s="4" t="s">
        <v>19</v>
      </c>
      <c r="K2443" s="4" t="s">
        <v>20</v>
      </c>
      <c r="L2443" s="4" t="s">
        <v>742</v>
      </c>
      <c r="M2443" s="17">
        <v>30</v>
      </c>
      <c r="N2443" s="17">
        <v>746</v>
      </c>
      <c r="O2443" s="18" t="s">
        <v>19</v>
      </c>
      <c r="P2443" s="18">
        <v>746</v>
      </c>
      <c r="Q2443" s="18">
        <v>30</v>
      </c>
      <c r="R2443" s="18" t="s">
        <v>778</v>
      </c>
      <c r="S2443" s="18" t="s">
        <v>886</v>
      </c>
      <c r="T2443" s="18" t="s">
        <v>780</v>
      </c>
      <c r="U24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43" s="19">
        <f>IF(AUDITORIA[[#This Row],[CAT]]="",0,1)</f>
        <v>1</v>
      </c>
      <c r="W2443" s="20">
        <v>46233</v>
      </c>
      <c r="X2443" s="21" t="s">
        <v>906</v>
      </c>
      <c r="Y2443" s="24" t="s">
        <v>901</v>
      </c>
      <c r="Z2443" s="24" t="s">
        <v>945</v>
      </c>
      <c r="AA2443" s="24" t="s">
        <v>946</v>
      </c>
    </row>
    <row r="2444" spans="1:27" hidden="1" x14ac:dyDescent="0.3">
      <c r="A2444" s="29" t="s">
        <v>279</v>
      </c>
      <c r="B2444" s="4" t="s">
        <v>17</v>
      </c>
      <c r="C2444" s="16" t="s">
        <v>18</v>
      </c>
      <c r="D2444" s="4">
        <v>11</v>
      </c>
      <c r="E2444" s="4" t="s">
        <v>745</v>
      </c>
      <c r="F2444" t="s">
        <v>302</v>
      </c>
      <c r="G2444" t="s">
        <v>290</v>
      </c>
      <c r="J2444" s="4" t="s">
        <v>19</v>
      </c>
      <c r="K2444" s="4" t="s">
        <v>21</v>
      </c>
      <c r="L2444" s="4" t="s">
        <v>742</v>
      </c>
      <c r="M2444" s="17">
        <v>27</v>
      </c>
      <c r="N2444" s="17">
        <v>933</v>
      </c>
      <c r="O2444" s="18" t="s">
        <v>19</v>
      </c>
      <c r="P2444" s="18">
        <v>933</v>
      </c>
      <c r="Q2444" s="18">
        <v>27</v>
      </c>
      <c r="R2444" s="18" t="s">
        <v>778</v>
      </c>
      <c r="S2444" s="18" t="s">
        <v>878</v>
      </c>
      <c r="T2444" s="18" t="s">
        <v>780</v>
      </c>
      <c r="U24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44" s="19">
        <f>IF(AUDITORIA[[#This Row],[CAT]]="",0,1)</f>
        <v>1</v>
      </c>
      <c r="W2444" s="20">
        <v>46233</v>
      </c>
      <c r="X2444" s="21" t="s">
        <v>906</v>
      </c>
      <c r="Y2444" s="24" t="s">
        <v>901</v>
      </c>
      <c r="Z2444" s="24" t="s">
        <v>945</v>
      </c>
      <c r="AA2444" s="24" t="s">
        <v>946</v>
      </c>
    </row>
    <row r="2445" spans="1:27" hidden="1" x14ac:dyDescent="0.3">
      <c r="A2445" s="29" t="s">
        <v>279</v>
      </c>
      <c r="B2445" s="4" t="s">
        <v>17</v>
      </c>
      <c r="C2445" s="16" t="s">
        <v>18</v>
      </c>
      <c r="D2445" s="4">
        <v>11</v>
      </c>
      <c r="E2445" s="4" t="s">
        <v>745</v>
      </c>
      <c r="F2445" t="s">
        <v>303</v>
      </c>
      <c r="G2445" t="s">
        <v>106</v>
      </c>
      <c r="J2445" s="4" t="s">
        <v>19</v>
      </c>
      <c r="K2445" s="4" t="s">
        <v>21</v>
      </c>
      <c r="L2445" s="4" t="s">
        <v>742</v>
      </c>
      <c r="M2445" s="17">
        <v>24</v>
      </c>
      <c r="N2445" s="17">
        <v>1020</v>
      </c>
      <c r="O2445" s="18" t="s">
        <v>19</v>
      </c>
      <c r="P2445" s="18">
        <v>1020</v>
      </c>
      <c r="Q2445" s="18">
        <v>24</v>
      </c>
      <c r="R2445" s="18" t="s">
        <v>778</v>
      </c>
      <c r="S2445" s="18" t="s">
        <v>881</v>
      </c>
      <c r="T2445" s="18" t="s">
        <v>780</v>
      </c>
      <c r="U24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45" s="19">
        <f>IF(AUDITORIA[[#This Row],[CAT]]="",0,1)</f>
        <v>1</v>
      </c>
      <c r="W2445" s="20">
        <v>46233</v>
      </c>
      <c r="X2445" s="21" t="s">
        <v>906</v>
      </c>
      <c r="Y2445" s="24" t="s">
        <v>901</v>
      </c>
      <c r="Z2445" s="24" t="s">
        <v>945</v>
      </c>
      <c r="AA2445" s="24" t="s">
        <v>946</v>
      </c>
    </row>
    <row r="2446" spans="1:27" hidden="1" x14ac:dyDescent="0.3">
      <c r="A2446" s="29" t="s">
        <v>279</v>
      </c>
      <c r="B2446" s="4" t="s">
        <v>17</v>
      </c>
      <c r="C2446" s="16" t="s">
        <v>18</v>
      </c>
      <c r="D2446" s="4">
        <v>11</v>
      </c>
      <c r="E2446" s="4" t="s">
        <v>745</v>
      </c>
      <c r="F2446" t="s">
        <v>304</v>
      </c>
      <c r="G2446" t="s">
        <v>290</v>
      </c>
      <c r="J2446" s="4" t="s">
        <v>19</v>
      </c>
      <c r="K2446" s="4" t="s">
        <v>20</v>
      </c>
      <c r="L2446" s="4" t="s">
        <v>742</v>
      </c>
      <c r="M2446" s="17">
        <v>30</v>
      </c>
      <c r="N2446" s="17">
        <v>755</v>
      </c>
      <c r="O2446" s="18" t="s">
        <v>19</v>
      </c>
      <c r="P2446" s="18">
        <v>755</v>
      </c>
      <c r="Q2446" s="18">
        <v>30</v>
      </c>
      <c r="R2446" s="18" t="s">
        <v>778</v>
      </c>
      <c r="S2446" s="18" t="s">
        <v>885</v>
      </c>
      <c r="T2446" s="18" t="s">
        <v>840</v>
      </c>
      <c r="U24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46" s="19">
        <f>IF(AUDITORIA[[#This Row],[CAT]]="",0,1)</f>
        <v>1</v>
      </c>
      <c r="W2446" s="20">
        <v>46233</v>
      </c>
      <c r="X2446" s="21" t="s">
        <v>906</v>
      </c>
      <c r="Y2446" s="24" t="s">
        <v>901</v>
      </c>
      <c r="Z2446" s="24" t="s">
        <v>945</v>
      </c>
      <c r="AA2446" s="24" t="s">
        <v>946</v>
      </c>
    </row>
    <row r="2447" spans="1:27" hidden="1" x14ac:dyDescent="0.3">
      <c r="A2447" s="29" t="s">
        <v>279</v>
      </c>
      <c r="B2447" s="4" t="s">
        <v>17</v>
      </c>
      <c r="C2447" s="16" t="s">
        <v>18</v>
      </c>
      <c r="D2447" s="4">
        <v>11</v>
      </c>
      <c r="E2447" s="4" t="s">
        <v>745</v>
      </c>
      <c r="F2447" t="s">
        <v>306</v>
      </c>
      <c r="G2447" t="s">
        <v>290</v>
      </c>
      <c r="J2447" s="4" t="s">
        <v>19</v>
      </c>
      <c r="K2447" s="4" t="s">
        <v>20</v>
      </c>
      <c r="L2447" s="4" t="s">
        <v>742</v>
      </c>
      <c r="M2447" s="17">
        <v>30</v>
      </c>
      <c r="N2447" s="17">
        <v>720</v>
      </c>
      <c r="O2447" s="18" t="s">
        <v>19</v>
      </c>
      <c r="P2447" s="18">
        <v>720</v>
      </c>
      <c r="Q2447" s="18">
        <v>30</v>
      </c>
      <c r="R2447" s="18" t="s">
        <v>778</v>
      </c>
      <c r="S2447" s="18" t="s">
        <v>885</v>
      </c>
      <c r="T2447" s="18" t="s">
        <v>794</v>
      </c>
      <c r="U24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47" s="19">
        <f>IF(AUDITORIA[[#This Row],[CAT]]="",0,1)</f>
        <v>1</v>
      </c>
      <c r="W2447" s="20">
        <v>46233</v>
      </c>
      <c r="X2447" s="21" t="s">
        <v>906</v>
      </c>
      <c r="Y2447" s="24" t="s">
        <v>901</v>
      </c>
      <c r="Z2447" s="24" t="s">
        <v>945</v>
      </c>
      <c r="AA2447" s="24" t="s">
        <v>946</v>
      </c>
    </row>
    <row r="2448" spans="1:27" hidden="1" x14ac:dyDescent="0.3">
      <c r="A2448" s="29" t="s">
        <v>279</v>
      </c>
      <c r="B2448" s="4" t="s">
        <v>17</v>
      </c>
      <c r="C2448" s="16" t="s">
        <v>18</v>
      </c>
      <c r="D2448" s="4">
        <v>11</v>
      </c>
      <c r="E2448" s="4" t="s">
        <v>745</v>
      </c>
      <c r="F2448" t="s">
        <v>288</v>
      </c>
      <c r="G2448" t="s">
        <v>106</v>
      </c>
      <c r="J2448" s="4" t="s">
        <v>19</v>
      </c>
      <c r="K2448" s="4" t="s">
        <v>21</v>
      </c>
      <c r="L2448" s="4" t="s">
        <v>742</v>
      </c>
      <c r="M2448" s="17">
        <v>24</v>
      </c>
      <c r="N2448" s="17">
        <v>1025</v>
      </c>
      <c r="O2448" s="18" t="s">
        <v>19</v>
      </c>
      <c r="P2448" s="18">
        <v>1025</v>
      </c>
      <c r="Q2448" s="18">
        <v>24</v>
      </c>
      <c r="R2448" s="18" t="s">
        <v>778</v>
      </c>
      <c r="S2448" s="18" t="s">
        <v>881</v>
      </c>
      <c r="T2448" s="18" t="s">
        <v>782</v>
      </c>
      <c r="U24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48" s="19">
        <f>IF(AUDITORIA[[#This Row],[CAT]]="",0,1)</f>
        <v>1</v>
      </c>
      <c r="W2448" s="20">
        <v>46233</v>
      </c>
      <c r="X2448" s="21" t="s">
        <v>906</v>
      </c>
      <c r="Y2448" s="24" t="s">
        <v>901</v>
      </c>
      <c r="Z2448" s="24" t="s">
        <v>945</v>
      </c>
      <c r="AA2448" s="24" t="s">
        <v>946</v>
      </c>
    </row>
    <row r="2449" spans="1:27" hidden="1" x14ac:dyDescent="0.3">
      <c r="A2449" s="29" t="s">
        <v>279</v>
      </c>
      <c r="B2449" s="4" t="s">
        <v>17</v>
      </c>
      <c r="C2449" s="16" t="s">
        <v>18</v>
      </c>
      <c r="D2449" s="4">
        <v>11</v>
      </c>
      <c r="E2449" s="4" t="s">
        <v>745</v>
      </c>
      <c r="F2449" t="s">
        <v>296</v>
      </c>
      <c r="G2449" t="s">
        <v>106</v>
      </c>
      <c r="J2449" s="4" t="s">
        <v>19</v>
      </c>
      <c r="K2449" s="4" t="s">
        <v>20</v>
      </c>
      <c r="L2449" s="4" t="s">
        <v>742</v>
      </c>
      <c r="M2449" s="17">
        <v>30</v>
      </c>
      <c r="N2449" s="17">
        <v>863</v>
      </c>
      <c r="O2449" s="18" t="s">
        <v>19</v>
      </c>
      <c r="P2449" s="18">
        <v>863</v>
      </c>
      <c r="Q2449" s="18">
        <v>30</v>
      </c>
      <c r="R2449" s="18" t="s">
        <v>778</v>
      </c>
      <c r="S2449" s="18" t="s">
        <v>880</v>
      </c>
      <c r="T2449" s="18" t="s">
        <v>780</v>
      </c>
      <c r="U24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49" s="19">
        <f>IF(AUDITORIA[[#This Row],[CAT]]="",0,1)</f>
        <v>1</v>
      </c>
      <c r="W2449" s="20">
        <v>46233</v>
      </c>
      <c r="X2449" s="21" t="s">
        <v>906</v>
      </c>
      <c r="Y2449" s="24" t="s">
        <v>901</v>
      </c>
      <c r="Z2449" s="24" t="s">
        <v>945</v>
      </c>
      <c r="AA2449" s="24" t="s">
        <v>946</v>
      </c>
    </row>
    <row r="2450" spans="1:27" hidden="1" x14ac:dyDescent="0.3">
      <c r="A2450" s="29" t="s">
        <v>279</v>
      </c>
      <c r="B2450" s="4" t="s">
        <v>17</v>
      </c>
      <c r="C2450" s="16" t="s">
        <v>18</v>
      </c>
      <c r="D2450" s="4">
        <v>11</v>
      </c>
      <c r="E2450" s="4" t="s">
        <v>745</v>
      </c>
      <c r="F2450" t="s">
        <v>297</v>
      </c>
      <c r="G2450" t="s">
        <v>106</v>
      </c>
      <c r="J2450" s="4" t="s">
        <v>19</v>
      </c>
      <c r="K2450" s="4" t="s">
        <v>21</v>
      </c>
      <c r="L2450" s="4" t="s">
        <v>742</v>
      </c>
      <c r="M2450" s="17">
        <v>0</v>
      </c>
      <c r="N2450" s="17">
        <v>1016</v>
      </c>
      <c r="O2450" s="18" t="s">
        <v>19</v>
      </c>
      <c r="P2450" s="30" t="s">
        <v>905</v>
      </c>
      <c r="Q2450" s="30">
        <v>0</v>
      </c>
      <c r="R2450" s="30" t="s">
        <v>905</v>
      </c>
      <c r="S2450" s="30" t="s">
        <v>905</v>
      </c>
      <c r="T2450" s="30" t="s">
        <v>905</v>
      </c>
      <c r="U24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50" s="19">
        <v>0</v>
      </c>
      <c r="W2450" s="20">
        <v>46233</v>
      </c>
      <c r="X2450" s="21" t="s">
        <v>906</v>
      </c>
      <c r="Y2450" s="24" t="s">
        <v>901</v>
      </c>
      <c r="Z2450" s="24" t="s">
        <v>945</v>
      </c>
      <c r="AA2450" s="24" t="s">
        <v>946</v>
      </c>
    </row>
    <row r="2451" spans="1:27" hidden="1" x14ac:dyDescent="0.3">
      <c r="A2451" s="29" t="s">
        <v>279</v>
      </c>
      <c r="B2451" s="4" t="s">
        <v>17</v>
      </c>
      <c r="C2451" s="16" t="s">
        <v>18</v>
      </c>
      <c r="D2451" s="4">
        <v>11</v>
      </c>
      <c r="E2451" s="4" t="s">
        <v>745</v>
      </c>
      <c r="F2451" t="s">
        <v>298</v>
      </c>
      <c r="G2451" t="s">
        <v>290</v>
      </c>
      <c r="J2451" s="4" t="s">
        <v>19</v>
      </c>
      <c r="K2451" s="4" t="s">
        <v>20</v>
      </c>
      <c r="L2451" s="4" t="s">
        <v>742</v>
      </c>
      <c r="M2451" s="17">
        <v>30</v>
      </c>
      <c r="N2451" s="17">
        <v>800</v>
      </c>
      <c r="O2451" s="18" t="s">
        <v>19</v>
      </c>
      <c r="P2451" s="18">
        <v>800</v>
      </c>
      <c r="Q2451" s="18">
        <v>30</v>
      </c>
      <c r="R2451" s="18" t="s">
        <v>778</v>
      </c>
      <c r="S2451" s="18" t="s">
        <v>886</v>
      </c>
      <c r="T2451" s="18" t="s">
        <v>781</v>
      </c>
      <c r="U24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51" s="19">
        <f>IF(AUDITORIA[[#This Row],[CAT]]="",0,1)</f>
        <v>1</v>
      </c>
      <c r="W2451" s="20">
        <v>46233</v>
      </c>
      <c r="X2451" s="21" t="s">
        <v>906</v>
      </c>
      <c r="Y2451" s="24" t="s">
        <v>901</v>
      </c>
      <c r="Z2451" s="24" t="s">
        <v>945</v>
      </c>
      <c r="AA2451" s="24" t="s">
        <v>946</v>
      </c>
    </row>
    <row r="2452" spans="1:27" hidden="1" x14ac:dyDescent="0.3">
      <c r="A2452" s="29" t="s">
        <v>279</v>
      </c>
      <c r="B2452" s="4" t="s">
        <v>17</v>
      </c>
      <c r="C2452" s="16" t="s">
        <v>18</v>
      </c>
      <c r="D2452" s="4">
        <v>11</v>
      </c>
      <c r="E2452" s="4" t="s">
        <v>745</v>
      </c>
      <c r="F2452" t="s">
        <v>300</v>
      </c>
      <c r="G2452" t="s">
        <v>106</v>
      </c>
      <c r="J2452" s="4" t="s">
        <v>19</v>
      </c>
      <c r="K2452" s="4" t="s">
        <v>20</v>
      </c>
      <c r="L2452" s="4" t="s">
        <v>742</v>
      </c>
      <c r="M2452" s="17">
        <v>0</v>
      </c>
      <c r="N2452" s="17">
        <v>854</v>
      </c>
      <c r="O2452" s="18" t="s">
        <v>19</v>
      </c>
      <c r="P2452" s="30" t="s">
        <v>905</v>
      </c>
      <c r="Q2452" s="30">
        <v>0</v>
      </c>
      <c r="R2452" s="30" t="s">
        <v>905</v>
      </c>
      <c r="S2452" s="30" t="s">
        <v>905</v>
      </c>
      <c r="T2452" s="30" t="s">
        <v>905</v>
      </c>
      <c r="U24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52" s="19">
        <v>0</v>
      </c>
      <c r="W2452" s="20">
        <v>46233</v>
      </c>
      <c r="X2452" s="21" t="s">
        <v>906</v>
      </c>
      <c r="Y2452" s="24" t="s">
        <v>901</v>
      </c>
      <c r="Z2452" s="24" t="s">
        <v>945</v>
      </c>
      <c r="AA2452" s="24" t="s">
        <v>946</v>
      </c>
    </row>
    <row r="2453" spans="1:27" hidden="1" x14ac:dyDescent="0.3">
      <c r="A2453" s="29" t="s">
        <v>279</v>
      </c>
      <c r="B2453" s="4" t="s">
        <v>17</v>
      </c>
      <c r="C2453" s="16" t="s">
        <v>18</v>
      </c>
      <c r="D2453" s="4">
        <v>11</v>
      </c>
      <c r="E2453" s="4" t="s">
        <v>745</v>
      </c>
      <c r="F2453" t="s">
        <v>284</v>
      </c>
      <c r="G2453" t="s">
        <v>106</v>
      </c>
      <c r="J2453" s="4" t="s">
        <v>19</v>
      </c>
      <c r="K2453" s="4" t="s">
        <v>21</v>
      </c>
      <c r="L2453" s="4" t="s">
        <v>742</v>
      </c>
      <c r="M2453" s="17">
        <v>0</v>
      </c>
      <c r="N2453" s="17">
        <v>1027</v>
      </c>
      <c r="O2453" s="18" t="s">
        <v>19</v>
      </c>
      <c r="P2453" s="30" t="s">
        <v>905</v>
      </c>
      <c r="Q2453" s="30">
        <v>0</v>
      </c>
      <c r="R2453" s="30" t="s">
        <v>905</v>
      </c>
      <c r="S2453" s="30" t="s">
        <v>905</v>
      </c>
      <c r="T2453" s="30" t="s">
        <v>905</v>
      </c>
      <c r="U24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53" s="19">
        <v>0</v>
      </c>
      <c r="W2453" s="20">
        <v>46233</v>
      </c>
      <c r="X2453" s="21" t="s">
        <v>906</v>
      </c>
      <c r="Y2453" s="24" t="s">
        <v>901</v>
      </c>
      <c r="Z2453" s="24" t="s">
        <v>945</v>
      </c>
      <c r="AA2453" s="24" t="s">
        <v>946</v>
      </c>
    </row>
    <row r="2454" spans="1:27" hidden="1" x14ac:dyDescent="0.3">
      <c r="A2454" s="29" t="s">
        <v>279</v>
      </c>
      <c r="B2454" s="4" t="s">
        <v>17</v>
      </c>
      <c r="C2454" s="16" t="s">
        <v>18</v>
      </c>
      <c r="D2454" s="4">
        <v>11</v>
      </c>
      <c r="E2454" s="4" t="s">
        <v>745</v>
      </c>
      <c r="F2454" t="s">
        <v>286</v>
      </c>
      <c r="G2454" t="s">
        <v>106</v>
      </c>
      <c r="J2454" s="4" t="s">
        <v>19</v>
      </c>
      <c r="K2454" s="4" t="s">
        <v>20</v>
      </c>
      <c r="L2454" s="4" t="s">
        <v>742</v>
      </c>
      <c r="M2454" s="17">
        <v>30</v>
      </c>
      <c r="N2454" s="17">
        <v>833</v>
      </c>
      <c r="O2454" s="18" t="s">
        <v>19</v>
      </c>
      <c r="P2454" s="18">
        <v>833</v>
      </c>
      <c r="Q2454" s="18">
        <v>30</v>
      </c>
      <c r="R2454" s="18" t="s">
        <v>778</v>
      </c>
      <c r="S2454" s="18" t="s">
        <v>880</v>
      </c>
      <c r="T2454" s="18" t="s">
        <v>794</v>
      </c>
      <c r="U24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54" s="19">
        <f>IF(AUDITORIA[[#This Row],[CAT]]="",0,1)</f>
        <v>1</v>
      </c>
      <c r="W2454" s="20">
        <v>46233</v>
      </c>
      <c r="X2454" s="21" t="s">
        <v>906</v>
      </c>
      <c r="Y2454" s="24" t="s">
        <v>901</v>
      </c>
      <c r="Z2454" s="24" t="s">
        <v>945</v>
      </c>
      <c r="AA2454" s="24" t="s">
        <v>946</v>
      </c>
    </row>
    <row r="2455" spans="1:27" hidden="1" x14ac:dyDescent="0.3">
      <c r="A2455" s="29" t="s">
        <v>279</v>
      </c>
      <c r="B2455" s="4" t="s">
        <v>17</v>
      </c>
      <c r="C2455" s="16" t="s">
        <v>18</v>
      </c>
      <c r="D2455" s="4">
        <v>11</v>
      </c>
      <c r="E2455" s="4" t="s">
        <v>745</v>
      </c>
      <c r="F2455" t="s">
        <v>287</v>
      </c>
      <c r="G2455" t="s">
        <v>106</v>
      </c>
      <c r="J2455" s="4" t="s">
        <v>19</v>
      </c>
      <c r="K2455" s="4" t="s">
        <v>20</v>
      </c>
      <c r="L2455" s="4" t="s">
        <v>742</v>
      </c>
      <c r="M2455" s="17">
        <v>30</v>
      </c>
      <c r="N2455" s="17">
        <v>857</v>
      </c>
      <c r="O2455" s="18" t="s">
        <v>19</v>
      </c>
      <c r="P2455" s="18">
        <v>857</v>
      </c>
      <c r="Q2455" s="18">
        <v>30</v>
      </c>
      <c r="R2455" s="18" t="s">
        <v>778</v>
      </c>
      <c r="S2455" s="18" t="s">
        <v>880</v>
      </c>
      <c r="T2455" s="18" t="s">
        <v>782</v>
      </c>
      <c r="U245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55" s="19">
        <f>IF(AUDITORIA[[#This Row],[CAT]]="",0,1)</f>
        <v>1</v>
      </c>
      <c r="W2455" s="20">
        <v>46233</v>
      </c>
      <c r="X2455" s="21" t="s">
        <v>906</v>
      </c>
      <c r="Y2455" s="24" t="s">
        <v>901</v>
      </c>
      <c r="Z2455" s="24" t="s">
        <v>945</v>
      </c>
      <c r="AA2455" s="24" t="s">
        <v>946</v>
      </c>
    </row>
    <row r="2456" spans="1:27" hidden="1" x14ac:dyDescent="0.3">
      <c r="A2456" s="29" t="s">
        <v>279</v>
      </c>
      <c r="B2456" s="4" t="s">
        <v>17</v>
      </c>
      <c r="C2456" s="16" t="s">
        <v>18</v>
      </c>
      <c r="D2456" s="4">
        <v>11</v>
      </c>
      <c r="E2456" s="4" t="s">
        <v>745</v>
      </c>
      <c r="F2456" t="s">
        <v>289</v>
      </c>
      <c r="G2456" t="s">
        <v>290</v>
      </c>
      <c r="J2456" s="4" t="s">
        <v>19</v>
      </c>
      <c r="K2456" s="4" t="s">
        <v>20</v>
      </c>
      <c r="L2456" s="4" t="s">
        <v>742</v>
      </c>
      <c r="M2456" s="17">
        <v>9</v>
      </c>
      <c r="N2456" s="17">
        <v>777</v>
      </c>
      <c r="O2456" s="18" t="s">
        <v>19</v>
      </c>
      <c r="P2456" s="18">
        <v>777</v>
      </c>
      <c r="Q2456" s="18">
        <v>9</v>
      </c>
      <c r="R2456" s="18" t="s">
        <v>778</v>
      </c>
      <c r="S2456" s="18" t="s">
        <v>878</v>
      </c>
      <c r="T2456" s="18" t="s">
        <v>782</v>
      </c>
      <c r="U245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56" s="19">
        <f>IF(AUDITORIA[[#This Row],[CAT]]="",0,1)</f>
        <v>1</v>
      </c>
      <c r="W2456" s="20">
        <v>46233</v>
      </c>
      <c r="X2456" s="21" t="s">
        <v>906</v>
      </c>
      <c r="Y2456" s="24" t="s">
        <v>901</v>
      </c>
      <c r="Z2456" s="24" t="s">
        <v>945</v>
      </c>
      <c r="AA2456" s="24" t="s">
        <v>946</v>
      </c>
    </row>
    <row r="2457" spans="1:27" hidden="1" x14ac:dyDescent="0.3">
      <c r="A2457" s="29" t="s">
        <v>279</v>
      </c>
      <c r="B2457" s="4" t="s">
        <v>17</v>
      </c>
      <c r="C2457" s="16" t="s">
        <v>18</v>
      </c>
      <c r="D2457" s="4">
        <v>11</v>
      </c>
      <c r="E2457" s="4" t="s">
        <v>745</v>
      </c>
      <c r="F2457" t="s">
        <v>293</v>
      </c>
      <c r="G2457" t="s">
        <v>290</v>
      </c>
      <c r="J2457" s="4" t="s">
        <v>19</v>
      </c>
      <c r="K2457" s="4" t="s">
        <v>21</v>
      </c>
      <c r="L2457" s="4" t="s">
        <v>742</v>
      </c>
      <c r="M2457" s="17">
        <v>11</v>
      </c>
      <c r="N2457" s="17">
        <v>928</v>
      </c>
      <c r="O2457" s="18" t="s">
        <v>19</v>
      </c>
      <c r="P2457" s="18">
        <v>928</v>
      </c>
      <c r="Q2457" s="18">
        <v>11</v>
      </c>
      <c r="R2457" s="18" t="s">
        <v>778</v>
      </c>
      <c r="S2457" s="18" t="s">
        <v>878</v>
      </c>
      <c r="T2457" s="18" t="s">
        <v>794</v>
      </c>
      <c r="U245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57" s="19">
        <f>IF(AUDITORIA[[#This Row],[CAT]]="",0,1)</f>
        <v>1</v>
      </c>
      <c r="W2457" s="20">
        <v>46233</v>
      </c>
      <c r="X2457" s="21" t="s">
        <v>906</v>
      </c>
      <c r="Y2457" s="24" t="s">
        <v>901</v>
      </c>
      <c r="Z2457" s="24" t="s">
        <v>945</v>
      </c>
      <c r="AA2457" s="24" t="s">
        <v>946</v>
      </c>
    </row>
    <row r="2458" spans="1:27" hidden="1" x14ac:dyDescent="0.3">
      <c r="A2458" s="29" t="s">
        <v>279</v>
      </c>
      <c r="B2458" s="4" t="s">
        <v>17</v>
      </c>
      <c r="C2458" s="16" t="s">
        <v>18</v>
      </c>
      <c r="D2458" s="4">
        <v>11</v>
      </c>
      <c r="E2458" s="4" t="s">
        <v>745</v>
      </c>
      <c r="F2458" t="s">
        <v>294</v>
      </c>
      <c r="G2458" t="s">
        <v>106</v>
      </c>
      <c r="J2458" s="4" t="s">
        <v>19</v>
      </c>
      <c r="K2458" s="4" t="s">
        <v>20</v>
      </c>
      <c r="L2458" s="4" t="s">
        <v>742</v>
      </c>
      <c r="M2458" s="17">
        <v>0</v>
      </c>
      <c r="N2458" s="17">
        <v>844</v>
      </c>
      <c r="O2458" s="18" t="s">
        <v>19</v>
      </c>
      <c r="P2458" s="30" t="s">
        <v>905</v>
      </c>
      <c r="Q2458" s="30">
        <v>0</v>
      </c>
      <c r="R2458" s="30" t="s">
        <v>905</v>
      </c>
      <c r="S2458" s="30" t="s">
        <v>905</v>
      </c>
      <c r="T2458" s="30" t="s">
        <v>905</v>
      </c>
      <c r="U245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58" s="19">
        <v>0</v>
      </c>
      <c r="W2458" s="20">
        <v>46233</v>
      </c>
      <c r="X2458" s="21" t="s">
        <v>906</v>
      </c>
      <c r="Y2458" s="24" t="s">
        <v>901</v>
      </c>
      <c r="Z2458" s="24" t="s">
        <v>945</v>
      </c>
      <c r="AA2458" s="24" t="s">
        <v>946</v>
      </c>
    </row>
    <row r="2459" spans="1:27" hidden="1" x14ac:dyDescent="0.3">
      <c r="A2459" s="29" t="s">
        <v>279</v>
      </c>
      <c r="B2459" s="4" t="s">
        <v>17</v>
      </c>
      <c r="C2459" s="16" t="s">
        <v>18</v>
      </c>
      <c r="D2459" s="4">
        <v>11</v>
      </c>
      <c r="E2459" s="4" t="s">
        <v>745</v>
      </c>
      <c r="F2459" t="s">
        <v>295</v>
      </c>
      <c r="G2459" t="s">
        <v>290</v>
      </c>
      <c r="J2459" s="4" t="s">
        <v>19</v>
      </c>
      <c r="K2459" s="4" t="s">
        <v>20</v>
      </c>
      <c r="L2459" s="4" t="s">
        <v>742</v>
      </c>
      <c r="M2459" s="17">
        <v>30</v>
      </c>
      <c r="N2459" s="17">
        <v>766</v>
      </c>
      <c r="O2459" s="18" t="s">
        <v>19</v>
      </c>
      <c r="P2459" s="18">
        <v>766</v>
      </c>
      <c r="Q2459" s="18">
        <v>30</v>
      </c>
      <c r="R2459" s="18" t="s">
        <v>778</v>
      </c>
      <c r="S2459" s="18" t="s">
        <v>886</v>
      </c>
      <c r="T2459" s="18" t="s">
        <v>782</v>
      </c>
      <c r="U245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59" s="19">
        <f>IF(AUDITORIA[[#This Row],[CAT]]="",0,1)</f>
        <v>1</v>
      </c>
      <c r="W2459" s="20">
        <v>46233</v>
      </c>
      <c r="X2459" s="21" t="s">
        <v>906</v>
      </c>
      <c r="Y2459" s="24" t="s">
        <v>901</v>
      </c>
      <c r="Z2459" s="24" t="s">
        <v>945</v>
      </c>
      <c r="AA2459" s="24" t="s">
        <v>946</v>
      </c>
    </row>
    <row r="2460" spans="1:27" hidden="1" x14ac:dyDescent="0.3">
      <c r="A2460" s="29" t="s">
        <v>279</v>
      </c>
      <c r="B2460" s="4" t="s">
        <v>17</v>
      </c>
      <c r="C2460" s="16" t="s">
        <v>18</v>
      </c>
      <c r="D2460" s="4">
        <v>11</v>
      </c>
      <c r="E2460" s="4" t="s">
        <v>745</v>
      </c>
      <c r="F2460" t="s">
        <v>305</v>
      </c>
      <c r="G2460" t="s">
        <v>106</v>
      </c>
      <c r="J2460" s="4" t="s">
        <v>19</v>
      </c>
      <c r="K2460" s="4" t="s">
        <v>20</v>
      </c>
      <c r="L2460" s="4" t="s">
        <v>742</v>
      </c>
      <c r="M2460" s="17">
        <v>30</v>
      </c>
      <c r="N2460" s="17">
        <v>852</v>
      </c>
      <c r="O2460" s="18" t="s">
        <v>19</v>
      </c>
      <c r="P2460" s="18">
        <v>852</v>
      </c>
      <c r="Q2460" s="18">
        <v>30</v>
      </c>
      <c r="R2460" s="18" t="s">
        <v>778</v>
      </c>
      <c r="S2460" s="18" t="s">
        <v>943</v>
      </c>
      <c r="T2460" s="18" t="s">
        <v>780</v>
      </c>
      <c r="U246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60" s="19">
        <f>IF(AUDITORIA[[#This Row],[CAT]]="",0,1)</f>
        <v>1</v>
      </c>
      <c r="W2460" s="20">
        <v>46233</v>
      </c>
      <c r="X2460" s="21" t="s">
        <v>906</v>
      </c>
      <c r="Y2460" s="24" t="s">
        <v>901</v>
      </c>
      <c r="Z2460" s="24" t="s">
        <v>945</v>
      </c>
      <c r="AA2460" s="24" t="s">
        <v>946</v>
      </c>
    </row>
    <row r="2461" spans="1:27" hidden="1" x14ac:dyDescent="0.3">
      <c r="A2461" s="29" t="s">
        <v>279</v>
      </c>
      <c r="B2461" s="4" t="s">
        <v>17</v>
      </c>
      <c r="C2461" s="16" t="s">
        <v>18</v>
      </c>
      <c r="D2461" s="4">
        <v>11</v>
      </c>
      <c r="E2461" s="4" t="s">
        <v>745</v>
      </c>
      <c r="F2461" t="s">
        <v>498</v>
      </c>
      <c r="G2461" t="s">
        <v>281</v>
      </c>
      <c r="J2461" s="4" t="s">
        <v>31</v>
      </c>
      <c r="K2461" s="4" t="s">
        <v>21</v>
      </c>
      <c r="L2461" s="4" t="s">
        <v>742</v>
      </c>
      <c r="M2461" s="17">
        <v>24</v>
      </c>
      <c r="N2461" s="17">
        <v>1032</v>
      </c>
      <c r="O2461" s="18" t="s">
        <v>31</v>
      </c>
      <c r="P2461" s="18">
        <v>1032</v>
      </c>
      <c r="Q2461" s="18">
        <v>24</v>
      </c>
      <c r="R2461" s="18" t="s">
        <v>778</v>
      </c>
      <c r="S2461" s="18" t="s">
        <v>857</v>
      </c>
      <c r="T2461" s="18" t="s">
        <v>794</v>
      </c>
      <c r="U246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61" s="19">
        <f>IF(AUDITORIA[[#This Row],[CAT]]="",0,1)</f>
        <v>1</v>
      </c>
      <c r="W2461" s="20">
        <v>46233</v>
      </c>
      <c r="X2461" s="21" t="s">
        <v>906</v>
      </c>
      <c r="Y2461" s="24" t="s">
        <v>901</v>
      </c>
      <c r="Z2461" s="24" t="s">
        <v>945</v>
      </c>
      <c r="AA2461" s="24" t="s">
        <v>946</v>
      </c>
    </row>
    <row r="2462" spans="1:27" hidden="1" x14ac:dyDescent="0.3">
      <c r="A2462" s="29" t="s">
        <v>279</v>
      </c>
      <c r="B2462" s="4" t="s">
        <v>17</v>
      </c>
      <c r="C2462" s="16" t="s">
        <v>18</v>
      </c>
      <c r="D2462" s="4">
        <v>11</v>
      </c>
      <c r="E2462" s="4" t="s">
        <v>745</v>
      </c>
      <c r="F2462" t="s">
        <v>499</v>
      </c>
      <c r="G2462" t="s">
        <v>106</v>
      </c>
      <c r="J2462" s="4" t="s">
        <v>19</v>
      </c>
      <c r="K2462" s="4" t="s">
        <v>21</v>
      </c>
      <c r="L2462" s="4" t="s">
        <v>742</v>
      </c>
      <c r="M2462" s="17">
        <v>24</v>
      </c>
      <c r="N2462" s="17">
        <v>1030</v>
      </c>
      <c r="O2462" s="18" t="s">
        <v>19</v>
      </c>
      <c r="P2462" s="18">
        <v>1030</v>
      </c>
      <c r="Q2462" s="18">
        <v>24</v>
      </c>
      <c r="R2462" s="18" t="s">
        <v>778</v>
      </c>
      <c r="S2462" s="18" t="s">
        <v>881</v>
      </c>
      <c r="T2462" s="18" t="s">
        <v>840</v>
      </c>
      <c r="U246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62" s="19">
        <f>IF(AUDITORIA[[#This Row],[CAT]]="",0,1)</f>
        <v>1</v>
      </c>
      <c r="W2462" s="20">
        <v>46233</v>
      </c>
      <c r="X2462" s="21" t="s">
        <v>906</v>
      </c>
      <c r="Y2462" s="24" t="s">
        <v>901</v>
      </c>
      <c r="Z2462" s="24" t="s">
        <v>945</v>
      </c>
      <c r="AA2462" s="24" t="s">
        <v>946</v>
      </c>
    </row>
    <row r="2463" spans="1:27" hidden="1" x14ac:dyDescent="0.3">
      <c r="A2463" s="29" t="s">
        <v>279</v>
      </c>
      <c r="B2463" s="4" t="s">
        <v>17</v>
      </c>
      <c r="C2463" s="16" t="s">
        <v>18</v>
      </c>
      <c r="D2463" s="4">
        <v>11</v>
      </c>
      <c r="E2463" s="4" t="s">
        <v>745</v>
      </c>
      <c r="F2463" t="s">
        <v>500</v>
      </c>
      <c r="G2463" t="s">
        <v>106</v>
      </c>
      <c r="J2463" s="4" t="s">
        <v>19</v>
      </c>
      <c r="K2463" s="4" t="s">
        <v>20</v>
      </c>
      <c r="L2463" s="4" t="s">
        <v>742</v>
      </c>
      <c r="M2463" s="17">
        <v>30</v>
      </c>
      <c r="N2463" s="17">
        <v>830</v>
      </c>
      <c r="O2463" s="18" t="s">
        <v>19</v>
      </c>
      <c r="P2463" s="18">
        <v>830</v>
      </c>
      <c r="Q2463" s="18">
        <v>30</v>
      </c>
      <c r="R2463" s="18" t="s">
        <v>778</v>
      </c>
      <c r="S2463" s="18" t="s">
        <v>892</v>
      </c>
      <c r="T2463" s="18" t="s">
        <v>781</v>
      </c>
      <c r="U246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63" s="19">
        <f>IF(AUDITORIA[[#This Row],[CAT]]="",0,1)</f>
        <v>1</v>
      </c>
      <c r="W2463" s="20">
        <v>46233</v>
      </c>
      <c r="X2463" s="21" t="s">
        <v>906</v>
      </c>
      <c r="Y2463" s="24" t="s">
        <v>901</v>
      </c>
      <c r="Z2463" s="24" t="s">
        <v>945</v>
      </c>
      <c r="AA2463" s="24" t="s">
        <v>946</v>
      </c>
    </row>
    <row r="2464" spans="1:27" hidden="1" x14ac:dyDescent="0.3">
      <c r="A2464" s="29" t="s">
        <v>279</v>
      </c>
      <c r="B2464" s="4" t="s">
        <v>17</v>
      </c>
      <c r="C2464" s="16" t="s">
        <v>18</v>
      </c>
      <c r="D2464" s="4">
        <v>11</v>
      </c>
      <c r="E2464" s="4" t="s">
        <v>745</v>
      </c>
      <c r="F2464" t="s">
        <v>501</v>
      </c>
      <c r="G2464" t="s">
        <v>281</v>
      </c>
      <c r="J2464" s="4" t="s">
        <v>31</v>
      </c>
      <c r="K2464" s="4" t="s">
        <v>21</v>
      </c>
      <c r="L2464" s="4" t="s">
        <v>742</v>
      </c>
      <c r="M2464" s="17">
        <v>0</v>
      </c>
      <c r="N2464" s="17">
        <v>1039</v>
      </c>
      <c r="O2464" s="18" t="s">
        <v>31</v>
      </c>
      <c r="P2464" s="30" t="s">
        <v>905</v>
      </c>
      <c r="Q2464" s="30">
        <v>0</v>
      </c>
      <c r="R2464" s="30" t="s">
        <v>905</v>
      </c>
      <c r="S2464" s="30" t="s">
        <v>905</v>
      </c>
      <c r="T2464" s="30" t="s">
        <v>905</v>
      </c>
      <c r="U246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64" s="19">
        <v>0</v>
      </c>
      <c r="W2464" s="20">
        <v>46233</v>
      </c>
      <c r="X2464" s="21" t="s">
        <v>906</v>
      </c>
      <c r="Y2464" s="24" t="s">
        <v>901</v>
      </c>
      <c r="Z2464" s="24" t="s">
        <v>945</v>
      </c>
      <c r="AA2464" s="24" t="s">
        <v>946</v>
      </c>
    </row>
    <row r="2465" spans="1:27" hidden="1" x14ac:dyDescent="0.3">
      <c r="A2465" s="29" t="s">
        <v>279</v>
      </c>
      <c r="B2465" s="4" t="s">
        <v>17</v>
      </c>
      <c r="C2465" s="16" t="s">
        <v>18</v>
      </c>
      <c r="D2465" s="4">
        <v>11</v>
      </c>
      <c r="E2465" s="4" t="s">
        <v>745</v>
      </c>
      <c r="F2465" t="s">
        <v>502</v>
      </c>
      <c r="G2465" t="s">
        <v>106</v>
      </c>
      <c r="J2465" s="4" t="s">
        <v>19</v>
      </c>
      <c r="K2465" s="4" t="s">
        <v>20</v>
      </c>
      <c r="L2465" s="4" t="s">
        <v>742</v>
      </c>
      <c r="M2465" s="17">
        <v>30</v>
      </c>
      <c r="N2465" s="17">
        <v>830</v>
      </c>
      <c r="O2465" s="18" t="s">
        <v>19</v>
      </c>
      <c r="P2465" s="18">
        <v>830</v>
      </c>
      <c r="Q2465" s="18">
        <v>30</v>
      </c>
      <c r="R2465" s="18" t="s">
        <v>778</v>
      </c>
      <c r="S2465" s="18" t="s">
        <v>892</v>
      </c>
      <c r="T2465" s="18" t="s">
        <v>780</v>
      </c>
      <c r="U246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65" s="19">
        <f>IF(AUDITORIA[[#This Row],[CAT]]="",0,1)</f>
        <v>1</v>
      </c>
      <c r="W2465" s="20">
        <v>46233</v>
      </c>
      <c r="X2465" s="21" t="s">
        <v>906</v>
      </c>
      <c r="Y2465" s="24" t="s">
        <v>901</v>
      </c>
      <c r="Z2465" s="24" t="s">
        <v>945</v>
      </c>
      <c r="AA2465" s="24" t="s">
        <v>946</v>
      </c>
    </row>
    <row r="2466" spans="1:27" hidden="1" x14ac:dyDescent="0.3">
      <c r="A2466" s="29" t="s">
        <v>279</v>
      </c>
      <c r="B2466" s="4" t="s">
        <v>17</v>
      </c>
      <c r="C2466" s="16" t="s">
        <v>18</v>
      </c>
      <c r="D2466" s="4">
        <v>11</v>
      </c>
      <c r="E2466" s="4" t="s">
        <v>745</v>
      </c>
      <c r="F2466" t="s">
        <v>280</v>
      </c>
      <c r="G2466" t="s">
        <v>281</v>
      </c>
      <c r="J2466" s="4" t="s">
        <v>31</v>
      </c>
      <c r="K2466" s="4" t="s">
        <v>20</v>
      </c>
      <c r="L2466" s="4" t="s">
        <v>742</v>
      </c>
      <c r="M2466" s="17">
        <v>0</v>
      </c>
      <c r="N2466" s="17">
        <v>846</v>
      </c>
      <c r="O2466" s="18" t="s">
        <v>31</v>
      </c>
      <c r="P2466" s="30" t="s">
        <v>905</v>
      </c>
      <c r="Q2466" s="30">
        <v>0</v>
      </c>
      <c r="R2466" s="30" t="s">
        <v>905</v>
      </c>
      <c r="S2466" s="30" t="s">
        <v>905</v>
      </c>
      <c r="T2466" s="30" t="s">
        <v>905</v>
      </c>
      <c r="U246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66" s="19">
        <v>0</v>
      </c>
      <c r="W2466" s="20">
        <v>46233</v>
      </c>
      <c r="X2466" s="21" t="s">
        <v>906</v>
      </c>
      <c r="Y2466" s="24" t="s">
        <v>901</v>
      </c>
      <c r="Z2466" s="24" t="s">
        <v>945</v>
      </c>
      <c r="AA2466" s="24" t="s">
        <v>946</v>
      </c>
    </row>
    <row r="2467" spans="1:27" hidden="1" x14ac:dyDescent="0.3">
      <c r="A2467" s="29" t="s">
        <v>279</v>
      </c>
      <c r="B2467" s="4" t="s">
        <v>17</v>
      </c>
      <c r="C2467" s="16" t="s">
        <v>18</v>
      </c>
      <c r="D2467" s="4">
        <v>11</v>
      </c>
      <c r="E2467" s="4" t="s">
        <v>745</v>
      </c>
      <c r="F2467" t="s">
        <v>285</v>
      </c>
      <c r="G2467" t="s">
        <v>106</v>
      </c>
      <c r="J2467" s="4" t="s">
        <v>19</v>
      </c>
      <c r="K2467" s="4" t="s">
        <v>20</v>
      </c>
      <c r="L2467" s="4" t="s">
        <v>742</v>
      </c>
      <c r="M2467" s="17">
        <v>30</v>
      </c>
      <c r="N2467" s="17">
        <v>862</v>
      </c>
      <c r="O2467" s="18" t="s">
        <v>19</v>
      </c>
      <c r="P2467" s="18">
        <v>862</v>
      </c>
      <c r="Q2467" s="18">
        <v>30</v>
      </c>
      <c r="R2467" s="18" t="s">
        <v>778</v>
      </c>
      <c r="S2467" s="18" t="s">
        <v>880</v>
      </c>
      <c r="T2467" s="18" t="s">
        <v>840</v>
      </c>
      <c r="U246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67" s="19">
        <f>IF(AUDITORIA[[#This Row],[CAT]]="",0,1)</f>
        <v>1</v>
      </c>
      <c r="W2467" s="20">
        <v>46233</v>
      </c>
      <c r="X2467" s="21" t="s">
        <v>906</v>
      </c>
      <c r="Y2467" s="24" t="s">
        <v>901</v>
      </c>
      <c r="Z2467" s="24" t="s">
        <v>945</v>
      </c>
      <c r="AA2467" s="24" t="s">
        <v>946</v>
      </c>
    </row>
    <row r="2468" spans="1:27" x14ac:dyDescent="0.3">
      <c r="A2468" s="29" t="s">
        <v>279</v>
      </c>
      <c r="B2468" s="4" t="s">
        <v>17</v>
      </c>
      <c r="C2468" s="16" t="s">
        <v>18</v>
      </c>
      <c r="D2468" s="4">
        <v>11</v>
      </c>
      <c r="E2468" s="4" t="s">
        <v>745</v>
      </c>
      <c r="F2468" t="s">
        <v>503</v>
      </c>
      <c r="G2468" t="s">
        <v>106</v>
      </c>
      <c r="J2468" s="4" t="s">
        <v>19</v>
      </c>
      <c r="K2468" s="4" t="s">
        <v>20</v>
      </c>
      <c r="L2468" s="4" t="s">
        <v>742</v>
      </c>
      <c r="M2468" s="17">
        <v>30</v>
      </c>
      <c r="N2468" s="17">
        <v>851</v>
      </c>
      <c r="O2468" s="18" t="s">
        <v>19</v>
      </c>
      <c r="P2468" s="30" t="s">
        <v>905</v>
      </c>
      <c r="Q2468" s="30">
        <v>0</v>
      </c>
      <c r="R2468" s="30" t="s">
        <v>905</v>
      </c>
      <c r="S2468" s="30" t="s">
        <v>905</v>
      </c>
      <c r="T2468" s="30" t="s">
        <v>905</v>
      </c>
      <c r="U2468" s="19" t="str">
        <f>IF(AUDITORIA[[#This Row],[QTD FÍSICA]]="","",IF(AND(AUDITORIA[[#This Row],[CAT]]=AUDITORIA[[#This Row],[CAT. FÍS.]],AUDITORIA[[#This Row],[QTD FÍSICA]]=AUDITORIA[[#This Row],[QTD SISTEMA]]),"SIM","NÃO"))</f>
        <v>NÃO</v>
      </c>
      <c r="V2468" s="19">
        <v>0</v>
      </c>
      <c r="W2468" s="20">
        <v>46233</v>
      </c>
      <c r="X2468" s="21" t="s">
        <v>906</v>
      </c>
      <c r="Y2468" s="24" t="s">
        <v>901</v>
      </c>
      <c r="Z2468" s="24" t="s">
        <v>945</v>
      </c>
      <c r="AA2468" s="24" t="s">
        <v>946</v>
      </c>
    </row>
    <row r="2469" spans="1:27" hidden="1" x14ac:dyDescent="0.3">
      <c r="A2469" s="29" t="s">
        <v>279</v>
      </c>
      <c r="B2469" s="4" t="s">
        <v>17</v>
      </c>
      <c r="C2469" s="16" t="s">
        <v>18</v>
      </c>
      <c r="D2469" s="4">
        <v>11</v>
      </c>
      <c r="E2469" s="4" t="s">
        <v>745</v>
      </c>
      <c r="F2469" t="s">
        <v>504</v>
      </c>
      <c r="G2469" t="s">
        <v>281</v>
      </c>
      <c r="J2469" s="4" t="s">
        <v>31</v>
      </c>
      <c r="K2469" s="4" t="s">
        <v>20</v>
      </c>
      <c r="L2469" s="4" t="s">
        <v>742</v>
      </c>
      <c r="M2469" s="17">
        <v>30</v>
      </c>
      <c r="N2469" s="17">
        <v>855</v>
      </c>
      <c r="O2469" s="18" t="s">
        <v>31</v>
      </c>
      <c r="P2469" s="18">
        <v>855</v>
      </c>
      <c r="Q2469" s="18">
        <v>30</v>
      </c>
      <c r="R2469" s="18" t="s">
        <v>778</v>
      </c>
      <c r="S2469" s="18" t="s">
        <v>856</v>
      </c>
      <c r="T2469" s="18" t="s">
        <v>782</v>
      </c>
      <c r="U246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69" s="19">
        <f>IF(AUDITORIA[[#This Row],[CAT]]="",0,1)</f>
        <v>1</v>
      </c>
      <c r="W2469" s="20">
        <v>46233</v>
      </c>
      <c r="X2469" s="21" t="s">
        <v>906</v>
      </c>
      <c r="Y2469" s="24" t="s">
        <v>901</v>
      </c>
      <c r="Z2469" s="24" t="s">
        <v>945</v>
      </c>
      <c r="AA2469" s="24" t="s">
        <v>946</v>
      </c>
    </row>
    <row r="2470" spans="1:27" hidden="1" x14ac:dyDescent="0.3">
      <c r="A2470" s="29" t="s">
        <v>279</v>
      </c>
      <c r="B2470" s="4" t="s">
        <v>17</v>
      </c>
      <c r="C2470" s="16" t="s">
        <v>18</v>
      </c>
      <c r="D2470" s="4">
        <v>11</v>
      </c>
      <c r="E2470" s="4" t="s">
        <v>745</v>
      </c>
      <c r="F2470" t="s">
        <v>505</v>
      </c>
      <c r="G2470" t="s">
        <v>106</v>
      </c>
      <c r="J2470" s="4" t="s">
        <v>19</v>
      </c>
      <c r="K2470" s="4" t="s">
        <v>21</v>
      </c>
      <c r="L2470" s="4" t="s">
        <v>742</v>
      </c>
      <c r="M2470" s="17">
        <v>24</v>
      </c>
      <c r="N2470" s="17">
        <v>1012</v>
      </c>
      <c r="O2470" s="18" t="s">
        <v>19</v>
      </c>
      <c r="P2470" s="18">
        <v>1012</v>
      </c>
      <c r="Q2470" s="18">
        <v>24</v>
      </c>
      <c r="R2470" s="18" t="s">
        <v>778</v>
      </c>
      <c r="S2470" s="18" t="s">
        <v>783</v>
      </c>
      <c r="T2470" s="18" t="s">
        <v>780</v>
      </c>
      <c r="U247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70" s="19">
        <f>IF(AUDITORIA[[#This Row],[CAT]]="",0,1)</f>
        <v>1</v>
      </c>
      <c r="W2470" s="20">
        <v>46233</v>
      </c>
      <c r="X2470" s="21" t="s">
        <v>906</v>
      </c>
      <c r="Y2470" s="24" t="s">
        <v>901</v>
      </c>
      <c r="Z2470" s="24" t="s">
        <v>945</v>
      </c>
      <c r="AA2470" s="24" t="s">
        <v>946</v>
      </c>
    </row>
    <row r="2471" spans="1:27" x14ac:dyDescent="0.3">
      <c r="A2471" s="29" t="s">
        <v>279</v>
      </c>
      <c r="B2471" s="4" t="s">
        <v>17</v>
      </c>
      <c r="C2471" s="16" t="s">
        <v>18</v>
      </c>
      <c r="D2471" s="4">
        <v>11</v>
      </c>
      <c r="E2471" s="4" t="s">
        <v>745</v>
      </c>
      <c r="F2471" t="s">
        <v>506</v>
      </c>
      <c r="G2471" t="s">
        <v>106</v>
      </c>
      <c r="J2471" s="4" t="s">
        <v>19</v>
      </c>
      <c r="K2471" s="4" t="s">
        <v>20</v>
      </c>
      <c r="L2471" s="4" t="s">
        <v>742</v>
      </c>
      <c r="M2471" s="17">
        <v>30</v>
      </c>
      <c r="N2471" s="17">
        <v>845</v>
      </c>
      <c r="O2471" s="18" t="s">
        <v>19</v>
      </c>
      <c r="P2471" s="30" t="s">
        <v>905</v>
      </c>
      <c r="Q2471" s="30">
        <v>0</v>
      </c>
      <c r="R2471" s="30" t="s">
        <v>905</v>
      </c>
      <c r="S2471" s="30" t="s">
        <v>905</v>
      </c>
      <c r="T2471" s="30" t="s">
        <v>905</v>
      </c>
      <c r="U2471" s="19" t="str">
        <f>IF(AUDITORIA[[#This Row],[QTD FÍSICA]]="","",IF(AND(AUDITORIA[[#This Row],[CAT]]=AUDITORIA[[#This Row],[CAT. FÍS.]],AUDITORIA[[#This Row],[QTD FÍSICA]]=AUDITORIA[[#This Row],[QTD SISTEMA]]),"SIM","NÃO"))</f>
        <v>NÃO</v>
      </c>
      <c r="V2471" s="19">
        <v>0</v>
      </c>
      <c r="W2471" s="20">
        <v>46233</v>
      </c>
      <c r="X2471" s="21" t="s">
        <v>906</v>
      </c>
      <c r="Y2471" s="24" t="s">
        <v>901</v>
      </c>
      <c r="Z2471" s="24" t="s">
        <v>945</v>
      </c>
      <c r="AA2471" s="24" t="s">
        <v>946</v>
      </c>
    </row>
    <row r="2472" spans="1:27" hidden="1" x14ac:dyDescent="0.3">
      <c r="A2472" s="29" t="s">
        <v>279</v>
      </c>
      <c r="B2472" s="4" t="s">
        <v>17</v>
      </c>
      <c r="C2472" s="16" t="s">
        <v>18</v>
      </c>
      <c r="D2472" s="4">
        <v>11</v>
      </c>
      <c r="E2472" s="4" t="s">
        <v>745</v>
      </c>
      <c r="F2472" t="s">
        <v>507</v>
      </c>
      <c r="G2472" t="s">
        <v>106</v>
      </c>
      <c r="J2472" s="4" t="s">
        <v>19</v>
      </c>
      <c r="K2472" s="4" t="s">
        <v>20</v>
      </c>
      <c r="L2472" s="4" t="s">
        <v>742</v>
      </c>
      <c r="M2472" s="17">
        <v>30</v>
      </c>
      <c r="N2472" s="17">
        <v>839</v>
      </c>
      <c r="O2472" s="18" t="s">
        <v>19</v>
      </c>
      <c r="P2472" s="30" t="s">
        <v>905</v>
      </c>
      <c r="Q2472" s="30">
        <v>0</v>
      </c>
      <c r="R2472" s="30" t="s">
        <v>905</v>
      </c>
      <c r="S2472" s="30" t="s">
        <v>905</v>
      </c>
      <c r="T2472" s="30" t="s">
        <v>905</v>
      </c>
      <c r="U2472" s="19" t="str">
        <f>IF(AUDITORIA[[#This Row],[QTD FÍSICA]]="","",IF(AND(AUDITORIA[[#This Row],[CAT]]=AUDITORIA[[#This Row],[CAT. FÍS.]],AUDITORIA[[#This Row],[QTD FÍSICA]]=AUDITORIA[[#This Row],[QTD SISTEMA]]),"SIM","NÃO"))</f>
        <v>NÃO</v>
      </c>
      <c r="V2472" s="19">
        <v>0</v>
      </c>
      <c r="W2472" s="20">
        <v>46233</v>
      </c>
      <c r="X2472" s="21" t="s">
        <v>906</v>
      </c>
      <c r="Y2472" s="24" t="s">
        <v>901</v>
      </c>
      <c r="Z2472" s="24" t="s">
        <v>945</v>
      </c>
      <c r="AA2472" s="24" t="s">
        <v>946</v>
      </c>
    </row>
    <row r="2473" spans="1:27" hidden="1" x14ac:dyDescent="0.3">
      <c r="A2473" s="29" t="s">
        <v>279</v>
      </c>
      <c r="B2473" s="4" t="s">
        <v>17</v>
      </c>
      <c r="C2473" s="16" t="s">
        <v>18</v>
      </c>
      <c r="D2473" s="4">
        <v>11</v>
      </c>
      <c r="E2473" s="4" t="s">
        <v>745</v>
      </c>
      <c r="F2473" t="s">
        <v>508</v>
      </c>
      <c r="G2473" t="s">
        <v>281</v>
      </c>
      <c r="J2473" s="4" t="s">
        <v>31</v>
      </c>
      <c r="K2473" s="4" t="s">
        <v>20</v>
      </c>
      <c r="L2473" s="4" t="s">
        <v>742</v>
      </c>
      <c r="M2473" s="17">
        <v>30</v>
      </c>
      <c r="N2473" s="17">
        <v>848</v>
      </c>
      <c r="O2473" s="18" t="s">
        <v>31</v>
      </c>
      <c r="P2473" s="18">
        <v>851</v>
      </c>
      <c r="Q2473" s="18">
        <v>30</v>
      </c>
      <c r="R2473" s="18" t="s">
        <v>778</v>
      </c>
      <c r="S2473" s="18" t="s">
        <v>856</v>
      </c>
      <c r="T2473" s="18" t="s">
        <v>781</v>
      </c>
      <c r="U247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73" s="19">
        <f>IF(AUDITORIA[[#This Row],[CAT]]="",0,1)</f>
        <v>1</v>
      </c>
      <c r="W2473" s="20">
        <v>46233</v>
      </c>
      <c r="X2473" s="21" t="s">
        <v>906</v>
      </c>
      <c r="Y2473" s="24" t="s">
        <v>901</v>
      </c>
      <c r="Z2473" s="24" t="s">
        <v>945</v>
      </c>
      <c r="AA2473" s="24" t="s">
        <v>946</v>
      </c>
    </row>
    <row r="2474" spans="1:27" hidden="1" x14ac:dyDescent="0.3">
      <c r="A2474" s="29" t="s">
        <v>279</v>
      </c>
      <c r="B2474" s="4" t="s">
        <v>17</v>
      </c>
      <c r="C2474" s="16" t="s">
        <v>18</v>
      </c>
      <c r="D2474" s="4">
        <v>11</v>
      </c>
      <c r="E2474" s="4" t="s">
        <v>745</v>
      </c>
      <c r="F2474" t="s">
        <v>509</v>
      </c>
      <c r="G2474" t="s">
        <v>106</v>
      </c>
      <c r="J2474" s="4" t="s">
        <v>19</v>
      </c>
      <c r="K2474" s="4" t="s">
        <v>21</v>
      </c>
      <c r="L2474" s="4" t="s">
        <v>742</v>
      </c>
      <c r="M2474" s="17">
        <v>0</v>
      </c>
      <c r="N2474" s="17">
        <v>1033</v>
      </c>
      <c r="O2474" s="18" t="s">
        <v>19</v>
      </c>
      <c r="P2474" s="30" t="s">
        <v>905</v>
      </c>
      <c r="Q2474" s="30">
        <v>0</v>
      </c>
      <c r="R2474" s="30" t="s">
        <v>905</v>
      </c>
      <c r="S2474" s="30" t="s">
        <v>905</v>
      </c>
      <c r="T2474" s="30" t="s">
        <v>905</v>
      </c>
      <c r="U247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74" s="19">
        <v>0</v>
      </c>
      <c r="W2474" s="20">
        <v>46233</v>
      </c>
      <c r="X2474" s="21" t="s">
        <v>906</v>
      </c>
      <c r="Y2474" s="24" t="s">
        <v>901</v>
      </c>
      <c r="Z2474" s="24" t="s">
        <v>945</v>
      </c>
      <c r="AA2474" s="24" t="s">
        <v>946</v>
      </c>
    </row>
    <row r="2475" spans="1:27" hidden="1" x14ac:dyDescent="0.3">
      <c r="A2475" s="29" t="s">
        <v>279</v>
      </c>
      <c r="B2475" s="4" t="s">
        <v>17</v>
      </c>
      <c r="C2475" s="16" t="s">
        <v>18</v>
      </c>
      <c r="D2475" s="4">
        <v>11</v>
      </c>
      <c r="E2475" s="4" t="s">
        <v>745</v>
      </c>
      <c r="F2475" t="s">
        <v>510</v>
      </c>
      <c r="G2475" t="s">
        <v>281</v>
      </c>
      <c r="J2475" s="4" t="s">
        <v>31</v>
      </c>
      <c r="K2475" s="4" t="s">
        <v>20</v>
      </c>
      <c r="L2475" s="4" t="s">
        <v>742</v>
      </c>
      <c r="M2475" s="17">
        <v>30</v>
      </c>
      <c r="N2475" s="17">
        <v>846</v>
      </c>
      <c r="O2475" s="18" t="s">
        <v>31</v>
      </c>
      <c r="P2475" s="18">
        <v>846</v>
      </c>
      <c r="Q2475" s="18">
        <v>30</v>
      </c>
      <c r="R2475" s="18" t="s">
        <v>778</v>
      </c>
      <c r="S2475" s="18" t="s">
        <v>856</v>
      </c>
      <c r="T2475" s="18" t="s">
        <v>794</v>
      </c>
      <c r="U247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75" s="19">
        <f>IF(AUDITORIA[[#This Row],[CAT]]="",0,1)</f>
        <v>1</v>
      </c>
      <c r="W2475" s="20">
        <v>46233</v>
      </c>
      <c r="X2475" s="21" t="s">
        <v>906</v>
      </c>
      <c r="Y2475" s="24" t="s">
        <v>901</v>
      </c>
      <c r="Z2475" s="24" t="s">
        <v>945</v>
      </c>
      <c r="AA2475" s="24" t="s">
        <v>946</v>
      </c>
    </row>
    <row r="2476" spans="1:27" hidden="1" x14ac:dyDescent="0.3">
      <c r="A2476" s="29" t="s">
        <v>279</v>
      </c>
      <c r="B2476" s="4" t="s">
        <v>17</v>
      </c>
      <c r="C2476" s="16" t="s">
        <v>18</v>
      </c>
      <c r="D2476" s="4">
        <v>11</v>
      </c>
      <c r="E2476" s="4" t="s">
        <v>745</v>
      </c>
      <c r="F2476" t="s">
        <v>511</v>
      </c>
      <c r="G2476" t="s">
        <v>106</v>
      </c>
      <c r="J2476" s="4" t="s">
        <v>19</v>
      </c>
      <c r="K2476" s="4" t="s">
        <v>21</v>
      </c>
      <c r="L2476" s="4" t="s">
        <v>742</v>
      </c>
      <c r="M2476" s="17">
        <v>24</v>
      </c>
      <c r="N2476" s="17">
        <v>1023</v>
      </c>
      <c r="O2476" s="18" t="s">
        <v>19</v>
      </c>
      <c r="P2476" s="18">
        <v>1023</v>
      </c>
      <c r="Q2476" s="18">
        <v>24</v>
      </c>
      <c r="R2476" s="18" t="s">
        <v>778</v>
      </c>
      <c r="S2476" s="18" t="s">
        <v>786</v>
      </c>
      <c r="T2476" s="18" t="s">
        <v>781</v>
      </c>
      <c r="U247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76" s="19">
        <f>IF(AUDITORIA[[#This Row],[CAT]]="",0,1)</f>
        <v>1</v>
      </c>
      <c r="W2476" s="20">
        <v>46233</v>
      </c>
      <c r="X2476" s="21" t="s">
        <v>906</v>
      </c>
      <c r="Y2476" s="24" t="s">
        <v>901</v>
      </c>
      <c r="Z2476" s="24" t="s">
        <v>945</v>
      </c>
      <c r="AA2476" s="24" t="s">
        <v>946</v>
      </c>
    </row>
    <row r="2477" spans="1:27" x14ac:dyDescent="0.3">
      <c r="A2477" s="29" t="s">
        <v>279</v>
      </c>
      <c r="B2477" s="4" t="s">
        <v>17</v>
      </c>
      <c r="C2477" s="16" t="s">
        <v>18</v>
      </c>
      <c r="D2477" s="4">
        <v>11</v>
      </c>
      <c r="E2477" s="4" t="s">
        <v>745</v>
      </c>
      <c r="F2477" t="s">
        <v>512</v>
      </c>
      <c r="G2477" t="s">
        <v>106</v>
      </c>
      <c r="J2477" s="4" t="s">
        <v>19</v>
      </c>
      <c r="K2477" s="4" t="s">
        <v>20</v>
      </c>
      <c r="L2477" s="4" t="s">
        <v>742</v>
      </c>
      <c r="M2477" s="17">
        <v>30</v>
      </c>
      <c r="N2477" s="17">
        <v>857</v>
      </c>
      <c r="O2477" s="18" t="s">
        <v>19</v>
      </c>
      <c r="P2477" s="30" t="s">
        <v>905</v>
      </c>
      <c r="Q2477" s="30">
        <v>0</v>
      </c>
      <c r="R2477" s="30" t="s">
        <v>905</v>
      </c>
      <c r="S2477" s="30" t="s">
        <v>905</v>
      </c>
      <c r="T2477" s="30" t="s">
        <v>905</v>
      </c>
      <c r="U2477" s="19" t="str">
        <f>IF(AUDITORIA[[#This Row],[QTD FÍSICA]]="","",IF(AND(AUDITORIA[[#This Row],[CAT]]=AUDITORIA[[#This Row],[CAT. FÍS.]],AUDITORIA[[#This Row],[QTD FÍSICA]]=AUDITORIA[[#This Row],[QTD SISTEMA]]),"SIM","NÃO"))</f>
        <v>NÃO</v>
      </c>
      <c r="V2477" s="19">
        <v>0</v>
      </c>
      <c r="W2477" s="20">
        <v>46233</v>
      </c>
      <c r="X2477" s="21" t="s">
        <v>906</v>
      </c>
      <c r="Y2477" s="24" t="s">
        <v>901</v>
      </c>
      <c r="Z2477" s="24" t="s">
        <v>945</v>
      </c>
      <c r="AA2477" s="24" t="s">
        <v>946</v>
      </c>
    </row>
    <row r="2478" spans="1:27" hidden="1" x14ac:dyDescent="0.3">
      <c r="A2478" s="29" t="s">
        <v>279</v>
      </c>
      <c r="B2478" s="4" t="s">
        <v>17</v>
      </c>
      <c r="C2478" s="16" t="s">
        <v>18</v>
      </c>
      <c r="D2478" s="4">
        <v>11</v>
      </c>
      <c r="E2478" s="4" t="s">
        <v>745</v>
      </c>
      <c r="F2478" t="s">
        <v>513</v>
      </c>
      <c r="G2478" t="s">
        <v>514</v>
      </c>
      <c r="J2478" s="4" t="s">
        <v>31</v>
      </c>
      <c r="K2478" s="4" t="s">
        <v>21</v>
      </c>
      <c r="L2478" s="4" t="s">
        <v>742</v>
      </c>
      <c r="M2478" s="17">
        <v>5</v>
      </c>
      <c r="N2478" s="17">
        <v>809</v>
      </c>
      <c r="O2478" s="18" t="s">
        <v>31</v>
      </c>
      <c r="P2478" s="18">
        <v>809</v>
      </c>
      <c r="Q2478" s="18">
        <v>5</v>
      </c>
      <c r="R2478" s="18" t="s">
        <v>814</v>
      </c>
      <c r="S2478" s="18" t="s">
        <v>859</v>
      </c>
      <c r="T2478" s="18" t="s">
        <v>780</v>
      </c>
      <c r="U247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78" s="19">
        <f>IF(AUDITORIA[[#This Row],[CAT]]="",0,1)</f>
        <v>1</v>
      </c>
      <c r="W2478" s="20">
        <v>46233</v>
      </c>
      <c r="X2478" s="21" t="s">
        <v>906</v>
      </c>
      <c r="Y2478" s="24" t="s">
        <v>901</v>
      </c>
      <c r="Z2478" s="24" t="s">
        <v>945</v>
      </c>
      <c r="AA2478" s="24" t="s">
        <v>946</v>
      </c>
    </row>
    <row r="2479" spans="1:27" hidden="1" x14ac:dyDescent="0.3">
      <c r="A2479" s="29" t="s">
        <v>279</v>
      </c>
      <c r="B2479" s="4" t="s">
        <v>17</v>
      </c>
      <c r="C2479" s="16" t="s">
        <v>18</v>
      </c>
      <c r="D2479" s="4">
        <v>11</v>
      </c>
      <c r="E2479" s="4" t="s">
        <v>745</v>
      </c>
      <c r="F2479" t="s">
        <v>517</v>
      </c>
      <c r="G2479" t="s">
        <v>281</v>
      </c>
      <c r="J2479" s="4" t="s">
        <v>31</v>
      </c>
      <c r="K2479" s="4" t="s">
        <v>21</v>
      </c>
      <c r="L2479" s="4" t="s">
        <v>742</v>
      </c>
      <c r="M2479" s="17">
        <v>24</v>
      </c>
      <c r="N2479" s="17">
        <v>1032</v>
      </c>
      <c r="O2479" s="18" t="s">
        <v>31</v>
      </c>
      <c r="P2479" s="18">
        <v>1032</v>
      </c>
      <c r="Q2479" s="18">
        <v>24</v>
      </c>
      <c r="R2479" s="18" t="s">
        <v>778</v>
      </c>
      <c r="S2479" s="18" t="s">
        <v>857</v>
      </c>
      <c r="T2479" s="18" t="s">
        <v>782</v>
      </c>
      <c r="U247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79" s="19">
        <f>IF(AUDITORIA[[#This Row],[CAT]]="",0,1)</f>
        <v>1</v>
      </c>
      <c r="W2479" s="20">
        <v>46233</v>
      </c>
      <c r="X2479" s="21" t="s">
        <v>906</v>
      </c>
      <c r="Y2479" s="24" t="s">
        <v>901</v>
      </c>
      <c r="Z2479" s="24" t="s">
        <v>945</v>
      </c>
      <c r="AA2479" s="24" t="s">
        <v>946</v>
      </c>
    </row>
    <row r="2480" spans="1:27" hidden="1" x14ac:dyDescent="0.3">
      <c r="A2480" s="29" t="s">
        <v>279</v>
      </c>
      <c r="B2480" s="4" t="s">
        <v>17</v>
      </c>
      <c r="C2480" s="16" t="s">
        <v>18</v>
      </c>
      <c r="D2480" s="4">
        <v>11</v>
      </c>
      <c r="E2480" s="4" t="s">
        <v>745</v>
      </c>
      <c r="F2480" t="s">
        <v>518</v>
      </c>
      <c r="G2480" t="s">
        <v>106</v>
      </c>
      <c r="J2480" s="4" t="s">
        <v>19</v>
      </c>
      <c r="K2480" s="4" t="s">
        <v>20</v>
      </c>
      <c r="L2480" s="4" t="s">
        <v>742</v>
      </c>
      <c r="M2480" s="17">
        <v>0</v>
      </c>
      <c r="N2480" s="17">
        <v>864</v>
      </c>
      <c r="O2480" s="18" t="s">
        <v>19</v>
      </c>
      <c r="P2480" s="30" t="s">
        <v>905</v>
      </c>
      <c r="Q2480" s="30">
        <v>0</v>
      </c>
      <c r="R2480" s="30" t="s">
        <v>905</v>
      </c>
      <c r="S2480" s="30" t="s">
        <v>905</v>
      </c>
      <c r="T2480" s="30" t="s">
        <v>905</v>
      </c>
      <c r="U248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80" s="19">
        <v>0</v>
      </c>
      <c r="W2480" s="20">
        <v>46233</v>
      </c>
      <c r="X2480" s="21" t="s">
        <v>906</v>
      </c>
      <c r="Y2480" s="24" t="s">
        <v>901</v>
      </c>
      <c r="Z2480" s="24" t="s">
        <v>945</v>
      </c>
      <c r="AA2480" s="24" t="s">
        <v>946</v>
      </c>
    </row>
    <row r="2481" spans="1:27" hidden="1" x14ac:dyDescent="0.3">
      <c r="A2481" s="29" t="s">
        <v>279</v>
      </c>
      <c r="B2481" s="4" t="s">
        <v>17</v>
      </c>
      <c r="C2481" s="16" t="s">
        <v>18</v>
      </c>
      <c r="D2481" s="4">
        <v>11</v>
      </c>
      <c r="E2481" s="4" t="s">
        <v>745</v>
      </c>
      <c r="F2481" t="s">
        <v>519</v>
      </c>
      <c r="G2481" t="s">
        <v>281</v>
      </c>
      <c r="J2481" s="4" t="s">
        <v>31</v>
      </c>
      <c r="K2481" s="4" t="s">
        <v>21</v>
      </c>
      <c r="L2481" s="4" t="s">
        <v>742</v>
      </c>
      <c r="M2481" s="17">
        <v>3</v>
      </c>
      <c r="N2481" s="17">
        <v>1029</v>
      </c>
      <c r="O2481" s="18" t="s">
        <v>31</v>
      </c>
      <c r="P2481" s="18">
        <v>1029</v>
      </c>
      <c r="Q2481" s="18">
        <v>3</v>
      </c>
      <c r="R2481" s="18" t="s">
        <v>778</v>
      </c>
      <c r="S2481" s="18" t="s">
        <v>857</v>
      </c>
      <c r="T2481" s="18" t="s">
        <v>781</v>
      </c>
      <c r="U248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81" s="19">
        <f>IF(AUDITORIA[[#This Row],[CAT]]="",0,1)</f>
        <v>1</v>
      </c>
      <c r="W2481" s="20">
        <v>46233</v>
      </c>
      <c r="X2481" s="21" t="s">
        <v>906</v>
      </c>
      <c r="Y2481" s="24" t="s">
        <v>901</v>
      </c>
      <c r="Z2481" s="24" t="s">
        <v>945</v>
      </c>
      <c r="AA2481" s="24" t="s">
        <v>946</v>
      </c>
    </row>
    <row r="2482" spans="1:27" hidden="1" x14ac:dyDescent="0.3">
      <c r="A2482" s="29" t="s">
        <v>279</v>
      </c>
      <c r="B2482" s="4" t="s">
        <v>17</v>
      </c>
      <c r="C2482" s="16" t="s">
        <v>18</v>
      </c>
      <c r="D2482" s="4">
        <v>11</v>
      </c>
      <c r="E2482" s="4" t="s">
        <v>745</v>
      </c>
      <c r="F2482" t="s">
        <v>520</v>
      </c>
      <c r="G2482" t="s">
        <v>514</v>
      </c>
      <c r="J2482" s="4" t="s">
        <v>31</v>
      </c>
      <c r="K2482" s="4" t="s">
        <v>20</v>
      </c>
      <c r="L2482" s="4" t="s">
        <v>742</v>
      </c>
      <c r="M2482" s="17">
        <v>30</v>
      </c>
      <c r="N2482" s="17">
        <v>656</v>
      </c>
      <c r="O2482" s="18" t="s">
        <v>31</v>
      </c>
      <c r="P2482" s="18">
        <v>656</v>
      </c>
      <c r="Q2482" s="18">
        <v>30</v>
      </c>
      <c r="R2482" s="18" t="s">
        <v>814</v>
      </c>
      <c r="S2482" s="18" t="s">
        <v>858</v>
      </c>
      <c r="T2482" s="18" t="s">
        <v>781</v>
      </c>
      <c r="U248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82" s="19">
        <f>IF(AUDITORIA[[#This Row],[CAT]]="",0,1)</f>
        <v>1</v>
      </c>
      <c r="W2482" s="20">
        <v>46233</v>
      </c>
      <c r="X2482" s="21" t="s">
        <v>906</v>
      </c>
      <c r="Y2482" s="24" t="s">
        <v>901</v>
      </c>
      <c r="Z2482" s="24" t="s">
        <v>945</v>
      </c>
      <c r="AA2482" s="24" t="s">
        <v>946</v>
      </c>
    </row>
    <row r="2483" spans="1:27" hidden="1" x14ac:dyDescent="0.3">
      <c r="A2483" s="29" t="s">
        <v>279</v>
      </c>
      <c r="B2483" s="4" t="s">
        <v>17</v>
      </c>
      <c r="C2483" s="16" t="s">
        <v>18</v>
      </c>
      <c r="D2483" s="4">
        <v>11</v>
      </c>
      <c r="E2483" s="4" t="s">
        <v>745</v>
      </c>
      <c r="F2483" t="s">
        <v>521</v>
      </c>
      <c r="G2483" t="s">
        <v>281</v>
      </c>
      <c r="J2483" s="4" t="s">
        <v>31</v>
      </c>
      <c r="K2483" s="4" t="s">
        <v>20</v>
      </c>
      <c r="L2483" s="4" t="s">
        <v>742</v>
      </c>
      <c r="M2483" s="17">
        <v>2</v>
      </c>
      <c r="N2483" s="17">
        <v>851</v>
      </c>
      <c r="O2483" s="18" t="s">
        <v>31</v>
      </c>
      <c r="P2483" s="18">
        <v>851</v>
      </c>
      <c r="Q2483" s="18">
        <v>2</v>
      </c>
      <c r="R2483" s="18" t="s">
        <v>778</v>
      </c>
      <c r="S2483" s="18" t="s">
        <v>857</v>
      </c>
      <c r="T2483" s="18" t="s">
        <v>840</v>
      </c>
      <c r="U248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83" s="19">
        <f>IF(AUDITORIA[[#This Row],[CAT]]="",0,1)</f>
        <v>1</v>
      </c>
      <c r="W2483" s="20">
        <v>46233</v>
      </c>
      <c r="X2483" s="21" t="s">
        <v>906</v>
      </c>
      <c r="Y2483" s="24" t="s">
        <v>901</v>
      </c>
      <c r="Z2483" s="24" t="s">
        <v>945</v>
      </c>
      <c r="AA2483" s="24" t="s">
        <v>946</v>
      </c>
    </row>
    <row r="2484" spans="1:27" hidden="1" x14ac:dyDescent="0.3">
      <c r="A2484" s="29" t="s">
        <v>279</v>
      </c>
      <c r="B2484" s="4" t="s">
        <v>17</v>
      </c>
      <c r="C2484" s="16" t="s">
        <v>18</v>
      </c>
      <c r="D2484" s="4">
        <v>11</v>
      </c>
      <c r="E2484" s="4" t="s">
        <v>745</v>
      </c>
      <c r="F2484" t="s">
        <v>522</v>
      </c>
      <c r="G2484" t="s">
        <v>514</v>
      </c>
      <c r="J2484" s="4" t="s">
        <v>31</v>
      </c>
      <c r="K2484" s="4" t="s">
        <v>20</v>
      </c>
      <c r="L2484" s="4" t="s">
        <v>742</v>
      </c>
      <c r="M2484" s="17">
        <v>30</v>
      </c>
      <c r="N2484" s="17">
        <v>652</v>
      </c>
      <c r="O2484" s="18" t="s">
        <v>31</v>
      </c>
      <c r="P2484" s="18">
        <v>652</v>
      </c>
      <c r="Q2484" s="18">
        <v>30</v>
      </c>
      <c r="R2484" s="18" t="s">
        <v>814</v>
      </c>
      <c r="S2484" s="18" t="s">
        <v>858</v>
      </c>
      <c r="T2484" s="18" t="s">
        <v>780</v>
      </c>
      <c r="U248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84" s="19">
        <f>IF(AUDITORIA[[#This Row],[CAT]]="",0,1)</f>
        <v>1</v>
      </c>
      <c r="W2484" s="20">
        <v>46233</v>
      </c>
      <c r="X2484" s="21" t="s">
        <v>906</v>
      </c>
      <c r="Y2484" s="24" t="s">
        <v>901</v>
      </c>
      <c r="Z2484" s="24" t="s">
        <v>945</v>
      </c>
      <c r="AA2484" s="24" t="s">
        <v>946</v>
      </c>
    </row>
    <row r="2485" spans="1:27" hidden="1" x14ac:dyDescent="0.3">
      <c r="A2485" s="29" t="s">
        <v>279</v>
      </c>
      <c r="B2485" s="4" t="s">
        <v>17</v>
      </c>
      <c r="C2485" s="16" t="s">
        <v>18</v>
      </c>
      <c r="D2485" s="4">
        <v>11</v>
      </c>
      <c r="E2485" s="4" t="s">
        <v>745</v>
      </c>
      <c r="F2485" t="s">
        <v>523</v>
      </c>
      <c r="G2485" t="s">
        <v>281</v>
      </c>
      <c r="J2485" s="4" t="s">
        <v>31</v>
      </c>
      <c r="K2485" s="4" t="s">
        <v>20</v>
      </c>
      <c r="L2485" s="4" t="s">
        <v>742</v>
      </c>
      <c r="M2485" s="17">
        <v>30</v>
      </c>
      <c r="N2485" s="17">
        <v>850</v>
      </c>
      <c r="O2485" s="18" t="s">
        <v>31</v>
      </c>
      <c r="P2485" s="18">
        <v>850</v>
      </c>
      <c r="Q2485" s="18">
        <v>30</v>
      </c>
      <c r="R2485" s="18" t="s">
        <v>778</v>
      </c>
      <c r="S2485" s="18" t="s">
        <v>856</v>
      </c>
      <c r="T2485" s="18" t="s">
        <v>840</v>
      </c>
      <c r="U248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85" s="19">
        <f>IF(AUDITORIA[[#This Row],[CAT]]="",0,1)</f>
        <v>1</v>
      </c>
      <c r="W2485" s="20">
        <v>46233</v>
      </c>
      <c r="X2485" s="21" t="s">
        <v>906</v>
      </c>
      <c r="Y2485" s="24" t="s">
        <v>901</v>
      </c>
      <c r="Z2485" s="24" t="s">
        <v>945</v>
      </c>
      <c r="AA2485" s="24" t="s">
        <v>946</v>
      </c>
    </row>
    <row r="2486" spans="1:27" hidden="1" x14ac:dyDescent="0.3">
      <c r="A2486" s="29" t="s">
        <v>279</v>
      </c>
      <c r="B2486" s="4" t="s">
        <v>17</v>
      </c>
      <c r="C2486" s="16" t="s">
        <v>18</v>
      </c>
      <c r="D2486" s="4">
        <v>11</v>
      </c>
      <c r="E2486" s="4" t="s">
        <v>745</v>
      </c>
      <c r="F2486" t="s">
        <v>524</v>
      </c>
      <c r="G2486" t="s">
        <v>85</v>
      </c>
      <c r="J2486" s="4" t="s">
        <v>88</v>
      </c>
      <c r="K2486" s="4" t="s">
        <v>20</v>
      </c>
      <c r="L2486" s="4" t="s">
        <v>742</v>
      </c>
      <c r="M2486" s="17">
        <v>0</v>
      </c>
      <c r="N2486" s="17">
        <v>771</v>
      </c>
      <c r="O2486" s="18" t="s">
        <v>88</v>
      </c>
      <c r="P2486" s="30" t="s">
        <v>905</v>
      </c>
      <c r="Q2486" s="30">
        <v>0</v>
      </c>
      <c r="R2486" s="30" t="s">
        <v>905</v>
      </c>
      <c r="S2486" s="30" t="s">
        <v>905</v>
      </c>
      <c r="T2486" s="30" t="s">
        <v>905</v>
      </c>
      <c r="U248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86" s="19">
        <v>0</v>
      </c>
      <c r="W2486" s="20">
        <v>46233</v>
      </c>
      <c r="X2486" s="21" t="s">
        <v>906</v>
      </c>
      <c r="Y2486" s="24" t="s">
        <v>901</v>
      </c>
      <c r="Z2486" s="24" t="s">
        <v>945</v>
      </c>
      <c r="AA2486" s="24" t="s">
        <v>946</v>
      </c>
    </row>
    <row r="2487" spans="1:27" hidden="1" x14ac:dyDescent="0.3">
      <c r="A2487" s="29" t="s">
        <v>279</v>
      </c>
      <c r="B2487" s="4" t="s">
        <v>17</v>
      </c>
      <c r="C2487" s="16" t="s">
        <v>18</v>
      </c>
      <c r="D2487" s="4">
        <v>11</v>
      </c>
      <c r="E2487" s="4" t="s">
        <v>745</v>
      </c>
      <c r="F2487" t="s">
        <v>525</v>
      </c>
      <c r="G2487" t="s">
        <v>514</v>
      </c>
      <c r="J2487" s="4" t="s">
        <v>31</v>
      </c>
      <c r="K2487" s="4" t="s">
        <v>21</v>
      </c>
      <c r="L2487" s="4" t="s">
        <v>742</v>
      </c>
      <c r="M2487" s="17">
        <v>30</v>
      </c>
      <c r="N2487" s="17">
        <v>826</v>
      </c>
      <c r="O2487" s="18" t="s">
        <v>31</v>
      </c>
      <c r="P2487" s="18">
        <v>826</v>
      </c>
      <c r="Q2487" s="18">
        <v>30</v>
      </c>
      <c r="R2487" s="18" t="s">
        <v>814</v>
      </c>
      <c r="S2487" s="18" t="s">
        <v>859</v>
      </c>
      <c r="T2487" s="18" t="s">
        <v>782</v>
      </c>
      <c r="U248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87" s="19">
        <f>IF(AUDITORIA[[#This Row],[CAT]]="",0,1)</f>
        <v>1</v>
      </c>
      <c r="W2487" s="20">
        <v>46233</v>
      </c>
      <c r="X2487" s="21" t="s">
        <v>906</v>
      </c>
      <c r="Y2487" s="24" t="s">
        <v>901</v>
      </c>
      <c r="Z2487" s="24" t="s">
        <v>945</v>
      </c>
      <c r="AA2487" s="24" t="s">
        <v>946</v>
      </c>
    </row>
    <row r="2488" spans="1:27" hidden="1" x14ac:dyDescent="0.3">
      <c r="A2488" s="29" t="s">
        <v>279</v>
      </c>
      <c r="B2488" s="4" t="s">
        <v>17</v>
      </c>
      <c r="C2488" s="16" t="s">
        <v>18</v>
      </c>
      <c r="D2488" s="4">
        <v>11</v>
      </c>
      <c r="E2488" s="4" t="s">
        <v>745</v>
      </c>
      <c r="F2488" t="s">
        <v>526</v>
      </c>
      <c r="G2488" t="s">
        <v>514</v>
      </c>
      <c r="J2488" s="4" t="s">
        <v>31</v>
      </c>
      <c r="K2488" s="4" t="s">
        <v>20</v>
      </c>
      <c r="L2488" s="4" t="s">
        <v>742</v>
      </c>
      <c r="M2488" s="17">
        <v>30</v>
      </c>
      <c r="N2488" s="17">
        <v>658</v>
      </c>
      <c r="O2488" s="18" t="s">
        <v>31</v>
      </c>
      <c r="P2488" s="18">
        <v>658</v>
      </c>
      <c r="Q2488" s="18">
        <v>30</v>
      </c>
      <c r="R2488" s="18" t="s">
        <v>814</v>
      </c>
      <c r="S2488" s="18" t="s">
        <v>858</v>
      </c>
      <c r="T2488" s="18" t="s">
        <v>794</v>
      </c>
      <c r="U248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88" s="19">
        <f>IF(AUDITORIA[[#This Row],[CAT]]="",0,1)</f>
        <v>1</v>
      </c>
      <c r="W2488" s="20">
        <v>46233</v>
      </c>
      <c r="X2488" s="21" t="s">
        <v>906</v>
      </c>
      <c r="Y2488" s="24" t="s">
        <v>901</v>
      </c>
      <c r="Z2488" s="24" t="s">
        <v>945</v>
      </c>
      <c r="AA2488" s="24" t="s">
        <v>946</v>
      </c>
    </row>
    <row r="2489" spans="1:27" hidden="1" x14ac:dyDescent="0.3">
      <c r="A2489" s="29" t="s">
        <v>279</v>
      </c>
      <c r="B2489" s="4" t="s">
        <v>17</v>
      </c>
      <c r="C2489" s="16" t="s">
        <v>18</v>
      </c>
      <c r="D2489" s="4">
        <v>11</v>
      </c>
      <c r="E2489" s="4" t="s">
        <v>745</v>
      </c>
      <c r="F2489" t="s">
        <v>527</v>
      </c>
      <c r="G2489" t="s">
        <v>514</v>
      </c>
      <c r="J2489" s="4" t="s">
        <v>31</v>
      </c>
      <c r="K2489" s="4" t="s">
        <v>20</v>
      </c>
      <c r="L2489" s="4" t="s">
        <v>742</v>
      </c>
      <c r="M2489" s="17">
        <v>30</v>
      </c>
      <c r="N2489" s="17">
        <v>656</v>
      </c>
      <c r="O2489" s="18" t="s">
        <v>31</v>
      </c>
      <c r="P2489" s="18">
        <v>656</v>
      </c>
      <c r="Q2489" s="18">
        <v>30</v>
      </c>
      <c r="R2489" s="18" t="s">
        <v>814</v>
      </c>
      <c r="S2489" s="18" t="s">
        <v>858</v>
      </c>
      <c r="T2489" s="18" t="s">
        <v>782</v>
      </c>
      <c r="U248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89" s="19">
        <f>IF(AUDITORIA[[#This Row],[CAT]]="",0,1)</f>
        <v>1</v>
      </c>
      <c r="W2489" s="20">
        <v>46233</v>
      </c>
      <c r="X2489" s="21" t="s">
        <v>906</v>
      </c>
      <c r="Y2489" s="24" t="s">
        <v>901</v>
      </c>
      <c r="Z2489" s="24" t="s">
        <v>945</v>
      </c>
      <c r="AA2489" s="24" t="s">
        <v>946</v>
      </c>
    </row>
    <row r="2490" spans="1:27" hidden="1" x14ac:dyDescent="0.3">
      <c r="A2490" s="29" t="s">
        <v>279</v>
      </c>
      <c r="B2490" s="4" t="s">
        <v>17</v>
      </c>
      <c r="C2490" s="16" t="s">
        <v>18</v>
      </c>
      <c r="D2490" s="4">
        <v>11</v>
      </c>
      <c r="E2490" s="4" t="s">
        <v>745</v>
      </c>
      <c r="F2490" t="s">
        <v>528</v>
      </c>
      <c r="G2490" t="s">
        <v>514</v>
      </c>
      <c r="J2490" s="4" t="s">
        <v>31</v>
      </c>
      <c r="K2490" s="4" t="s">
        <v>21</v>
      </c>
      <c r="L2490" s="4" t="s">
        <v>742</v>
      </c>
      <c r="M2490" s="17">
        <v>30</v>
      </c>
      <c r="N2490" s="17">
        <v>801</v>
      </c>
      <c r="O2490" s="18" t="s">
        <v>31</v>
      </c>
      <c r="P2490" s="18">
        <v>801</v>
      </c>
      <c r="Q2490" s="18">
        <v>30</v>
      </c>
      <c r="R2490" s="18" t="s">
        <v>814</v>
      </c>
      <c r="S2490" s="18" t="s">
        <v>859</v>
      </c>
      <c r="T2490" s="18" t="s">
        <v>781</v>
      </c>
      <c r="U249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90" s="19">
        <f>IF(AUDITORIA[[#This Row],[CAT]]="",0,1)</f>
        <v>1</v>
      </c>
      <c r="W2490" s="20">
        <v>46233</v>
      </c>
      <c r="X2490" s="21" t="s">
        <v>906</v>
      </c>
      <c r="Y2490" s="24" t="s">
        <v>901</v>
      </c>
      <c r="Z2490" s="24" t="s">
        <v>945</v>
      </c>
      <c r="AA2490" s="24" t="s">
        <v>946</v>
      </c>
    </row>
    <row r="2491" spans="1:27" hidden="1" x14ac:dyDescent="0.3">
      <c r="A2491" s="29" t="s">
        <v>279</v>
      </c>
      <c r="B2491" s="4" t="s">
        <v>17</v>
      </c>
      <c r="C2491" s="16" t="s">
        <v>18</v>
      </c>
      <c r="D2491" s="4">
        <v>11</v>
      </c>
      <c r="E2491" s="4" t="s">
        <v>745</v>
      </c>
      <c r="F2491" t="s">
        <v>529</v>
      </c>
      <c r="G2491" t="s">
        <v>85</v>
      </c>
      <c r="J2491" s="4" t="s">
        <v>88</v>
      </c>
      <c r="K2491" s="4" t="s">
        <v>21</v>
      </c>
      <c r="L2491" s="4" t="s">
        <v>742</v>
      </c>
      <c r="M2491" s="17">
        <v>0</v>
      </c>
      <c r="N2491" s="17">
        <v>870</v>
      </c>
      <c r="O2491" s="18" t="s">
        <v>88</v>
      </c>
      <c r="P2491" s="30" t="s">
        <v>905</v>
      </c>
      <c r="Q2491" s="30">
        <v>0</v>
      </c>
      <c r="R2491" s="30" t="s">
        <v>905</v>
      </c>
      <c r="S2491" s="30" t="s">
        <v>905</v>
      </c>
      <c r="T2491" s="30" t="s">
        <v>905</v>
      </c>
      <c r="U249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91" s="19">
        <v>0</v>
      </c>
      <c r="W2491" s="20">
        <v>46233</v>
      </c>
      <c r="X2491" s="21" t="s">
        <v>906</v>
      </c>
      <c r="Y2491" s="24" t="s">
        <v>901</v>
      </c>
      <c r="Z2491" s="24" t="s">
        <v>945</v>
      </c>
      <c r="AA2491" s="24" t="s">
        <v>946</v>
      </c>
    </row>
    <row r="2492" spans="1:27" hidden="1" x14ac:dyDescent="0.3">
      <c r="A2492" s="29" t="s">
        <v>279</v>
      </c>
      <c r="B2492" s="4" t="s">
        <v>17</v>
      </c>
      <c r="C2492" s="16" t="s">
        <v>18</v>
      </c>
      <c r="D2492" s="4">
        <v>11</v>
      </c>
      <c r="E2492" s="4" t="s">
        <v>745</v>
      </c>
      <c r="F2492" t="s">
        <v>530</v>
      </c>
      <c r="G2492" t="s">
        <v>85</v>
      </c>
      <c r="J2492" s="4" t="s">
        <v>88</v>
      </c>
      <c r="K2492" s="4" t="s">
        <v>20</v>
      </c>
      <c r="L2492" s="4" t="s">
        <v>742</v>
      </c>
      <c r="M2492" s="17">
        <v>0</v>
      </c>
      <c r="N2492" s="17">
        <v>683</v>
      </c>
      <c r="O2492" s="18" t="s">
        <v>88</v>
      </c>
      <c r="P2492" s="30" t="s">
        <v>905</v>
      </c>
      <c r="Q2492" s="30">
        <v>0</v>
      </c>
      <c r="R2492" s="30" t="s">
        <v>905</v>
      </c>
      <c r="S2492" s="30" t="s">
        <v>905</v>
      </c>
      <c r="T2492" s="30" t="s">
        <v>905</v>
      </c>
      <c r="U249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92" s="19">
        <v>0</v>
      </c>
      <c r="W2492" s="20">
        <v>46233</v>
      </c>
      <c r="X2492" s="21" t="s">
        <v>906</v>
      </c>
      <c r="Y2492" s="24" t="s">
        <v>901</v>
      </c>
      <c r="Z2492" s="24" t="s">
        <v>945</v>
      </c>
      <c r="AA2492" s="24" t="s">
        <v>946</v>
      </c>
    </row>
    <row r="2493" spans="1:27" hidden="1" x14ac:dyDescent="0.3">
      <c r="A2493" s="29" t="s">
        <v>279</v>
      </c>
      <c r="B2493" s="4" t="s">
        <v>17</v>
      </c>
      <c r="C2493" s="16" t="s">
        <v>18</v>
      </c>
      <c r="D2493" s="4">
        <v>11</v>
      </c>
      <c r="E2493" s="4" t="s">
        <v>745</v>
      </c>
      <c r="F2493" t="s">
        <v>531</v>
      </c>
      <c r="G2493" t="s">
        <v>514</v>
      </c>
      <c r="J2493" s="4" t="s">
        <v>31</v>
      </c>
      <c r="K2493" s="4" t="s">
        <v>21</v>
      </c>
      <c r="L2493" s="4" t="s">
        <v>742</v>
      </c>
      <c r="M2493" s="17">
        <v>1</v>
      </c>
      <c r="N2493" s="17">
        <v>794</v>
      </c>
      <c r="O2493" s="18" t="s">
        <v>31</v>
      </c>
      <c r="P2493" s="18">
        <v>794</v>
      </c>
      <c r="Q2493" s="18">
        <v>1</v>
      </c>
      <c r="R2493" s="18" t="s">
        <v>814</v>
      </c>
      <c r="S2493" s="18" t="s">
        <v>859</v>
      </c>
      <c r="T2493" s="18" t="s">
        <v>840</v>
      </c>
      <c r="U249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93" s="19">
        <f>IF(AUDITORIA[[#This Row],[CAT]]="",0,1)</f>
        <v>1</v>
      </c>
      <c r="W2493" s="20">
        <v>46233</v>
      </c>
      <c r="X2493" s="21" t="s">
        <v>906</v>
      </c>
      <c r="Y2493" s="24" t="s">
        <v>901</v>
      </c>
      <c r="Z2493" s="24" t="s">
        <v>945</v>
      </c>
      <c r="AA2493" s="24" t="s">
        <v>946</v>
      </c>
    </row>
    <row r="2494" spans="1:27" hidden="1" x14ac:dyDescent="0.3">
      <c r="A2494" s="29" t="s">
        <v>279</v>
      </c>
      <c r="B2494" s="4" t="s">
        <v>17</v>
      </c>
      <c r="C2494" s="16" t="s">
        <v>18</v>
      </c>
      <c r="D2494" s="4">
        <v>11</v>
      </c>
      <c r="E2494" s="4" t="s">
        <v>745</v>
      </c>
      <c r="F2494" t="s">
        <v>532</v>
      </c>
      <c r="G2494" t="s">
        <v>514</v>
      </c>
      <c r="J2494" s="4" t="s">
        <v>31</v>
      </c>
      <c r="K2494" s="4" t="s">
        <v>20</v>
      </c>
      <c r="L2494" s="4" t="s">
        <v>742</v>
      </c>
      <c r="M2494" s="17">
        <v>18</v>
      </c>
      <c r="N2494" s="17">
        <v>640</v>
      </c>
      <c r="O2494" s="18" t="s">
        <v>31</v>
      </c>
      <c r="P2494" s="18">
        <v>640</v>
      </c>
      <c r="Q2494" s="18">
        <v>18</v>
      </c>
      <c r="R2494" s="18" t="s">
        <v>814</v>
      </c>
      <c r="S2494" s="18" t="s">
        <v>859</v>
      </c>
      <c r="T2494" s="18" t="s">
        <v>794</v>
      </c>
      <c r="U249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94" s="19">
        <f>IF(AUDITORIA[[#This Row],[CAT]]="",0,1)</f>
        <v>1</v>
      </c>
      <c r="W2494" s="20">
        <v>46233</v>
      </c>
      <c r="X2494" s="21" t="s">
        <v>906</v>
      </c>
      <c r="Y2494" s="24" t="s">
        <v>901</v>
      </c>
      <c r="Z2494" s="24" t="s">
        <v>945</v>
      </c>
      <c r="AA2494" s="24" t="s">
        <v>946</v>
      </c>
    </row>
    <row r="2495" spans="1:27" hidden="1" x14ac:dyDescent="0.3">
      <c r="A2495" s="29" t="s">
        <v>279</v>
      </c>
      <c r="B2495" s="4" t="s">
        <v>17</v>
      </c>
      <c r="C2495" s="16" t="s">
        <v>18</v>
      </c>
      <c r="D2495" s="4">
        <v>11</v>
      </c>
      <c r="E2495" s="4" t="s">
        <v>745</v>
      </c>
      <c r="F2495" t="s">
        <v>533</v>
      </c>
      <c r="G2495" t="s">
        <v>85</v>
      </c>
      <c r="J2495" s="4" t="s">
        <v>88</v>
      </c>
      <c r="K2495" s="4" t="s">
        <v>21</v>
      </c>
      <c r="L2495" s="4" t="s">
        <v>742</v>
      </c>
      <c r="M2495" s="17">
        <v>0</v>
      </c>
      <c r="N2495" s="17">
        <v>941</v>
      </c>
      <c r="O2495" s="18" t="s">
        <v>88</v>
      </c>
      <c r="P2495" s="30" t="s">
        <v>905</v>
      </c>
      <c r="Q2495" s="30">
        <v>0</v>
      </c>
      <c r="R2495" s="30" t="s">
        <v>905</v>
      </c>
      <c r="S2495" s="30" t="s">
        <v>905</v>
      </c>
      <c r="T2495" s="30" t="s">
        <v>905</v>
      </c>
      <c r="U249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95" s="19">
        <v>0</v>
      </c>
      <c r="W2495" s="20">
        <v>46233</v>
      </c>
      <c r="X2495" s="21" t="s">
        <v>906</v>
      </c>
      <c r="Y2495" s="24" t="s">
        <v>901</v>
      </c>
      <c r="Z2495" s="24" t="s">
        <v>945</v>
      </c>
      <c r="AA2495" s="24" t="s">
        <v>946</v>
      </c>
    </row>
    <row r="2496" spans="1:27" hidden="1" x14ac:dyDescent="0.3">
      <c r="A2496" s="29" t="s">
        <v>279</v>
      </c>
      <c r="B2496" s="4" t="s">
        <v>17</v>
      </c>
      <c r="C2496" s="16" t="s">
        <v>18</v>
      </c>
      <c r="D2496" s="4">
        <v>11</v>
      </c>
      <c r="E2496" s="4" t="s">
        <v>745</v>
      </c>
      <c r="F2496" t="s">
        <v>534</v>
      </c>
      <c r="G2496" t="s">
        <v>535</v>
      </c>
      <c r="J2496" s="4" t="s">
        <v>88</v>
      </c>
      <c r="K2496" s="4" t="s">
        <v>21</v>
      </c>
      <c r="L2496" s="4" t="s">
        <v>742</v>
      </c>
      <c r="M2496" s="17">
        <v>27</v>
      </c>
      <c r="N2496" s="17">
        <v>929</v>
      </c>
      <c r="O2496" s="18" t="s">
        <v>88</v>
      </c>
      <c r="P2496" s="18">
        <v>929</v>
      </c>
      <c r="Q2496" s="18">
        <v>27</v>
      </c>
      <c r="R2496" s="18" t="s">
        <v>814</v>
      </c>
      <c r="S2496" s="18" t="s">
        <v>861</v>
      </c>
      <c r="T2496" s="18" t="s">
        <v>794</v>
      </c>
      <c r="U249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96" s="19">
        <f>IF(AUDITORIA[[#This Row],[CAT]]="",0,1)</f>
        <v>1</v>
      </c>
      <c r="W2496" s="20">
        <v>46233</v>
      </c>
      <c r="X2496" s="21" t="s">
        <v>906</v>
      </c>
      <c r="Y2496" s="24" t="s">
        <v>901</v>
      </c>
      <c r="Z2496" s="24" t="s">
        <v>945</v>
      </c>
      <c r="AA2496" s="24" t="s">
        <v>946</v>
      </c>
    </row>
    <row r="2497" spans="1:27" hidden="1" x14ac:dyDescent="0.3">
      <c r="A2497" s="29" t="s">
        <v>279</v>
      </c>
      <c r="B2497" s="4" t="s">
        <v>17</v>
      </c>
      <c r="C2497" s="16" t="s">
        <v>18</v>
      </c>
      <c r="D2497" s="4">
        <v>11</v>
      </c>
      <c r="E2497" s="4" t="s">
        <v>745</v>
      </c>
      <c r="F2497" t="s">
        <v>538</v>
      </c>
      <c r="G2497" t="s">
        <v>85</v>
      </c>
      <c r="J2497" s="4" t="s">
        <v>88</v>
      </c>
      <c r="K2497" s="4" t="s">
        <v>21</v>
      </c>
      <c r="L2497" s="4" t="s">
        <v>742</v>
      </c>
      <c r="M2497" s="17">
        <v>0</v>
      </c>
      <c r="N2497" s="17">
        <v>874</v>
      </c>
      <c r="O2497" s="18" t="s">
        <v>88</v>
      </c>
      <c r="P2497" s="30" t="s">
        <v>905</v>
      </c>
      <c r="Q2497" s="30">
        <v>0</v>
      </c>
      <c r="R2497" s="30" t="s">
        <v>905</v>
      </c>
      <c r="S2497" s="30" t="s">
        <v>905</v>
      </c>
      <c r="T2497" s="30" t="s">
        <v>905</v>
      </c>
      <c r="U249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97" s="19">
        <v>0</v>
      </c>
      <c r="W2497" s="20">
        <v>46233</v>
      </c>
      <c r="X2497" s="21" t="s">
        <v>906</v>
      </c>
      <c r="Y2497" s="24" t="s">
        <v>901</v>
      </c>
      <c r="Z2497" s="24" t="s">
        <v>945</v>
      </c>
      <c r="AA2497" s="24" t="s">
        <v>946</v>
      </c>
    </row>
    <row r="2498" spans="1:27" hidden="1" x14ac:dyDescent="0.3">
      <c r="A2498" s="29" t="s">
        <v>279</v>
      </c>
      <c r="B2498" s="4" t="s">
        <v>17</v>
      </c>
      <c r="C2498" s="16" t="s">
        <v>18</v>
      </c>
      <c r="D2498" s="4">
        <v>11</v>
      </c>
      <c r="E2498" s="4" t="s">
        <v>745</v>
      </c>
      <c r="F2498" t="s">
        <v>539</v>
      </c>
      <c r="G2498" t="s">
        <v>535</v>
      </c>
      <c r="J2498" s="4" t="s">
        <v>88</v>
      </c>
      <c r="K2498" s="4" t="s">
        <v>20</v>
      </c>
      <c r="L2498" s="4" t="s">
        <v>742</v>
      </c>
      <c r="M2498" s="17">
        <v>30</v>
      </c>
      <c r="N2498" s="17">
        <v>733</v>
      </c>
      <c r="O2498" s="18" t="s">
        <v>88</v>
      </c>
      <c r="P2498" s="18">
        <v>733</v>
      </c>
      <c r="Q2498" s="18">
        <v>30</v>
      </c>
      <c r="R2498" s="18" t="s">
        <v>814</v>
      </c>
      <c r="S2498" s="18" t="s">
        <v>860</v>
      </c>
      <c r="T2498" s="18" t="s">
        <v>781</v>
      </c>
      <c r="U249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98" s="19">
        <f>IF(AUDITORIA[[#This Row],[CAT]]="",0,1)</f>
        <v>1</v>
      </c>
      <c r="W2498" s="20">
        <v>46233</v>
      </c>
      <c r="X2498" s="21" t="s">
        <v>906</v>
      </c>
      <c r="Y2498" s="24" t="s">
        <v>901</v>
      </c>
      <c r="Z2498" s="24" t="s">
        <v>945</v>
      </c>
      <c r="AA2498" s="24" t="s">
        <v>946</v>
      </c>
    </row>
    <row r="2499" spans="1:27" hidden="1" x14ac:dyDescent="0.3">
      <c r="A2499" s="29" t="s">
        <v>279</v>
      </c>
      <c r="B2499" s="4" t="s">
        <v>17</v>
      </c>
      <c r="C2499" s="16" t="s">
        <v>18</v>
      </c>
      <c r="D2499" s="4">
        <v>11</v>
      </c>
      <c r="E2499" s="4" t="s">
        <v>745</v>
      </c>
      <c r="F2499" t="s">
        <v>540</v>
      </c>
      <c r="G2499" t="s">
        <v>535</v>
      </c>
      <c r="J2499" s="4" t="s">
        <v>88</v>
      </c>
      <c r="K2499" s="4" t="s">
        <v>21</v>
      </c>
      <c r="L2499" s="4" t="s">
        <v>742</v>
      </c>
      <c r="M2499" s="17">
        <v>27</v>
      </c>
      <c r="N2499" s="17">
        <v>936</v>
      </c>
      <c r="O2499" s="18" t="s">
        <v>88</v>
      </c>
      <c r="P2499" s="18">
        <v>936</v>
      </c>
      <c r="Q2499" s="18">
        <v>27</v>
      </c>
      <c r="R2499" s="18" t="s">
        <v>814</v>
      </c>
      <c r="S2499" s="18" t="s">
        <v>861</v>
      </c>
      <c r="T2499" s="18" t="s">
        <v>781</v>
      </c>
      <c r="U249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499" s="19">
        <f>IF(AUDITORIA[[#This Row],[CAT]]="",0,1)</f>
        <v>1</v>
      </c>
      <c r="W2499" s="20">
        <v>46233</v>
      </c>
      <c r="X2499" s="21" t="s">
        <v>906</v>
      </c>
      <c r="Y2499" s="24" t="s">
        <v>901</v>
      </c>
      <c r="Z2499" s="24" t="s">
        <v>945</v>
      </c>
      <c r="AA2499" s="24" t="s">
        <v>946</v>
      </c>
    </row>
    <row r="2500" spans="1:27" hidden="1" x14ac:dyDescent="0.3">
      <c r="A2500" s="29" t="s">
        <v>279</v>
      </c>
      <c r="B2500" s="4" t="s">
        <v>17</v>
      </c>
      <c r="C2500" s="16" t="s">
        <v>18</v>
      </c>
      <c r="D2500" s="4">
        <v>11</v>
      </c>
      <c r="E2500" s="4" t="s">
        <v>745</v>
      </c>
      <c r="F2500" t="s">
        <v>541</v>
      </c>
      <c r="G2500" t="s">
        <v>535</v>
      </c>
      <c r="J2500" s="4" t="s">
        <v>88</v>
      </c>
      <c r="K2500" s="4" t="s">
        <v>20</v>
      </c>
      <c r="L2500" s="4" t="s">
        <v>742</v>
      </c>
      <c r="M2500" s="17">
        <v>30</v>
      </c>
      <c r="N2500" s="17">
        <v>761</v>
      </c>
      <c r="O2500" s="18" t="s">
        <v>88</v>
      </c>
      <c r="P2500" s="18">
        <v>761</v>
      </c>
      <c r="Q2500" s="18">
        <v>30</v>
      </c>
      <c r="R2500" s="18" t="s">
        <v>814</v>
      </c>
      <c r="S2500" s="18" t="s">
        <v>860</v>
      </c>
      <c r="T2500" s="18" t="s">
        <v>780</v>
      </c>
      <c r="U250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00" s="19">
        <f>IF(AUDITORIA[[#This Row],[CAT]]="",0,1)</f>
        <v>1</v>
      </c>
      <c r="W2500" s="20">
        <v>46233</v>
      </c>
      <c r="X2500" s="21" t="s">
        <v>906</v>
      </c>
      <c r="Y2500" s="24" t="s">
        <v>901</v>
      </c>
      <c r="Z2500" s="24" t="s">
        <v>945</v>
      </c>
      <c r="AA2500" s="24" t="s">
        <v>946</v>
      </c>
    </row>
    <row r="2501" spans="1:27" hidden="1" x14ac:dyDescent="0.3">
      <c r="A2501" s="29" t="s">
        <v>279</v>
      </c>
      <c r="B2501" s="4" t="s">
        <v>17</v>
      </c>
      <c r="C2501" s="16" t="s">
        <v>18</v>
      </c>
      <c r="D2501" s="4">
        <v>11</v>
      </c>
      <c r="E2501" s="4" t="s">
        <v>745</v>
      </c>
      <c r="F2501" t="s">
        <v>542</v>
      </c>
      <c r="G2501" t="s">
        <v>85</v>
      </c>
      <c r="J2501" s="4" t="s">
        <v>88</v>
      </c>
      <c r="K2501" s="4" t="s">
        <v>20</v>
      </c>
      <c r="L2501" s="4" t="s">
        <v>742</v>
      </c>
      <c r="M2501" s="17">
        <v>0</v>
      </c>
      <c r="N2501" s="17">
        <v>688</v>
      </c>
      <c r="O2501" s="18" t="s">
        <v>88</v>
      </c>
      <c r="P2501" s="30" t="s">
        <v>905</v>
      </c>
      <c r="Q2501" s="30">
        <v>0</v>
      </c>
      <c r="R2501" s="30" t="s">
        <v>905</v>
      </c>
      <c r="S2501" s="30" t="s">
        <v>905</v>
      </c>
      <c r="T2501" s="30" t="s">
        <v>905</v>
      </c>
      <c r="U250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01" s="19">
        <v>0</v>
      </c>
      <c r="W2501" s="20">
        <v>46233</v>
      </c>
      <c r="X2501" s="21" t="s">
        <v>906</v>
      </c>
      <c r="Y2501" s="24" t="s">
        <v>901</v>
      </c>
      <c r="Z2501" s="24" t="s">
        <v>945</v>
      </c>
      <c r="AA2501" s="24" t="s">
        <v>946</v>
      </c>
    </row>
    <row r="2502" spans="1:27" hidden="1" x14ac:dyDescent="0.3">
      <c r="A2502" s="29" t="s">
        <v>279</v>
      </c>
      <c r="B2502" s="4" t="s">
        <v>17</v>
      </c>
      <c r="C2502" s="16" t="s">
        <v>18</v>
      </c>
      <c r="D2502" s="4">
        <v>11</v>
      </c>
      <c r="E2502" s="4" t="s">
        <v>745</v>
      </c>
      <c r="F2502" t="s">
        <v>543</v>
      </c>
      <c r="G2502" t="s">
        <v>535</v>
      </c>
      <c r="J2502" s="4" t="s">
        <v>88</v>
      </c>
      <c r="K2502" s="4" t="s">
        <v>21</v>
      </c>
      <c r="L2502" s="4" t="s">
        <v>742</v>
      </c>
      <c r="M2502" s="17">
        <v>27</v>
      </c>
      <c r="N2502" s="17">
        <v>953</v>
      </c>
      <c r="O2502" s="18" t="s">
        <v>88</v>
      </c>
      <c r="P2502" s="18">
        <v>953</v>
      </c>
      <c r="Q2502" s="18">
        <v>27</v>
      </c>
      <c r="R2502" s="18" t="s">
        <v>814</v>
      </c>
      <c r="S2502" s="18" t="s">
        <v>861</v>
      </c>
      <c r="T2502" s="18" t="s">
        <v>780</v>
      </c>
      <c r="U250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02" s="19">
        <f>IF(AUDITORIA[[#This Row],[CAT]]="",0,1)</f>
        <v>1</v>
      </c>
      <c r="W2502" s="20">
        <v>46233</v>
      </c>
      <c r="X2502" s="21" t="s">
        <v>906</v>
      </c>
      <c r="Y2502" s="24" t="s">
        <v>901</v>
      </c>
      <c r="Z2502" s="24" t="s">
        <v>945</v>
      </c>
      <c r="AA2502" s="24" t="s">
        <v>946</v>
      </c>
    </row>
    <row r="2503" spans="1:27" hidden="1" x14ac:dyDescent="0.3">
      <c r="A2503" s="29" t="s">
        <v>279</v>
      </c>
      <c r="B2503" s="4" t="s">
        <v>17</v>
      </c>
      <c r="C2503" s="16" t="s">
        <v>18</v>
      </c>
      <c r="D2503" s="4">
        <v>11</v>
      </c>
      <c r="E2503" s="4" t="s">
        <v>745</v>
      </c>
      <c r="F2503" t="s">
        <v>544</v>
      </c>
      <c r="G2503" t="s">
        <v>85</v>
      </c>
      <c r="J2503" s="4" t="s">
        <v>88</v>
      </c>
      <c r="K2503" s="4" t="s">
        <v>20</v>
      </c>
      <c r="L2503" s="4" t="s">
        <v>742</v>
      </c>
      <c r="M2503" s="17">
        <v>0</v>
      </c>
      <c r="N2503" s="17">
        <v>685</v>
      </c>
      <c r="O2503" s="18" t="s">
        <v>88</v>
      </c>
      <c r="P2503" s="30" t="s">
        <v>905</v>
      </c>
      <c r="Q2503" s="30">
        <v>0</v>
      </c>
      <c r="R2503" s="30" t="s">
        <v>905</v>
      </c>
      <c r="S2503" s="30" t="s">
        <v>905</v>
      </c>
      <c r="T2503" s="30" t="s">
        <v>905</v>
      </c>
      <c r="U250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03" s="19">
        <v>0</v>
      </c>
      <c r="W2503" s="20">
        <v>46233</v>
      </c>
      <c r="X2503" s="21" t="s">
        <v>906</v>
      </c>
      <c r="Y2503" s="24" t="s">
        <v>901</v>
      </c>
      <c r="Z2503" s="24" t="s">
        <v>945</v>
      </c>
      <c r="AA2503" s="24" t="s">
        <v>946</v>
      </c>
    </row>
    <row r="2504" spans="1:27" hidden="1" x14ac:dyDescent="0.3">
      <c r="A2504" s="29" t="s">
        <v>279</v>
      </c>
      <c r="B2504" s="4" t="s">
        <v>17</v>
      </c>
      <c r="C2504" s="16" t="s">
        <v>18</v>
      </c>
      <c r="D2504" s="4">
        <v>11</v>
      </c>
      <c r="E2504" s="4" t="s">
        <v>745</v>
      </c>
      <c r="F2504" t="s">
        <v>545</v>
      </c>
      <c r="G2504" t="s">
        <v>85</v>
      </c>
      <c r="J2504" s="4" t="s">
        <v>88</v>
      </c>
      <c r="K2504" s="4" t="s">
        <v>20</v>
      </c>
      <c r="L2504" s="4" t="s">
        <v>742</v>
      </c>
      <c r="M2504" s="17">
        <v>0</v>
      </c>
      <c r="N2504" s="17">
        <v>680</v>
      </c>
      <c r="O2504" s="18" t="s">
        <v>88</v>
      </c>
      <c r="P2504" s="30" t="s">
        <v>905</v>
      </c>
      <c r="Q2504" s="30">
        <v>0</v>
      </c>
      <c r="R2504" s="30" t="s">
        <v>905</v>
      </c>
      <c r="S2504" s="30" t="s">
        <v>905</v>
      </c>
      <c r="T2504" s="30" t="s">
        <v>905</v>
      </c>
      <c r="U250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04" s="19">
        <v>0</v>
      </c>
      <c r="W2504" s="20">
        <v>46233</v>
      </c>
      <c r="X2504" s="21" t="s">
        <v>906</v>
      </c>
      <c r="Y2504" s="24" t="s">
        <v>901</v>
      </c>
      <c r="Z2504" s="24" t="s">
        <v>945</v>
      </c>
      <c r="AA2504" s="24" t="s">
        <v>946</v>
      </c>
    </row>
    <row r="2505" spans="1:27" hidden="1" x14ac:dyDescent="0.3">
      <c r="A2505" s="29" t="s">
        <v>279</v>
      </c>
      <c r="B2505" s="4" t="s">
        <v>17</v>
      </c>
      <c r="C2505" s="16" t="s">
        <v>18</v>
      </c>
      <c r="D2505" s="4">
        <v>11</v>
      </c>
      <c r="E2505" s="4" t="s">
        <v>745</v>
      </c>
      <c r="F2505" t="s">
        <v>546</v>
      </c>
      <c r="G2505" t="s">
        <v>85</v>
      </c>
      <c r="J2505" s="4" t="s">
        <v>88</v>
      </c>
      <c r="K2505" s="4" t="s">
        <v>21</v>
      </c>
      <c r="L2505" s="4" t="s">
        <v>742</v>
      </c>
      <c r="M2505" s="17">
        <v>0</v>
      </c>
      <c r="N2505" s="17">
        <v>865</v>
      </c>
      <c r="O2505" s="18" t="s">
        <v>88</v>
      </c>
      <c r="P2505" s="30" t="s">
        <v>905</v>
      </c>
      <c r="Q2505" s="30">
        <v>0</v>
      </c>
      <c r="R2505" s="30" t="s">
        <v>905</v>
      </c>
      <c r="S2505" s="30" t="s">
        <v>905</v>
      </c>
      <c r="T2505" s="30" t="s">
        <v>905</v>
      </c>
      <c r="U250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05" s="19">
        <v>0</v>
      </c>
      <c r="W2505" s="20">
        <v>46233</v>
      </c>
      <c r="X2505" s="21" t="s">
        <v>906</v>
      </c>
      <c r="Y2505" s="24" t="s">
        <v>901</v>
      </c>
      <c r="Z2505" s="24" t="s">
        <v>945</v>
      </c>
      <c r="AA2505" s="24" t="s">
        <v>946</v>
      </c>
    </row>
    <row r="2506" spans="1:27" hidden="1" x14ac:dyDescent="0.3">
      <c r="A2506" s="29" t="s">
        <v>279</v>
      </c>
      <c r="B2506" s="4" t="s">
        <v>17</v>
      </c>
      <c r="C2506" s="16" t="s">
        <v>18</v>
      </c>
      <c r="D2506" s="4">
        <v>11</v>
      </c>
      <c r="E2506" s="4" t="s">
        <v>745</v>
      </c>
      <c r="F2506" t="s">
        <v>547</v>
      </c>
      <c r="G2506" t="s">
        <v>535</v>
      </c>
      <c r="J2506" s="4" t="s">
        <v>88</v>
      </c>
      <c r="K2506" s="4" t="s">
        <v>20</v>
      </c>
      <c r="L2506" s="4" t="s">
        <v>742</v>
      </c>
      <c r="M2506" s="17">
        <v>23</v>
      </c>
      <c r="N2506" s="17">
        <v>731</v>
      </c>
      <c r="O2506" s="18" t="s">
        <v>88</v>
      </c>
      <c r="P2506" s="18">
        <v>731</v>
      </c>
      <c r="Q2506" s="18">
        <v>23</v>
      </c>
      <c r="R2506" s="18" t="s">
        <v>814</v>
      </c>
      <c r="S2506" s="18" t="s">
        <v>860</v>
      </c>
      <c r="T2506" s="18" t="s">
        <v>794</v>
      </c>
      <c r="U250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06" s="19">
        <f>IF(AUDITORIA[[#This Row],[CAT]]="",0,1)</f>
        <v>1</v>
      </c>
      <c r="W2506" s="20">
        <v>46233</v>
      </c>
      <c r="X2506" s="21" t="s">
        <v>906</v>
      </c>
      <c r="Y2506" s="24" t="s">
        <v>901</v>
      </c>
      <c r="Z2506" s="24" t="s">
        <v>945</v>
      </c>
      <c r="AA2506" s="24" t="s">
        <v>946</v>
      </c>
    </row>
    <row r="2507" spans="1:27" hidden="1" x14ac:dyDescent="0.3">
      <c r="A2507" s="29" t="s">
        <v>279</v>
      </c>
      <c r="B2507" s="4" t="s">
        <v>17</v>
      </c>
      <c r="C2507" s="16" t="s">
        <v>18</v>
      </c>
      <c r="D2507" s="4">
        <v>11</v>
      </c>
      <c r="E2507" s="4" t="s">
        <v>745</v>
      </c>
      <c r="F2507" t="s">
        <v>548</v>
      </c>
      <c r="G2507" t="s">
        <v>85</v>
      </c>
      <c r="J2507" s="4" t="s">
        <v>88</v>
      </c>
      <c r="K2507" s="4" t="s">
        <v>21</v>
      </c>
      <c r="L2507" s="4" t="s">
        <v>742</v>
      </c>
      <c r="M2507" s="17">
        <v>0</v>
      </c>
      <c r="N2507" s="17">
        <v>874</v>
      </c>
      <c r="O2507" s="18" t="s">
        <v>88</v>
      </c>
      <c r="P2507" s="30" t="s">
        <v>905</v>
      </c>
      <c r="Q2507" s="30">
        <v>0</v>
      </c>
      <c r="R2507" s="30" t="s">
        <v>905</v>
      </c>
      <c r="S2507" s="30" t="s">
        <v>905</v>
      </c>
      <c r="T2507" s="30" t="s">
        <v>905</v>
      </c>
      <c r="U250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07" s="19">
        <v>0</v>
      </c>
      <c r="W2507" s="20">
        <v>46233</v>
      </c>
      <c r="X2507" s="21" t="s">
        <v>906</v>
      </c>
      <c r="Y2507" s="24" t="s">
        <v>901</v>
      </c>
      <c r="Z2507" s="24" t="s">
        <v>945</v>
      </c>
      <c r="AA2507" s="24" t="s">
        <v>946</v>
      </c>
    </row>
    <row r="2508" spans="1:27" hidden="1" x14ac:dyDescent="0.3">
      <c r="A2508" s="29" t="s">
        <v>279</v>
      </c>
      <c r="B2508" s="4" t="s">
        <v>17</v>
      </c>
      <c r="C2508" s="16" t="s">
        <v>18</v>
      </c>
      <c r="D2508" s="4">
        <v>11</v>
      </c>
      <c r="E2508" s="4" t="s">
        <v>745</v>
      </c>
      <c r="F2508" t="s">
        <v>549</v>
      </c>
      <c r="G2508" t="s">
        <v>85</v>
      </c>
      <c r="J2508" s="4" t="s">
        <v>88</v>
      </c>
      <c r="K2508" s="4" t="s">
        <v>20</v>
      </c>
      <c r="L2508" s="4" t="s">
        <v>742</v>
      </c>
      <c r="M2508" s="17">
        <v>0</v>
      </c>
      <c r="N2508" s="17">
        <v>689</v>
      </c>
      <c r="O2508" s="18" t="s">
        <v>88</v>
      </c>
      <c r="P2508" s="30" t="s">
        <v>905</v>
      </c>
      <c r="Q2508" s="30">
        <v>0</v>
      </c>
      <c r="R2508" s="30" t="s">
        <v>905</v>
      </c>
      <c r="S2508" s="30" t="s">
        <v>905</v>
      </c>
      <c r="T2508" s="30" t="s">
        <v>905</v>
      </c>
      <c r="U250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08" s="19">
        <v>0</v>
      </c>
      <c r="W2508" s="20">
        <v>46233</v>
      </c>
      <c r="X2508" s="21" t="s">
        <v>906</v>
      </c>
      <c r="Y2508" s="24" t="s">
        <v>901</v>
      </c>
      <c r="Z2508" s="24" t="s">
        <v>945</v>
      </c>
      <c r="AA2508" s="24" t="s">
        <v>946</v>
      </c>
    </row>
    <row r="2509" spans="1:27" hidden="1" x14ac:dyDescent="0.3">
      <c r="A2509" s="29" t="s">
        <v>279</v>
      </c>
      <c r="B2509" s="4" t="s">
        <v>17</v>
      </c>
      <c r="C2509" s="16" t="s">
        <v>18</v>
      </c>
      <c r="D2509" s="4">
        <v>11</v>
      </c>
      <c r="E2509" s="4" t="s">
        <v>745</v>
      </c>
      <c r="F2509" t="s">
        <v>550</v>
      </c>
      <c r="G2509" t="s">
        <v>535</v>
      </c>
      <c r="J2509" s="4" t="s">
        <v>88</v>
      </c>
      <c r="K2509" s="4" t="s">
        <v>21</v>
      </c>
      <c r="L2509" s="4" t="s">
        <v>742</v>
      </c>
      <c r="M2509" s="17">
        <v>27</v>
      </c>
      <c r="N2509" s="17">
        <v>948</v>
      </c>
      <c r="O2509" s="18" t="s">
        <v>88</v>
      </c>
      <c r="P2509" s="18">
        <v>948</v>
      </c>
      <c r="Q2509" s="18">
        <v>27</v>
      </c>
      <c r="R2509" s="18" t="s">
        <v>814</v>
      </c>
      <c r="S2509" s="18" t="s">
        <v>861</v>
      </c>
      <c r="T2509" s="18" t="s">
        <v>782</v>
      </c>
      <c r="U250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09" s="19">
        <f>IF(AUDITORIA[[#This Row],[CAT]]="",0,1)</f>
        <v>1</v>
      </c>
      <c r="W2509" s="20">
        <v>46233</v>
      </c>
      <c r="X2509" s="21" t="s">
        <v>906</v>
      </c>
      <c r="Y2509" s="24" t="s">
        <v>901</v>
      </c>
      <c r="Z2509" s="24" t="s">
        <v>945</v>
      </c>
      <c r="AA2509" s="24" t="s">
        <v>946</v>
      </c>
    </row>
    <row r="2510" spans="1:27" hidden="1" x14ac:dyDescent="0.3">
      <c r="A2510" s="29" t="s">
        <v>279</v>
      </c>
      <c r="B2510" s="4" t="s">
        <v>17</v>
      </c>
      <c r="C2510" s="16" t="s">
        <v>18</v>
      </c>
      <c r="D2510" s="4">
        <v>11</v>
      </c>
      <c r="E2510" s="4" t="s">
        <v>745</v>
      </c>
      <c r="F2510" t="s">
        <v>551</v>
      </c>
      <c r="G2510" t="s">
        <v>535</v>
      </c>
      <c r="J2510" s="4" t="s">
        <v>88</v>
      </c>
      <c r="K2510" s="4" t="s">
        <v>20</v>
      </c>
      <c r="L2510" s="4" t="s">
        <v>742</v>
      </c>
      <c r="M2510" s="17">
        <v>30</v>
      </c>
      <c r="N2510" s="17">
        <v>748</v>
      </c>
      <c r="O2510" s="18" t="s">
        <v>88</v>
      </c>
      <c r="P2510" s="18">
        <v>748</v>
      </c>
      <c r="Q2510" s="18">
        <v>30</v>
      </c>
      <c r="R2510" s="18" t="s">
        <v>814</v>
      </c>
      <c r="S2510" s="18" t="s">
        <v>860</v>
      </c>
      <c r="T2510" s="18" t="s">
        <v>782</v>
      </c>
      <c r="U251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10" s="19">
        <f>IF(AUDITORIA[[#This Row],[CAT]]="",0,1)</f>
        <v>1</v>
      </c>
      <c r="W2510" s="20">
        <v>46233</v>
      </c>
      <c r="X2510" s="21" t="s">
        <v>906</v>
      </c>
      <c r="Y2510" s="24" t="s">
        <v>901</v>
      </c>
      <c r="Z2510" s="24" t="s">
        <v>945</v>
      </c>
      <c r="AA2510" s="24" t="s">
        <v>946</v>
      </c>
    </row>
    <row r="2511" spans="1:27" hidden="1" x14ac:dyDescent="0.3">
      <c r="A2511" s="29" t="s">
        <v>279</v>
      </c>
      <c r="B2511" s="4" t="s">
        <v>17</v>
      </c>
      <c r="C2511" s="16" t="s">
        <v>18</v>
      </c>
      <c r="D2511" s="4">
        <v>11</v>
      </c>
      <c r="E2511" s="4" t="s">
        <v>745</v>
      </c>
      <c r="F2511" t="s">
        <v>552</v>
      </c>
      <c r="G2511" t="s">
        <v>535</v>
      </c>
      <c r="J2511" s="4" t="s">
        <v>88</v>
      </c>
      <c r="K2511" s="4" t="s">
        <v>21</v>
      </c>
      <c r="L2511" s="4" t="s">
        <v>742</v>
      </c>
      <c r="M2511" s="17">
        <v>14</v>
      </c>
      <c r="N2511" s="17">
        <v>949</v>
      </c>
      <c r="O2511" s="18" t="s">
        <v>88</v>
      </c>
      <c r="P2511" s="18">
        <v>949</v>
      </c>
      <c r="Q2511" s="18">
        <v>14</v>
      </c>
      <c r="R2511" s="18" t="s">
        <v>814</v>
      </c>
      <c r="S2511" s="18" t="s">
        <v>861</v>
      </c>
      <c r="T2511" s="18" t="s">
        <v>840</v>
      </c>
      <c r="U251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11" s="19">
        <f>IF(AUDITORIA[[#This Row],[CAT]]="",0,1)</f>
        <v>1</v>
      </c>
      <c r="W2511" s="20">
        <v>46233</v>
      </c>
      <c r="X2511" s="21" t="s">
        <v>906</v>
      </c>
      <c r="Y2511" s="24" t="s">
        <v>901</v>
      </c>
      <c r="Z2511" s="24" t="s">
        <v>945</v>
      </c>
      <c r="AA2511" s="24" t="s">
        <v>946</v>
      </c>
    </row>
    <row r="2512" spans="1:27" hidden="1" x14ac:dyDescent="0.3">
      <c r="A2512" s="29" t="s">
        <v>279</v>
      </c>
      <c r="B2512" s="4" t="s">
        <v>17</v>
      </c>
      <c r="C2512" s="16" t="s">
        <v>18</v>
      </c>
      <c r="D2512" s="4">
        <v>11</v>
      </c>
      <c r="E2512" s="4" t="s">
        <v>745</v>
      </c>
      <c r="F2512" t="s">
        <v>553</v>
      </c>
      <c r="G2512" t="s">
        <v>85</v>
      </c>
      <c r="J2512" s="4" t="s">
        <v>88</v>
      </c>
      <c r="K2512" s="4" t="s">
        <v>21</v>
      </c>
      <c r="L2512" s="4" t="s">
        <v>742</v>
      </c>
      <c r="M2512" s="17">
        <v>0</v>
      </c>
      <c r="N2512" s="17">
        <v>872</v>
      </c>
      <c r="O2512" s="18" t="s">
        <v>88</v>
      </c>
      <c r="P2512" s="30" t="s">
        <v>905</v>
      </c>
      <c r="Q2512" s="30">
        <v>0</v>
      </c>
      <c r="R2512" s="30" t="s">
        <v>905</v>
      </c>
      <c r="S2512" s="30" t="s">
        <v>905</v>
      </c>
      <c r="T2512" s="30" t="s">
        <v>905</v>
      </c>
      <c r="U251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12" s="19">
        <v>0</v>
      </c>
      <c r="W2512" s="20">
        <v>46233</v>
      </c>
      <c r="X2512" s="21" t="s">
        <v>906</v>
      </c>
      <c r="Y2512" s="24" t="s">
        <v>901</v>
      </c>
      <c r="Z2512" s="24" t="s">
        <v>945</v>
      </c>
      <c r="AA2512" s="24" t="s">
        <v>946</v>
      </c>
    </row>
    <row r="2513" spans="1:27" hidden="1" x14ac:dyDescent="0.3">
      <c r="A2513" s="29" t="s">
        <v>279</v>
      </c>
      <c r="B2513" s="4" t="s">
        <v>17</v>
      </c>
      <c r="C2513" s="16" t="s">
        <v>18</v>
      </c>
      <c r="D2513" s="4">
        <v>11</v>
      </c>
      <c r="E2513" s="4" t="s">
        <v>745</v>
      </c>
      <c r="F2513" t="s">
        <v>554</v>
      </c>
      <c r="G2513" t="s">
        <v>555</v>
      </c>
      <c r="J2513" s="4" t="s">
        <v>55</v>
      </c>
      <c r="K2513" s="4" t="s">
        <v>20</v>
      </c>
      <c r="L2513" s="4" t="s">
        <v>742</v>
      </c>
      <c r="M2513" s="17">
        <v>27</v>
      </c>
      <c r="N2513" s="17">
        <v>967</v>
      </c>
      <c r="O2513" s="18" t="s">
        <v>55</v>
      </c>
      <c r="P2513" s="18">
        <v>967</v>
      </c>
      <c r="Q2513" s="18">
        <v>27</v>
      </c>
      <c r="R2513" s="18" t="s">
        <v>814</v>
      </c>
      <c r="S2513" s="18" t="s">
        <v>871</v>
      </c>
      <c r="T2513" s="18" t="s">
        <v>780</v>
      </c>
      <c r="U251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13" s="19">
        <f>IF(AUDITORIA[[#This Row],[CAT]]="",0,1)</f>
        <v>1</v>
      </c>
      <c r="W2513" s="20">
        <v>46233</v>
      </c>
      <c r="X2513" s="21" t="s">
        <v>906</v>
      </c>
      <c r="Y2513" s="24" t="s">
        <v>901</v>
      </c>
      <c r="Z2513" s="24" t="s">
        <v>945</v>
      </c>
      <c r="AA2513" s="24" t="s">
        <v>946</v>
      </c>
    </row>
    <row r="2514" spans="1:27" hidden="1" x14ac:dyDescent="0.3">
      <c r="A2514" s="29" t="s">
        <v>279</v>
      </c>
      <c r="B2514" s="4" t="s">
        <v>17</v>
      </c>
      <c r="C2514" s="16" t="s">
        <v>18</v>
      </c>
      <c r="D2514" s="4">
        <v>11</v>
      </c>
      <c r="E2514" s="4" t="s">
        <v>745</v>
      </c>
      <c r="F2514" t="s">
        <v>558</v>
      </c>
      <c r="G2514" t="s">
        <v>85</v>
      </c>
      <c r="J2514" s="4" t="s">
        <v>88</v>
      </c>
      <c r="K2514" s="4" t="s">
        <v>21</v>
      </c>
      <c r="L2514" s="4" t="s">
        <v>742</v>
      </c>
      <c r="M2514" s="17">
        <v>0</v>
      </c>
      <c r="N2514" s="17">
        <v>885</v>
      </c>
      <c r="O2514" s="18" t="s">
        <v>88</v>
      </c>
      <c r="P2514" s="30" t="s">
        <v>905</v>
      </c>
      <c r="Q2514" s="30">
        <v>0</v>
      </c>
      <c r="R2514" s="30" t="s">
        <v>905</v>
      </c>
      <c r="S2514" s="30" t="s">
        <v>905</v>
      </c>
      <c r="T2514" s="30" t="s">
        <v>905</v>
      </c>
      <c r="U251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14" s="19">
        <v>0</v>
      </c>
      <c r="W2514" s="20">
        <v>46233</v>
      </c>
      <c r="X2514" s="21" t="s">
        <v>906</v>
      </c>
      <c r="Y2514" s="24" t="s">
        <v>901</v>
      </c>
      <c r="Z2514" s="24" t="s">
        <v>945</v>
      </c>
      <c r="AA2514" s="24" t="s">
        <v>946</v>
      </c>
    </row>
    <row r="2515" spans="1:27" hidden="1" x14ac:dyDescent="0.3">
      <c r="A2515" s="29" t="s">
        <v>279</v>
      </c>
      <c r="B2515" s="4" t="s">
        <v>17</v>
      </c>
      <c r="C2515" s="16" t="s">
        <v>18</v>
      </c>
      <c r="D2515" s="4">
        <v>11</v>
      </c>
      <c r="E2515" s="4" t="s">
        <v>745</v>
      </c>
      <c r="F2515" t="s">
        <v>559</v>
      </c>
      <c r="G2515" t="s">
        <v>85</v>
      </c>
      <c r="J2515" s="4" t="s">
        <v>88</v>
      </c>
      <c r="K2515" s="4" t="s">
        <v>21</v>
      </c>
      <c r="L2515" s="4" t="s">
        <v>742</v>
      </c>
      <c r="M2515" s="17">
        <v>0</v>
      </c>
      <c r="N2515" s="17">
        <v>878</v>
      </c>
      <c r="O2515" s="18" t="s">
        <v>88</v>
      </c>
      <c r="P2515" s="30" t="s">
        <v>905</v>
      </c>
      <c r="Q2515" s="30">
        <v>0</v>
      </c>
      <c r="R2515" s="30" t="s">
        <v>905</v>
      </c>
      <c r="S2515" s="30" t="s">
        <v>905</v>
      </c>
      <c r="T2515" s="30" t="s">
        <v>905</v>
      </c>
      <c r="U251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15" s="19">
        <v>0</v>
      </c>
      <c r="W2515" s="20">
        <v>46233</v>
      </c>
      <c r="X2515" s="21" t="s">
        <v>906</v>
      </c>
      <c r="Y2515" s="24" t="s">
        <v>901</v>
      </c>
      <c r="Z2515" s="24" t="s">
        <v>945</v>
      </c>
      <c r="AA2515" s="24" t="s">
        <v>946</v>
      </c>
    </row>
    <row r="2516" spans="1:27" hidden="1" x14ac:dyDescent="0.3">
      <c r="A2516" s="29" t="s">
        <v>279</v>
      </c>
      <c r="B2516" s="4" t="s">
        <v>17</v>
      </c>
      <c r="C2516" s="16" t="s">
        <v>18</v>
      </c>
      <c r="D2516" s="4">
        <v>11</v>
      </c>
      <c r="E2516" s="4" t="s">
        <v>745</v>
      </c>
      <c r="F2516" t="s">
        <v>560</v>
      </c>
      <c r="G2516" t="s">
        <v>85</v>
      </c>
      <c r="J2516" s="4" t="s">
        <v>88</v>
      </c>
      <c r="K2516" s="4" t="s">
        <v>20</v>
      </c>
      <c r="L2516" s="4" t="s">
        <v>742</v>
      </c>
      <c r="M2516" s="17">
        <v>0</v>
      </c>
      <c r="N2516" s="17">
        <v>688</v>
      </c>
      <c r="O2516" s="18" t="s">
        <v>88</v>
      </c>
      <c r="P2516" s="30" t="s">
        <v>905</v>
      </c>
      <c r="Q2516" s="30">
        <v>0</v>
      </c>
      <c r="R2516" s="30" t="s">
        <v>905</v>
      </c>
      <c r="S2516" s="30" t="s">
        <v>905</v>
      </c>
      <c r="T2516" s="30" t="s">
        <v>905</v>
      </c>
      <c r="U251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16" s="19">
        <v>0</v>
      </c>
      <c r="W2516" s="20">
        <v>46233</v>
      </c>
      <c r="X2516" s="21" t="s">
        <v>906</v>
      </c>
      <c r="Y2516" s="24" t="s">
        <v>901</v>
      </c>
      <c r="Z2516" s="24" t="s">
        <v>945</v>
      </c>
      <c r="AA2516" s="24" t="s">
        <v>946</v>
      </c>
    </row>
    <row r="2517" spans="1:27" hidden="1" x14ac:dyDescent="0.3">
      <c r="A2517" s="29" t="s">
        <v>279</v>
      </c>
      <c r="B2517" s="4" t="s">
        <v>17</v>
      </c>
      <c r="C2517" s="16" t="s">
        <v>18</v>
      </c>
      <c r="D2517" s="4">
        <v>11</v>
      </c>
      <c r="E2517" s="4" t="s">
        <v>745</v>
      </c>
      <c r="F2517" t="s">
        <v>561</v>
      </c>
      <c r="G2517" t="s">
        <v>555</v>
      </c>
      <c r="J2517" s="4" t="s">
        <v>55</v>
      </c>
      <c r="K2517" s="4" t="s">
        <v>20</v>
      </c>
      <c r="L2517" s="4" t="s">
        <v>742</v>
      </c>
      <c r="M2517" s="17">
        <v>27</v>
      </c>
      <c r="N2517" s="17">
        <v>981</v>
      </c>
      <c r="O2517" s="18" t="s">
        <v>55</v>
      </c>
      <c r="P2517" s="18">
        <v>981</v>
      </c>
      <c r="Q2517" s="18">
        <v>27</v>
      </c>
      <c r="R2517" s="18" t="s">
        <v>814</v>
      </c>
      <c r="S2517" s="18" t="s">
        <v>871</v>
      </c>
      <c r="T2517" s="18" t="s">
        <v>781</v>
      </c>
      <c r="U251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17" s="19">
        <f>IF(AUDITORIA[[#This Row],[CAT]]="",0,1)</f>
        <v>1</v>
      </c>
      <c r="W2517" s="20">
        <v>46233</v>
      </c>
      <c r="X2517" s="21" t="s">
        <v>906</v>
      </c>
      <c r="Y2517" s="24" t="s">
        <v>901</v>
      </c>
      <c r="Z2517" s="24" t="s">
        <v>945</v>
      </c>
      <c r="AA2517" s="24" t="s">
        <v>946</v>
      </c>
    </row>
    <row r="2518" spans="1:27" hidden="1" x14ac:dyDescent="0.3">
      <c r="A2518" s="29" t="s">
        <v>279</v>
      </c>
      <c r="B2518" s="4" t="s">
        <v>17</v>
      </c>
      <c r="C2518" s="16" t="s">
        <v>18</v>
      </c>
      <c r="D2518" s="4">
        <v>11</v>
      </c>
      <c r="E2518" s="4" t="s">
        <v>745</v>
      </c>
      <c r="F2518" t="s">
        <v>562</v>
      </c>
      <c r="G2518" t="s">
        <v>85</v>
      </c>
      <c r="J2518" s="4" t="s">
        <v>88</v>
      </c>
      <c r="K2518" s="4" t="s">
        <v>21</v>
      </c>
      <c r="L2518" s="4" t="s">
        <v>742</v>
      </c>
      <c r="M2518" s="17">
        <v>0</v>
      </c>
      <c r="N2518" s="17">
        <v>871</v>
      </c>
      <c r="O2518" s="18" t="s">
        <v>88</v>
      </c>
      <c r="P2518" s="30" t="s">
        <v>905</v>
      </c>
      <c r="Q2518" s="30">
        <v>0</v>
      </c>
      <c r="R2518" s="30" t="s">
        <v>905</v>
      </c>
      <c r="S2518" s="30" t="s">
        <v>905</v>
      </c>
      <c r="T2518" s="30" t="s">
        <v>905</v>
      </c>
      <c r="U251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18" s="19">
        <v>0</v>
      </c>
      <c r="W2518" s="20">
        <v>46233</v>
      </c>
      <c r="X2518" s="21" t="s">
        <v>906</v>
      </c>
      <c r="Y2518" s="24" t="s">
        <v>901</v>
      </c>
      <c r="Z2518" s="24" t="s">
        <v>945</v>
      </c>
      <c r="AA2518" s="24" t="s">
        <v>946</v>
      </c>
    </row>
    <row r="2519" spans="1:27" hidden="1" x14ac:dyDescent="0.3">
      <c r="A2519" s="29" t="s">
        <v>279</v>
      </c>
      <c r="B2519" s="4" t="s">
        <v>17</v>
      </c>
      <c r="C2519" s="16" t="s">
        <v>18</v>
      </c>
      <c r="D2519" s="4">
        <v>11</v>
      </c>
      <c r="E2519" s="4" t="s">
        <v>745</v>
      </c>
      <c r="F2519" t="s">
        <v>563</v>
      </c>
      <c r="G2519" t="s">
        <v>555</v>
      </c>
      <c r="J2519" s="4" t="s">
        <v>55</v>
      </c>
      <c r="K2519" s="4" t="s">
        <v>21</v>
      </c>
      <c r="L2519" s="4" t="s">
        <v>742</v>
      </c>
      <c r="M2519" s="17">
        <v>0</v>
      </c>
      <c r="N2519" s="17">
        <v>1177</v>
      </c>
      <c r="O2519" s="18" t="s">
        <v>55</v>
      </c>
      <c r="P2519" s="30" t="s">
        <v>905</v>
      </c>
      <c r="Q2519" s="30">
        <v>0</v>
      </c>
      <c r="R2519" s="30" t="s">
        <v>905</v>
      </c>
      <c r="S2519" s="30" t="s">
        <v>905</v>
      </c>
      <c r="T2519" s="30" t="s">
        <v>905</v>
      </c>
      <c r="U251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19" s="19">
        <v>0</v>
      </c>
      <c r="W2519" s="20">
        <v>46233</v>
      </c>
      <c r="X2519" s="21" t="s">
        <v>906</v>
      </c>
      <c r="Y2519" s="24" t="s">
        <v>901</v>
      </c>
      <c r="Z2519" s="24" t="s">
        <v>945</v>
      </c>
      <c r="AA2519" s="24" t="s">
        <v>946</v>
      </c>
    </row>
    <row r="2520" spans="1:27" hidden="1" x14ac:dyDescent="0.3">
      <c r="A2520" s="29" t="s">
        <v>279</v>
      </c>
      <c r="B2520" s="4" t="s">
        <v>17</v>
      </c>
      <c r="C2520" s="16" t="s">
        <v>18</v>
      </c>
      <c r="D2520" s="4">
        <v>11</v>
      </c>
      <c r="E2520" s="4" t="s">
        <v>745</v>
      </c>
      <c r="F2520" t="s">
        <v>564</v>
      </c>
      <c r="G2520" t="s">
        <v>85</v>
      </c>
      <c r="J2520" s="4" t="s">
        <v>88</v>
      </c>
      <c r="K2520" s="4" t="s">
        <v>20</v>
      </c>
      <c r="L2520" s="4" t="s">
        <v>742</v>
      </c>
      <c r="M2520" s="17">
        <v>0</v>
      </c>
      <c r="N2520" s="17">
        <v>688</v>
      </c>
      <c r="O2520" s="18" t="s">
        <v>88</v>
      </c>
      <c r="P2520" s="30" t="s">
        <v>905</v>
      </c>
      <c r="Q2520" s="30">
        <v>0</v>
      </c>
      <c r="R2520" s="30" t="s">
        <v>905</v>
      </c>
      <c r="S2520" s="30" t="s">
        <v>905</v>
      </c>
      <c r="T2520" s="30" t="s">
        <v>905</v>
      </c>
      <c r="U252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20" s="19">
        <v>0</v>
      </c>
      <c r="W2520" s="20">
        <v>46233</v>
      </c>
      <c r="X2520" s="21" t="s">
        <v>906</v>
      </c>
      <c r="Y2520" s="24" t="s">
        <v>901</v>
      </c>
      <c r="Z2520" s="24" t="s">
        <v>945</v>
      </c>
      <c r="AA2520" s="24" t="s">
        <v>946</v>
      </c>
    </row>
    <row r="2521" spans="1:27" hidden="1" x14ac:dyDescent="0.3">
      <c r="A2521" s="29" t="s">
        <v>279</v>
      </c>
      <c r="B2521" s="4" t="s">
        <v>17</v>
      </c>
      <c r="C2521" s="16" t="s">
        <v>18</v>
      </c>
      <c r="D2521" s="4">
        <v>11</v>
      </c>
      <c r="E2521" s="4" t="s">
        <v>745</v>
      </c>
      <c r="F2521" t="s">
        <v>565</v>
      </c>
      <c r="G2521" t="s">
        <v>555</v>
      </c>
      <c r="J2521" s="4" t="s">
        <v>55</v>
      </c>
      <c r="K2521" s="4" t="s">
        <v>21</v>
      </c>
      <c r="L2521" s="4" t="s">
        <v>742</v>
      </c>
      <c r="M2521" s="17">
        <v>18</v>
      </c>
      <c r="N2521" s="17">
        <v>1182</v>
      </c>
      <c r="O2521" s="18" t="s">
        <v>55</v>
      </c>
      <c r="P2521" s="18">
        <v>1002</v>
      </c>
      <c r="Q2521" s="18">
        <v>18</v>
      </c>
      <c r="R2521" s="18" t="s">
        <v>814</v>
      </c>
      <c r="S2521" s="18" t="s">
        <v>869</v>
      </c>
      <c r="T2521" s="18" t="s">
        <v>780</v>
      </c>
      <c r="U252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21" s="19">
        <f>IF(AUDITORIA[[#This Row],[CAT]]="",0,1)</f>
        <v>1</v>
      </c>
      <c r="W2521" s="20">
        <v>46233</v>
      </c>
      <c r="X2521" s="21" t="s">
        <v>906</v>
      </c>
      <c r="Y2521" s="24" t="s">
        <v>901</v>
      </c>
      <c r="Z2521" s="24" t="s">
        <v>945</v>
      </c>
      <c r="AA2521" s="24" t="s">
        <v>946</v>
      </c>
    </row>
    <row r="2522" spans="1:27" hidden="1" x14ac:dyDescent="0.3">
      <c r="A2522" s="29" t="s">
        <v>279</v>
      </c>
      <c r="B2522" s="4" t="s">
        <v>17</v>
      </c>
      <c r="C2522" s="16" t="s">
        <v>18</v>
      </c>
      <c r="D2522" s="4">
        <v>11</v>
      </c>
      <c r="E2522" s="4" t="s">
        <v>745</v>
      </c>
      <c r="F2522" t="s">
        <v>566</v>
      </c>
      <c r="G2522" t="s">
        <v>555</v>
      </c>
      <c r="J2522" s="4" t="s">
        <v>55</v>
      </c>
      <c r="K2522" s="4" t="s">
        <v>20</v>
      </c>
      <c r="L2522" s="4" t="s">
        <v>742</v>
      </c>
      <c r="M2522" s="17">
        <v>0</v>
      </c>
      <c r="N2522" s="17">
        <v>984</v>
      </c>
      <c r="O2522" s="18" t="s">
        <v>55</v>
      </c>
      <c r="P2522" s="30" t="s">
        <v>905</v>
      </c>
      <c r="Q2522" s="30">
        <v>0</v>
      </c>
      <c r="R2522" s="30" t="s">
        <v>905</v>
      </c>
      <c r="S2522" s="30" t="s">
        <v>905</v>
      </c>
      <c r="T2522" s="30" t="s">
        <v>905</v>
      </c>
      <c r="U252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22" s="19">
        <v>0</v>
      </c>
      <c r="W2522" s="20">
        <v>46233</v>
      </c>
      <c r="X2522" s="21" t="s">
        <v>906</v>
      </c>
      <c r="Y2522" s="24" t="s">
        <v>901</v>
      </c>
      <c r="Z2522" s="24" t="s">
        <v>945</v>
      </c>
      <c r="AA2522" s="24" t="s">
        <v>946</v>
      </c>
    </row>
    <row r="2523" spans="1:27" hidden="1" x14ac:dyDescent="0.3">
      <c r="A2523" s="29" t="s">
        <v>279</v>
      </c>
      <c r="B2523" s="4" t="s">
        <v>17</v>
      </c>
      <c r="C2523" s="16" t="s">
        <v>18</v>
      </c>
      <c r="D2523" s="4">
        <v>11</v>
      </c>
      <c r="E2523" s="4" t="s">
        <v>745</v>
      </c>
      <c r="F2523" t="s">
        <v>567</v>
      </c>
      <c r="G2523" t="s">
        <v>85</v>
      </c>
      <c r="J2523" s="4" t="s">
        <v>88</v>
      </c>
      <c r="K2523" s="4" t="s">
        <v>20</v>
      </c>
      <c r="L2523" s="4" t="s">
        <v>742</v>
      </c>
      <c r="M2523" s="17">
        <v>0</v>
      </c>
      <c r="N2523" s="17">
        <v>678</v>
      </c>
      <c r="O2523" s="18" t="s">
        <v>88</v>
      </c>
      <c r="P2523" s="30" t="s">
        <v>905</v>
      </c>
      <c r="Q2523" s="30">
        <v>0</v>
      </c>
      <c r="R2523" s="30" t="s">
        <v>905</v>
      </c>
      <c r="S2523" s="30" t="s">
        <v>905</v>
      </c>
      <c r="T2523" s="30" t="s">
        <v>905</v>
      </c>
      <c r="U252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23" s="19">
        <v>0</v>
      </c>
      <c r="W2523" s="20">
        <v>46233</v>
      </c>
      <c r="X2523" s="21" t="s">
        <v>906</v>
      </c>
      <c r="Y2523" s="24" t="s">
        <v>901</v>
      </c>
      <c r="Z2523" s="24" t="s">
        <v>945</v>
      </c>
      <c r="AA2523" s="24" t="s">
        <v>946</v>
      </c>
    </row>
    <row r="2524" spans="1:27" hidden="1" x14ac:dyDescent="0.3">
      <c r="A2524" s="29" t="s">
        <v>279</v>
      </c>
      <c r="B2524" s="4" t="s">
        <v>17</v>
      </c>
      <c r="C2524" s="16" t="s">
        <v>18</v>
      </c>
      <c r="D2524" s="4">
        <v>11</v>
      </c>
      <c r="E2524" s="4" t="s">
        <v>745</v>
      </c>
      <c r="F2524" t="s">
        <v>568</v>
      </c>
      <c r="G2524" t="s">
        <v>85</v>
      </c>
      <c r="J2524" s="4" t="s">
        <v>88</v>
      </c>
      <c r="K2524" s="4" t="s">
        <v>21</v>
      </c>
      <c r="L2524" s="4" t="s">
        <v>742</v>
      </c>
      <c r="M2524" s="17">
        <v>0</v>
      </c>
      <c r="N2524" s="17">
        <v>878</v>
      </c>
      <c r="O2524" s="18" t="s">
        <v>88</v>
      </c>
      <c r="P2524" s="30" t="s">
        <v>905</v>
      </c>
      <c r="Q2524" s="30">
        <v>0</v>
      </c>
      <c r="R2524" s="30" t="s">
        <v>905</v>
      </c>
      <c r="S2524" s="30" t="s">
        <v>905</v>
      </c>
      <c r="T2524" s="30" t="s">
        <v>905</v>
      </c>
      <c r="U252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24" s="19">
        <v>0</v>
      </c>
      <c r="W2524" s="20">
        <v>46233</v>
      </c>
      <c r="X2524" s="21" t="s">
        <v>906</v>
      </c>
      <c r="Y2524" s="24" t="s">
        <v>901</v>
      </c>
      <c r="Z2524" s="24" t="s">
        <v>945</v>
      </c>
      <c r="AA2524" s="24" t="s">
        <v>946</v>
      </c>
    </row>
    <row r="2525" spans="1:27" hidden="1" x14ac:dyDescent="0.3">
      <c r="A2525" s="29" t="s">
        <v>279</v>
      </c>
      <c r="B2525" s="4" t="s">
        <v>17</v>
      </c>
      <c r="C2525" s="16" t="s">
        <v>18</v>
      </c>
      <c r="D2525" s="4">
        <v>11</v>
      </c>
      <c r="E2525" s="4" t="s">
        <v>745</v>
      </c>
      <c r="F2525" t="s">
        <v>569</v>
      </c>
      <c r="G2525" t="s">
        <v>555</v>
      </c>
      <c r="J2525" s="4" t="s">
        <v>55</v>
      </c>
      <c r="K2525" s="4" t="s">
        <v>21</v>
      </c>
      <c r="L2525" s="4" t="s">
        <v>742</v>
      </c>
      <c r="M2525" s="17">
        <v>18</v>
      </c>
      <c r="N2525" s="17">
        <v>1178</v>
      </c>
      <c r="O2525" s="18" t="s">
        <v>55</v>
      </c>
      <c r="P2525" s="18">
        <v>1178</v>
      </c>
      <c r="Q2525" s="18">
        <v>18</v>
      </c>
      <c r="R2525" s="18" t="s">
        <v>814</v>
      </c>
      <c r="S2525" s="18" t="s">
        <v>869</v>
      </c>
      <c r="T2525" s="18" t="s">
        <v>782</v>
      </c>
      <c r="U252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25" s="19">
        <f>IF(AUDITORIA[[#This Row],[CAT]]="",0,1)</f>
        <v>1</v>
      </c>
      <c r="W2525" s="20">
        <v>46233</v>
      </c>
      <c r="X2525" s="21" t="s">
        <v>906</v>
      </c>
      <c r="Y2525" s="24" t="s">
        <v>901</v>
      </c>
      <c r="Z2525" s="24" t="s">
        <v>945</v>
      </c>
      <c r="AA2525" s="24" t="s">
        <v>946</v>
      </c>
    </row>
    <row r="2526" spans="1:27" hidden="1" x14ac:dyDescent="0.3">
      <c r="A2526" s="29" t="s">
        <v>279</v>
      </c>
      <c r="B2526" s="4" t="s">
        <v>17</v>
      </c>
      <c r="C2526" s="16" t="s">
        <v>18</v>
      </c>
      <c r="D2526" s="4">
        <v>11</v>
      </c>
      <c r="E2526" s="4" t="s">
        <v>745</v>
      </c>
      <c r="F2526" t="s">
        <v>570</v>
      </c>
      <c r="G2526" t="s">
        <v>555</v>
      </c>
      <c r="J2526" s="4" t="s">
        <v>55</v>
      </c>
      <c r="K2526" s="4" t="s">
        <v>20</v>
      </c>
      <c r="L2526" s="4" t="s">
        <v>742</v>
      </c>
      <c r="M2526" s="17">
        <v>27</v>
      </c>
      <c r="N2526" s="17">
        <v>995</v>
      </c>
      <c r="O2526" s="18" t="s">
        <v>55</v>
      </c>
      <c r="P2526" s="18">
        <v>995</v>
      </c>
      <c r="Q2526" s="18">
        <v>27</v>
      </c>
      <c r="R2526" s="18" t="s">
        <v>814</v>
      </c>
      <c r="S2526" s="18" t="s">
        <v>871</v>
      </c>
      <c r="T2526" s="18" t="s">
        <v>782</v>
      </c>
      <c r="U252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26" s="19">
        <f>IF(AUDITORIA[[#This Row],[CAT]]="",0,1)</f>
        <v>1</v>
      </c>
      <c r="W2526" s="20">
        <v>46233</v>
      </c>
      <c r="X2526" s="21" t="s">
        <v>906</v>
      </c>
      <c r="Y2526" s="24" t="s">
        <v>901</v>
      </c>
      <c r="Z2526" s="24" t="s">
        <v>945</v>
      </c>
      <c r="AA2526" s="24" t="s">
        <v>946</v>
      </c>
    </row>
    <row r="2527" spans="1:27" hidden="1" x14ac:dyDescent="0.3">
      <c r="A2527" s="29" t="s">
        <v>279</v>
      </c>
      <c r="B2527" s="4" t="s">
        <v>17</v>
      </c>
      <c r="C2527" s="16" t="s">
        <v>18</v>
      </c>
      <c r="D2527" s="4">
        <v>11</v>
      </c>
      <c r="E2527" s="4" t="s">
        <v>745</v>
      </c>
      <c r="F2527" t="s">
        <v>571</v>
      </c>
      <c r="G2527" t="s">
        <v>85</v>
      </c>
      <c r="J2527" s="4" t="s">
        <v>88</v>
      </c>
      <c r="K2527" s="4" t="s">
        <v>20</v>
      </c>
      <c r="L2527" s="4" t="s">
        <v>742</v>
      </c>
      <c r="M2527" s="17">
        <v>0</v>
      </c>
      <c r="N2527" s="17">
        <v>679</v>
      </c>
      <c r="O2527" s="18" t="s">
        <v>88</v>
      </c>
      <c r="P2527" s="30" t="s">
        <v>905</v>
      </c>
      <c r="Q2527" s="30">
        <v>0</v>
      </c>
      <c r="R2527" s="30" t="s">
        <v>905</v>
      </c>
      <c r="S2527" s="30" t="s">
        <v>905</v>
      </c>
      <c r="T2527" s="30" t="s">
        <v>905</v>
      </c>
      <c r="U252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27" s="19">
        <v>0</v>
      </c>
      <c r="W2527" s="20">
        <v>46233</v>
      </c>
      <c r="X2527" s="21" t="s">
        <v>906</v>
      </c>
      <c r="Y2527" s="24" t="s">
        <v>901</v>
      </c>
      <c r="Z2527" s="24" t="s">
        <v>945</v>
      </c>
      <c r="AA2527" s="24" t="s">
        <v>946</v>
      </c>
    </row>
    <row r="2528" spans="1:27" hidden="1" x14ac:dyDescent="0.3">
      <c r="A2528" s="29" t="s">
        <v>279</v>
      </c>
      <c r="B2528" s="4" t="s">
        <v>17</v>
      </c>
      <c r="C2528" s="16" t="s">
        <v>18</v>
      </c>
      <c r="D2528" s="4">
        <v>11</v>
      </c>
      <c r="E2528" s="4" t="s">
        <v>745</v>
      </c>
      <c r="F2528" t="s">
        <v>572</v>
      </c>
      <c r="G2528" t="s">
        <v>85</v>
      </c>
      <c r="J2528" s="4" t="s">
        <v>88</v>
      </c>
      <c r="K2528" s="4" t="s">
        <v>21</v>
      </c>
      <c r="L2528" s="4" t="s">
        <v>742</v>
      </c>
      <c r="M2528" s="17">
        <v>0</v>
      </c>
      <c r="N2528" s="17">
        <v>879</v>
      </c>
      <c r="O2528" s="18" t="s">
        <v>88</v>
      </c>
      <c r="P2528" s="30" t="s">
        <v>905</v>
      </c>
      <c r="Q2528" s="30">
        <v>0</v>
      </c>
      <c r="R2528" s="30" t="s">
        <v>905</v>
      </c>
      <c r="S2528" s="30" t="s">
        <v>905</v>
      </c>
      <c r="T2528" s="30" t="s">
        <v>905</v>
      </c>
      <c r="U252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28" s="19">
        <v>0</v>
      </c>
      <c r="W2528" s="20">
        <v>46233</v>
      </c>
      <c r="X2528" s="21" t="s">
        <v>906</v>
      </c>
      <c r="Y2528" s="24" t="s">
        <v>901</v>
      </c>
      <c r="Z2528" s="24" t="s">
        <v>945</v>
      </c>
      <c r="AA2528" s="24" t="s">
        <v>946</v>
      </c>
    </row>
    <row r="2529" spans="1:27" hidden="1" x14ac:dyDescent="0.3">
      <c r="A2529" s="29" t="s">
        <v>279</v>
      </c>
      <c r="B2529" s="4" t="s">
        <v>17</v>
      </c>
      <c r="C2529" s="16" t="s">
        <v>18</v>
      </c>
      <c r="D2529" s="4">
        <v>11</v>
      </c>
      <c r="E2529" s="4" t="s">
        <v>745</v>
      </c>
      <c r="F2529" t="s">
        <v>573</v>
      </c>
      <c r="G2529" t="s">
        <v>555</v>
      </c>
      <c r="J2529" s="4" t="s">
        <v>55</v>
      </c>
      <c r="K2529" s="4" t="s">
        <v>21</v>
      </c>
      <c r="L2529" s="4" t="s">
        <v>742</v>
      </c>
      <c r="M2529" s="17">
        <v>0</v>
      </c>
      <c r="N2529" s="17">
        <v>1193</v>
      </c>
      <c r="O2529" s="18" t="s">
        <v>55</v>
      </c>
      <c r="P2529" s="30" t="s">
        <v>905</v>
      </c>
      <c r="Q2529" s="30">
        <v>0</v>
      </c>
      <c r="R2529" s="30" t="s">
        <v>905</v>
      </c>
      <c r="S2529" s="30" t="s">
        <v>905</v>
      </c>
      <c r="T2529" s="30" t="s">
        <v>905</v>
      </c>
      <c r="U252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29" s="19">
        <v>0</v>
      </c>
      <c r="W2529" s="20">
        <v>46233</v>
      </c>
      <c r="X2529" s="21" t="s">
        <v>906</v>
      </c>
      <c r="Y2529" s="24" t="s">
        <v>901</v>
      </c>
      <c r="Z2529" s="24" t="s">
        <v>945</v>
      </c>
      <c r="AA2529" s="24" t="s">
        <v>946</v>
      </c>
    </row>
    <row r="2530" spans="1:27" hidden="1" x14ac:dyDescent="0.3">
      <c r="A2530" s="29" t="s">
        <v>279</v>
      </c>
      <c r="B2530" s="4" t="s">
        <v>17</v>
      </c>
      <c r="C2530" s="16" t="s">
        <v>18</v>
      </c>
      <c r="D2530" s="4">
        <v>11</v>
      </c>
      <c r="E2530" s="4" t="s">
        <v>745</v>
      </c>
      <c r="F2530" t="s">
        <v>574</v>
      </c>
      <c r="G2530" t="s">
        <v>555</v>
      </c>
      <c r="J2530" s="4" t="s">
        <v>55</v>
      </c>
      <c r="K2530" s="4" t="s">
        <v>20</v>
      </c>
      <c r="L2530" s="4" t="s">
        <v>742</v>
      </c>
      <c r="M2530" s="17">
        <v>11</v>
      </c>
      <c r="N2530" s="17">
        <v>1002</v>
      </c>
      <c r="O2530" s="18" t="s">
        <v>55</v>
      </c>
      <c r="P2530" s="18">
        <v>1182</v>
      </c>
      <c r="Q2530" s="18">
        <v>11</v>
      </c>
      <c r="R2530" s="18" t="s">
        <v>814</v>
      </c>
      <c r="S2530" s="18" t="s">
        <v>869</v>
      </c>
      <c r="T2530" s="18" t="s">
        <v>781</v>
      </c>
      <c r="U253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30" s="19">
        <f>IF(AUDITORIA[[#This Row],[CAT]]="",0,1)</f>
        <v>1</v>
      </c>
      <c r="W2530" s="20">
        <v>46233</v>
      </c>
      <c r="X2530" s="21" t="s">
        <v>906</v>
      </c>
      <c r="Y2530" s="24" t="s">
        <v>901</v>
      </c>
      <c r="Z2530" s="24" t="s">
        <v>945</v>
      </c>
      <c r="AA2530" s="24" t="s">
        <v>946</v>
      </c>
    </row>
    <row r="2531" spans="1:27" hidden="1" x14ac:dyDescent="0.3">
      <c r="A2531" s="29" t="s">
        <v>279</v>
      </c>
      <c r="B2531" s="4" t="s">
        <v>17</v>
      </c>
      <c r="C2531" s="16" t="s">
        <v>18</v>
      </c>
      <c r="D2531" s="4">
        <v>11</v>
      </c>
      <c r="E2531" s="4" t="s">
        <v>745</v>
      </c>
      <c r="F2531" t="s">
        <v>575</v>
      </c>
      <c r="G2531" t="s">
        <v>85</v>
      </c>
      <c r="J2531" s="4" t="s">
        <v>88</v>
      </c>
      <c r="K2531" s="4" t="s">
        <v>21</v>
      </c>
      <c r="L2531" s="4" t="s">
        <v>742</v>
      </c>
      <c r="M2531" s="17">
        <v>0</v>
      </c>
      <c r="N2531" s="17">
        <v>870</v>
      </c>
      <c r="O2531" s="18" t="s">
        <v>88</v>
      </c>
      <c r="P2531" s="30" t="s">
        <v>905</v>
      </c>
      <c r="Q2531" s="30">
        <v>0</v>
      </c>
      <c r="R2531" s="30" t="s">
        <v>905</v>
      </c>
      <c r="S2531" s="30" t="s">
        <v>905</v>
      </c>
      <c r="T2531" s="30" t="s">
        <v>905</v>
      </c>
      <c r="U253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31" s="19">
        <v>0</v>
      </c>
      <c r="W2531" s="20">
        <v>46233</v>
      </c>
      <c r="X2531" s="21" t="s">
        <v>906</v>
      </c>
      <c r="Y2531" s="24" t="s">
        <v>901</v>
      </c>
      <c r="Z2531" s="24" t="s">
        <v>945</v>
      </c>
      <c r="AA2531" s="24" t="s">
        <v>946</v>
      </c>
    </row>
    <row r="2532" spans="1:27" hidden="1" x14ac:dyDescent="0.3">
      <c r="A2532" s="29" t="s">
        <v>279</v>
      </c>
      <c r="B2532" s="4" t="s">
        <v>17</v>
      </c>
      <c r="C2532" s="16" t="s">
        <v>18</v>
      </c>
      <c r="D2532" s="4">
        <v>11</v>
      </c>
      <c r="E2532" s="4" t="s">
        <v>745</v>
      </c>
      <c r="F2532" t="s">
        <v>576</v>
      </c>
      <c r="G2532" t="s">
        <v>85</v>
      </c>
      <c r="J2532" s="4" t="s">
        <v>88</v>
      </c>
      <c r="K2532" s="4" t="s">
        <v>20</v>
      </c>
      <c r="L2532" s="4" t="s">
        <v>742</v>
      </c>
      <c r="M2532" s="17">
        <v>0</v>
      </c>
      <c r="N2532" s="17">
        <v>673</v>
      </c>
      <c r="O2532" s="18" t="s">
        <v>88</v>
      </c>
      <c r="P2532" s="30" t="s">
        <v>905</v>
      </c>
      <c r="Q2532" s="30">
        <v>0</v>
      </c>
      <c r="R2532" s="30" t="s">
        <v>905</v>
      </c>
      <c r="S2532" s="30" t="s">
        <v>905</v>
      </c>
      <c r="T2532" s="30" t="s">
        <v>905</v>
      </c>
      <c r="U253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32" s="19">
        <v>0</v>
      </c>
      <c r="W2532" s="20">
        <v>46233</v>
      </c>
      <c r="X2532" s="21" t="s">
        <v>906</v>
      </c>
      <c r="Y2532" s="24" t="s">
        <v>901</v>
      </c>
      <c r="Z2532" s="24" t="s">
        <v>945</v>
      </c>
      <c r="AA2532" s="24" t="s">
        <v>946</v>
      </c>
    </row>
    <row r="2533" spans="1:27" hidden="1" x14ac:dyDescent="0.3">
      <c r="A2533" s="29" t="s">
        <v>279</v>
      </c>
      <c r="B2533" s="4" t="s">
        <v>17</v>
      </c>
      <c r="C2533" s="16" t="s">
        <v>18</v>
      </c>
      <c r="D2533" s="4">
        <v>11</v>
      </c>
      <c r="E2533" s="4" t="s">
        <v>745</v>
      </c>
      <c r="F2533" t="s">
        <v>577</v>
      </c>
      <c r="G2533" t="s">
        <v>85</v>
      </c>
      <c r="J2533" s="4" t="s">
        <v>88</v>
      </c>
      <c r="K2533" s="4" t="s">
        <v>20</v>
      </c>
      <c r="L2533" s="4" t="s">
        <v>742</v>
      </c>
      <c r="M2533" s="17">
        <v>0</v>
      </c>
      <c r="N2533" s="17">
        <v>682</v>
      </c>
      <c r="O2533" s="18" t="s">
        <v>88</v>
      </c>
      <c r="P2533" s="30" t="s">
        <v>905</v>
      </c>
      <c r="Q2533" s="30">
        <v>0</v>
      </c>
      <c r="R2533" s="30" t="s">
        <v>905</v>
      </c>
      <c r="S2533" s="30" t="s">
        <v>905</v>
      </c>
      <c r="T2533" s="30" t="s">
        <v>905</v>
      </c>
      <c r="U253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33" s="19">
        <v>0</v>
      </c>
      <c r="W2533" s="20">
        <v>46233</v>
      </c>
      <c r="X2533" s="21" t="s">
        <v>906</v>
      </c>
      <c r="Y2533" s="24" t="s">
        <v>901</v>
      </c>
      <c r="Z2533" s="24" t="s">
        <v>945</v>
      </c>
      <c r="AA2533" s="24" t="s">
        <v>946</v>
      </c>
    </row>
    <row r="2534" spans="1:27" hidden="1" x14ac:dyDescent="0.3">
      <c r="A2534" s="29" t="s">
        <v>279</v>
      </c>
      <c r="B2534" s="4" t="s">
        <v>17</v>
      </c>
      <c r="C2534" s="16" t="s">
        <v>18</v>
      </c>
      <c r="D2534" s="4">
        <v>11</v>
      </c>
      <c r="E2534" s="4" t="s">
        <v>745</v>
      </c>
      <c r="F2534" t="s">
        <v>578</v>
      </c>
      <c r="G2534" t="s">
        <v>85</v>
      </c>
      <c r="J2534" s="4" t="s">
        <v>88</v>
      </c>
      <c r="K2534" s="4" t="s">
        <v>21</v>
      </c>
      <c r="L2534" s="4" t="s">
        <v>742</v>
      </c>
      <c r="M2534" s="17">
        <v>0</v>
      </c>
      <c r="N2534" s="17">
        <v>874</v>
      </c>
      <c r="O2534" s="18" t="s">
        <v>88</v>
      </c>
      <c r="P2534" s="30" t="s">
        <v>905</v>
      </c>
      <c r="Q2534" s="30">
        <v>0</v>
      </c>
      <c r="R2534" s="30" t="s">
        <v>905</v>
      </c>
      <c r="S2534" s="30" t="s">
        <v>905</v>
      </c>
      <c r="T2534" s="30" t="s">
        <v>905</v>
      </c>
      <c r="U253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34" s="19">
        <v>0</v>
      </c>
      <c r="W2534" s="20">
        <v>46233</v>
      </c>
      <c r="X2534" s="21" t="s">
        <v>906</v>
      </c>
      <c r="Y2534" s="24" t="s">
        <v>901</v>
      </c>
      <c r="Z2534" s="24" t="s">
        <v>945</v>
      </c>
      <c r="AA2534" s="24" t="s">
        <v>946</v>
      </c>
    </row>
    <row r="2535" spans="1:27" hidden="1" x14ac:dyDescent="0.3">
      <c r="A2535" s="29" t="s">
        <v>279</v>
      </c>
      <c r="B2535" s="4" t="s">
        <v>17</v>
      </c>
      <c r="C2535" s="16" t="s">
        <v>18</v>
      </c>
      <c r="D2535" s="4">
        <v>11</v>
      </c>
      <c r="E2535" s="4" t="s">
        <v>745</v>
      </c>
      <c r="F2535" t="s">
        <v>579</v>
      </c>
      <c r="G2535" t="s">
        <v>85</v>
      </c>
      <c r="J2535" s="4" t="s">
        <v>88</v>
      </c>
      <c r="K2535" s="4" t="s">
        <v>21</v>
      </c>
      <c r="L2535" s="4" t="s">
        <v>742</v>
      </c>
      <c r="M2535" s="17">
        <v>0</v>
      </c>
      <c r="N2535" s="17">
        <v>866</v>
      </c>
      <c r="O2535" s="18" t="s">
        <v>88</v>
      </c>
      <c r="P2535" s="30" t="s">
        <v>905</v>
      </c>
      <c r="Q2535" s="30">
        <v>0</v>
      </c>
      <c r="R2535" s="30" t="s">
        <v>905</v>
      </c>
      <c r="S2535" s="30" t="s">
        <v>905</v>
      </c>
      <c r="T2535" s="30" t="s">
        <v>905</v>
      </c>
      <c r="U253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35" s="19">
        <v>0</v>
      </c>
      <c r="W2535" s="20">
        <v>46233</v>
      </c>
      <c r="X2535" s="21" t="s">
        <v>906</v>
      </c>
      <c r="Y2535" s="24" t="s">
        <v>901</v>
      </c>
      <c r="Z2535" s="24" t="s">
        <v>945</v>
      </c>
      <c r="AA2535" s="24" t="s">
        <v>946</v>
      </c>
    </row>
    <row r="2536" spans="1:27" hidden="1" x14ac:dyDescent="0.3">
      <c r="A2536" s="29" t="s">
        <v>279</v>
      </c>
      <c r="B2536" s="4" t="s">
        <v>17</v>
      </c>
      <c r="C2536" s="16" t="s">
        <v>18</v>
      </c>
      <c r="D2536" s="4">
        <v>11</v>
      </c>
      <c r="E2536" s="4" t="s">
        <v>745</v>
      </c>
      <c r="F2536" t="s">
        <v>580</v>
      </c>
      <c r="G2536" t="s">
        <v>85</v>
      </c>
      <c r="J2536" s="4" t="s">
        <v>88</v>
      </c>
      <c r="K2536" s="4" t="s">
        <v>21</v>
      </c>
      <c r="L2536" s="4" t="s">
        <v>742</v>
      </c>
      <c r="M2536" s="17">
        <v>0</v>
      </c>
      <c r="N2536" s="17">
        <v>881</v>
      </c>
      <c r="O2536" s="18" t="s">
        <v>88</v>
      </c>
      <c r="P2536" s="30" t="s">
        <v>905</v>
      </c>
      <c r="Q2536" s="30">
        <v>0</v>
      </c>
      <c r="R2536" s="30" t="s">
        <v>905</v>
      </c>
      <c r="S2536" s="30" t="s">
        <v>905</v>
      </c>
      <c r="T2536" s="30" t="s">
        <v>905</v>
      </c>
      <c r="U253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36" s="19">
        <v>0</v>
      </c>
      <c r="W2536" s="20">
        <v>46233</v>
      </c>
      <c r="X2536" s="21" t="s">
        <v>906</v>
      </c>
      <c r="Y2536" s="24" t="s">
        <v>901</v>
      </c>
      <c r="Z2536" s="24" t="s">
        <v>945</v>
      </c>
      <c r="AA2536" s="24" t="s">
        <v>946</v>
      </c>
    </row>
    <row r="2537" spans="1:27" hidden="1" x14ac:dyDescent="0.3">
      <c r="A2537" s="29" t="s">
        <v>279</v>
      </c>
      <c r="B2537" s="4" t="s">
        <v>17</v>
      </c>
      <c r="C2537" s="16" t="s">
        <v>18</v>
      </c>
      <c r="D2537" s="4">
        <v>11</v>
      </c>
      <c r="E2537" s="4" t="s">
        <v>745</v>
      </c>
      <c r="F2537" t="s">
        <v>584</v>
      </c>
      <c r="G2537" t="s">
        <v>368</v>
      </c>
      <c r="J2537" s="4" t="s">
        <v>88</v>
      </c>
      <c r="K2537" s="4" t="s">
        <v>20</v>
      </c>
      <c r="L2537" s="4" t="s">
        <v>742</v>
      </c>
      <c r="M2537" s="17">
        <v>30</v>
      </c>
      <c r="N2537" s="17">
        <v>668</v>
      </c>
      <c r="O2537" s="18" t="s">
        <v>88</v>
      </c>
      <c r="P2537" s="18">
        <v>688</v>
      </c>
      <c r="Q2537" s="18">
        <v>30</v>
      </c>
      <c r="R2537" s="18" t="s">
        <v>778</v>
      </c>
      <c r="S2537" s="18" t="s">
        <v>842</v>
      </c>
      <c r="T2537" s="18" t="s">
        <v>782</v>
      </c>
      <c r="U253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37" s="19">
        <f>IF(AUDITORIA[[#This Row],[CAT]]="",0,1)</f>
        <v>1</v>
      </c>
      <c r="W2537" s="20">
        <v>46233</v>
      </c>
      <c r="X2537" s="21" t="s">
        <v>906</v>
      </c>
      <c r="Y2537" s="24" t="s">
        <v>901</v>
      </c>
      <c r="Z2537" s="24" t="s">
        <v>945</v>
      </c>
      <c r="AA2537" s="24" t="s">
        <v>946</v>
      </c>
    </row>
    <row r="2538" spans="1:27" hidden="1" x14ac:dyDescent="0.3">
      <c r="A2538" s="29" t="s">
        <v>279</v>
      </c>
      <c r="B2538" s="4" t="s">
        <v>17</v>
      </c>
      <c r="C2538" s="16" t="s">
        <v>18</v>
      </c>
      <c r="D2538" s="4">
        <v>11</v>
      </c>
      <c r="E2538" s="4" t="s">
        <v>745</v>
      </c>
      <c r="F2538" t="s">
        <v>589</v>
      </c>
      <c r="G2538" t="s">
        <v>368</v>
      </c>
      <c r="J2538" s="4" t="s">
        <v>88</v>
      </c>
      <c r="K2538" s="4" t="s">
        <v>20</v>
      </c>
      <c r="L2538" s="4" t="s">
        <v>742</v>
      </c>
      <c r="M2538" s="17">
        <v>30</v>
      </c>
      <c r="N2538" s="17">
        <v>673</v>
      </c>
      <c r="O2538" s="18" t="s">
        <v>88</v>
      </c>
      <c r="P2538" s="18">
        <v>673</v>
      </c>
      <c r="Q2538" s="18">
        <v>30</v>
      </c>
      <c r="R2538" s="18" t="s">
        <v>778</v>
      </c>
      <c r="S2538" s="18" t="s">
        <v>842</v>
      </c>
      <c r="T2538" s="18" t="s">
        <v>794</v>
      </c>
      <c r="U253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38" s="19">
        <f>IF(AUDITORIA[[#This Row],[CAT]]="",0,1)</f>
        <v>1</v>
      </c>
      <c r="W2538" s="20">
        <v>46233</v>
      </c>
      <c r="X2538" s="21" t="s">
        <v>906</v>
      </c>
      <c r="Y2538" s="24" t="s">
        <v>901</v>
      </c>
      <c r="Z2538" s="24" t="s">
        <v>945</v>
      </c>
      <c r="AA2538" s="24" t="s">
        <v>946</v>
      </c>
    </row>
    <row r="2539" spans="1:27" hidden="1" x14ac:dyDescent="0.3">
      <c r="A2539" s="29" t="s">
        <v>279</v>
      </c>
      <c r="B2539" s="4" t="s">
        <v>17</v>
      </c>
      <c r="C2539" s="16" t="s">
        <v>18</v>
      </c>
      <c r="D2539" s="4">
        <v>11</v>
      </c>
      <c r="E2539" s="4" t="s">
        <v>745</v>
      </c>
      <c r="F2539" t="s">
        <v>587</v>
      </c>
      <c r="G2539" t="s">
        <v>368</v>
      </c>
      <c r="J2539" s="4" t="s">
        <v>88</v>
      </c>
      <c r="K2539" s="4" t="s">
        <v>20</v>
      </c>
      <c r="L2539" s="4" t="s">
        <v>742</v>
      </c>
      <c r="M2539" s="17">
        <v>30</v>
      </c>
      <c r="N2539" s="17">
        <v>669</v>
      </c>
      <c r="O2539" s="18" t="s">
        <v>88</v>
      </c>
      <c r="P2539" s="18">
        <v>669</v>
      </c>
      <c r="Q2539" s="18">
        <v>30</v>
      </c>
      <c r="R2539" s="18" t="s">
        <v>778</v>
      </c>
      <c r="S2539" s="18" t="s">
        <v>842</v>
      </c>
      <c r="T2539" s="18" t="s">
        <v>840</v>
      </c>
      <c r="U253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39" s="19">
        <f>IF(AUDITORIA[[#This Row],[CAT]]="",0,1)</f>
        <v>1</v>
      </c>
      <c r="W2539" s="20">
        <v>46233</v>
      </c>
      <c r="X2539" s="21" t="s">
        <v>906</v>
      </c>
      <c r="Y2539" s="24" t="s">
        <v>901</v>
      </c>
      <c r="Z2539" s="24" t="s">
        <v>945</v>
      </c>
      <c r="AA2539" s="24" t="s">
        <v>946</v>
      </c>
    </row>
    <row r="2540" spans="1:27" hidden="1" x14ac:dyDescent="0.3">
      <c r="A2540" s="29" t="s">
        <v>279</v>
      </c>
      <c r="B2540" s="4" t="s">
        <v>17</v>
      </c>
      <c r="C2540" s="16" t="s">
        <v>18</v>
      </c>
      <c r="D2540" s="4">
        <v>11</v>
      </c>
      <c r="E2540" s="4" t="s">
        <v>745</v>
      </c>
      <c r="F2540" t="s">
        <v>591</v>
      </c>
      <c r="G2540" t="s">
        <v>368</v>
      </c>
      <c r="J2540" s="4" t="s">
        <v>88</v>
      </c>
      <c r="K2540" s="4" t="s">
        <v>20</v>
      </c>
      <c r="L2540" s="4" t="s">
        <v>742</v>
      </c>
      <c r="M2540" s="17">
        <v>30</v>
      </c>
      <c r="N2540" s="17">
        <v>676</v>
      </c>
      <c r="O2540" s="18" t="s">
        <v>88</v>
      </c>
      <c r="P2540" s="18">
        <v>676</v>
      </c>
      <c r="Q2540" s="18">
        <v>30</v>
      </c>
      <c r="R2540" s="18" t="s">
        <v>778</v>
      </c>
      <c r="S2540" s="18" t="s">
        <v>842</v>
      </c>
      <c r="T2540" s="18" t="s">
        <v>843</v>
      </c>
      <c r="U254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40" s="19">
        <f>IF(AUDITORIA[[#This Row],[CAT]]="",0,1)</f>
        <v>1</v>
      </c>
      <c r="W2540" s="20">
        <v>46233</v>
      </c>
      <c r="X2540" s="21" t="s">
        <v>906</v>
      </c>
      <c r="Y2540" s="24" t="s">
        <v>901</v>
      </c>
      <c r="Z2540" s="24" t="s">
        <v>945</v>
      </c>
      <c r="AA2540" s="24" t="s">
        <v>946</v>
      </c>
    </row>
    <row r="2541" spans="1:27" hidden="1" x14ac:dyDescent="0.3">
      <c r="A2541" s="29" t="s">
        <v>279</v>
      </c>
      <c r="B2541" s="4" t="s">
        <v>17</v>
      </c>
      <c r="C2541" s="16" t="s">
        <v>18</v>
      </c>
      <c r="D2541" s="4">
        <v>11</v>
      </c>
      <c r="E2541" s="4" t="s">
        <v>745</v>
      </c>
      <c r="F2541" t="s">
        <v>592</v>
      </c>
      <c r="G2541" t="s">
        <v>368</v>
      </c>
      <c r="J2541" s="4" t="s">
        <v>88</v>
      </c>
      <c r="K2541" s="4" t="s">
        <v>20</v>
      </c>
      <c r="L2541" s="4" t="s">
        <v>742</v>
      </c>
      <c r="M2541" s="17">
        <v>30</v>
      </c>
      <c r="N2541" s="17">
        <v>667</v>
      </c>
      <c r="O2541" s="18" t="s">
        <v>88</v>
      </c>
      <c r="P2541" s="18">
        <v>667</v>
      </c>
      <c r="Q2541" s="18">
        <v>30</v>
      </c>
      <c r="R2541" s="18" t="s">
        <v>778</v>
      </c>
      <c r="S2541" s="18" t="s">
        <v>842</v>
      </c>
      <c r="T2541" s="18" t="s">
        <v>844</v>
      </c>
      <c r="U254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41" s="19">
        <f>IF(AUDITORIA[[#This Row],[CAT]]="",0,1)</f>
        <v>1</v>
      </c>
      <c r="W2541" s="20">
        <v>46233</v>
      </c>
      <c r="X2541" s="21" t="s">
        <v>906</v>
      </c>
      <c r="Y2541" s="24" t="s">
        <v>901</v>
      </c>
      <c r="Z2541" s="24" t="s">
        <v>945</v>
      </c>
      <c r="AA2541" s="24" t="s">
        <v>946</v>
      </c>
    </row>
    <row r="2542" spans="1:27" hidden="1" x14ac:dyDescent="0.3">
      <c r="A2542" s="29" t="s">
        <v>279</v>
      </c>
      <c r="B2542" s="4" t="s">
        <v>17</v>
      </c>
      <c r="C2542" s="16" t="s">
        <v>18</v>
      </c>
      <c r="D2542" s="4">
        <v>11</v>
      </c>
      <c r="E2542" s="4" t="s">
        <v>745</v>
      </c>
      <c r="F2542" t="s">
        <v>497</v>
      </c>
      <c r="G2542" t="s">
        <v>368</v>
      </c>
      <c r="J2542" s="4" t="s">
        <v>88</v>
      </c>
      <c r="K2542" s="4" t="s">
        <v>20</v>
      </c>
      <c r="L2542" s="4" t="s">
        <v>742</v>
      </c>
      <c r="M2542" s="17">
        <v>30</v>
      </c>
      <c r="N2542" s="17">
        <v>680</v>
      </c>
      <c r="O2542" s="18" t="s">
        <v>88</v>
      </c>
      <c r="P2542" s="18">
        <v>680</v>
      </c>
      <c r="Q2542" s="18">
        <v>30</v>
      </c>
      <c r="R2542" s="18" t="s">
        <v>778</v>
      </c>
      <c r="S2542" s="18" t="s">
        <v>941</v>
      </c>
      <c r="T2542" s="18" t="s">
        <v>780</v>
      </c>
      <c r="U254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42" s="19">
        <f>IF(AUDITORIA[[#This Row],[CAT]]="",0,1)</f>
        <v>1</v>
      </c>
      <c r="W2542" s="20">
        <v>46233</v>
      </c>
      <c r="X2542" s="21" t="s">
        <v>906</v>
      </c>
      <c r="Y2542" s="24" t="s">
        <v>901</v>
      </c>
      <c r="Z2542" s="24" t="s">
        <v>945</v>
      </c>
      <c r="AA2542" s="24" t="s">
        <v>946</v>
      </c>
    </row>
    <row r="2543" spans="1:27" hidden="1" x14ac:dyDescent="0.3">
      <c r="A2543" s="29" t="s">
        <v>279</v>
      </c>
      <c r="B2543" s="4" t="s">
        <v>17</v>
      </c>
      <c r="C2543" s="16" t="s">
        <v>18</v>
      </c>
      <c r="D2543" s="4">
        <v>11</v>
      </c>
      <c r="E2543" s="4" t="s">
        <v>745</v>
      </c>
      <c r="F2543" t="s">
        <v>593</v>
      </c>
      <c r="G2543" t="s">
        <v>368</v>
      </c>
      <c r="J2543" s="4" t="s">
        <v>88</v>
      </c>
      <c r="K2543" s="4" t="s">
        <v>20</v>
      </c>
      <c r="L2543" s="4" t="s">
        <v>742</v>
      </c>
      <c r="M2543" s="17">
        <v>30</v>
      </c>
      <c r="N2543" s="17">
        <v>703</v>
      </c>
      <c r="O2543" s="18" t="s">
        <v>88</v>
      </c>
      <c r="P2543" s="18">
        <v>703</v>
      </c>
      <c r="Q2543" s="18">
        <v>30</v>
      </c>
      <c r="R2543" s="18" t="s">
        <v>778</v>
      </c>
      <c r="S2543" s="18" t="s">
        <v>941</v>
      </c>
      <c r="T2543" s="18" t="s">
        <v>781</v>
      </c>
      <c r="U254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43" s="19">
        <f>IF(AUDITORIA[[#This Row],[CAT]]="",0,1)</f>
        <v>1</v>
      </c>
      <c r="W2543" s="20">
        <v>46233</v>
      </c>
      <c r="X2543" s="21" t="s">
        <v>906</v>
      </c>
      <c r="Y2543" s="24" t="s">
        <v>901</v>
      </c>
      <c r="Z2543" s="24" t="s">
        <v>945</v>
      </c>
      <c r="AA2543" s="24" t="s">
        <v>946</v>
      </c>
    </row>
    <row r="2544" spans="1:27" hidden="1" x14ac:dyDescent="0.3">
      <c r="A2544" s="29" t="s">
        <v>279</v>
      </c>
      <c r="B2544" s="4" t="s">
        <v>17</v>
      </c>
      <c r="C2544" s="16" t="s">
        <v>18</v>
      </c>
      <c r="D2544" s="4">
        <v>11</v>
      </c>
      <c r="E2544" s="4" t="s">
        <v>745</v>
      </c>
      <c r="F2544" t="s">
        <v>594</v>
      </c>
      <c r="G2544" t="s">
        <v>368</v>
      </c>
      <c r="J2544" s="4" t="s">
        <v>88</v>
      </c>
      <c r="K2544" s="4" t="s">
        <v>20</v>
      </c>
      <c r="L2544" s="4" t="s">
        <v>742</v>
      </c>
      <c r="M2544" s="17">
        <v>11</v>
      </c>
      <c r="N2544" s="17">
        <v>702</v>
      </c>
      <c r="O2544" s="18" t="s">
        <v>88</v>
      </c>
      <c r="P2544" s="18">
        <v>702</v>
      </c>
      <c r="Q2544" s="18">
        <v>11</v>
      </c>
      <c r="R2544" s="18" t="s">
        <v>778</v>
      </c>
      <c r="S2544" s="18" t="s">
        <v>941</v>
      </c>
      <c r="T2544" s="18" t="s">
        <v>782</v>
      </c>
      <c r="U254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44" s="19">
        <f>IF(AUDITORIA[[#This Row],[CAT]]="",0,1)</f>
        <v>1</v>
      </c>
      <c r="W2544" s="20">
        <v>46233</v>
      </c>
      <c r="X2544" s="21" t="s">
        <v>906</v>
      </c>
      <c r="Y2544" s="24" t="s">
        <v>901</v>
      </c>
      <c r="Z2544" s="24" t="s">
        <v>945</v>
      </c>
      <c r="AA2544" s="24" t="s">
        <v>946</v>
      </c>
    </row>
    <row r="2545" spans="1:27" hidden="1" x14ac:dyDescent="0.3">
      <c r="A2545" s="29" t="s">
        <v>279</v>
      </c>
      <c r="B2545" s="4" t="s">
        <v>17</v>
      </c>
      <c r="C2545" s="16" t="s">
        <v>18</v>
      </c>
      <c r="D2545" s="4">
        <v>11</v>
      </c>
      <c r="E2545" s="4" t="s">
        <v>745</v>
      </c>
      <c r="F2545" t="s">
        <v>582</v>
      </c>
      <c r="G2545" t="s">
        <v>368</v>
      </c>
      <c r="J2545" s="4" t="s">
        <v>88</v>
      </c>
      <c r="K2545" s="4" t="s">
        <v>21</v>
      </c>
      <c r="L2545" s="4" t="s">
        <v>742</v>
      </c>
      <c r="M2545" s="17">
        <v>30</v>
      </c>
      <c r="N2545" s="17">
        <v>884</v>
      </c>
      <c r="O2545" s="18" t="s">
        <v>88</v>
      </c>
      <c r="P2545" s="18">
        <v>884</v>
      </c>
      <c r="Q2545" s="18">
        <v>30</v>
      </c>
      <c r="R2545" s="18" t="s">
        <v>778</v>
      </c>
      <c r="S2545" s="18" t="s">
        <v>845</v>
      </c>
      <c r="T2545" s="18" t="s">
        <v>780</v>
      </c>
      <c r="U2545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45" s="19">
        <f>IF(AUDITORIA[[#This Row],[CAT]]="",0,1)</f>
        <v>1</v>
      </c>
      <c r="W2545" s="20">
        <v>46233</v>
      </c>
      <c r="X2545" s="21" t="s">
        <v>906</v>
      </c>
      <c r="Y2545" s="24" t="s">
        <v>901</v>
      </c>
      <c r="Z2545" s="24" t="s">
        <v>945</v>
      </c>
      <c r="AA2545" s="24" t="s">
        <v>946</v>
      </c>
    </row>
    <row r="2546" spans="1:27" hidden="1" x14ac:dyDescent="0.3">
      <c r="A2546" s="29" t="s">
        <v>279</v>
      </c>
      <c r="B2546" s="4" t="s">
        <v>17</v>
      </c>
      <c r="C2546" s="16" t="s">
        <v>18</v>
      </c>
      <c r="D2546" s="4">
        <v>11</v>
      </c>
      <c r="E2546" s="4" t="s">
        <v>745</v>
      </c>
      <c r="F2546" t="s">
        <v>585</v>
      </c>
      <c r="G2546" t="s">
        <v>368</v>
      </c>
      <c r="J2546" s="4" t="s">
        <v>88</v>
      </c>
      <c r="K2546" s="4" t="s">
        <v>21</v>
      </c>
      <c r="L2546" s="4" t="s">
        <v>742</v>
      </c>
      <c r="M2546" s="17">
        <v>30</v>
      </c>
      <c r="N2546" s="17">
        <v>859</v>
      </c>
      <c r="O2546" s="18" t="s">
        <v>88</v>
      </c>
      <c r="P2546" s="18">
        <v>859</v>
      </c>
      <c r="Q2546" s="18">
        <v>30</v>
      </c>
      <c r="R2546" s="18" t="s">
        <v>778</v>
      </c>
      <c r="S2546" s="18" t="s">
        <v>845</v>
      </c>
      <c r="T2546" s="18" t="s">
        <v>781</v>
      </c>
      <c r="U2546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46" s="19">
        <f>IF(AUDITORIA[[#This Row],[CAT]]="",0,1)</f>
        <v>1</v>
      </c>
      <c r="W2546" s="20">
        <v>46233</v>
      </c>
      <c r="X2546" s="21" t="s">
        <v>906</v>
      </c>
      <c r="Y2546" s="24" t="s">
        <v>901</v>
      </c>
      <c r="Z2546" s="24" t="s">
        <v>945</v>
      </c>
      <c r="AA2546" s="24" t="s">
        <v>946</v>
      </c>
    </row>
    <row r="2547" spans="1:27" hidden="1" x14ac:dyDescent="0.3">
      <c r="A2547" s="29" t="s">
        <v>279</v>
      </c>
      <c r="B2547" s="4" t="s">
        <v>17</v>
      </c>
      <c r="C2547" s="16" t="s">
        <v>18</v>
      </c>
      <c r="D2547" s="4">
        <v>11</v>
      </c>
      <c r="E2547" s="4" t="s">
        <v>745</v>
      </c>
      <c r="F2547" t="s">
        <v>588</v>
      </c>
      <c r="G2547" t="s">
        <v>368</v>
      </c>
      <c r="J2547" s="4" t="s">
        <v>88</v>
      </c>
      <c r="K2547" s="4" t="s">
        <v>21</v>
      </c>
      <c r="L2547" s="4" t="s">
        <v>742</v>
      </c>
      <c r="M2547" s="17">
        <v>30</v>
      </c>
      <c r="N2547" s="17">
        <v>868</v>
      </c>
      <c r="O2547" s="18" t="s">
        <v>88</v>
      </c>
      <c r="P2547" s="18">
        <v>868</v>
      </c>
      <c r="Q2547" s="18">
        <v>30</v>
      </c>
      <c r="R2547" s="18" t="s">
        <v>778</v>
      </c>
      <c r="S2547" s="18" t="s">
        <v>845</v>
      </c>
      <c r="T2547" s="18" t="s">
        <v>794</v>
      </c>
      <c r="U2547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47" s="19">
        <f>IF(AUDITORIA[[#This Row],[CAT]]="",0,1)</f>
        <v>1</v>
      </c>
      <c r="W2547" s="20">
        <v>46233</v>
      </c>
      <c r="X2547" s="21" t="s">
        <v>906</v>
      </c>
      <c r="Y2547" s="24" t="s">
        <v>901</v>
      </c>
      <c r="Z2547" s="24" t="s">
        <v>945</v>
      </c>
      <c r="AA2547" s="24" t="s">
        <v>946</v>
      </c>
    </row>
    <row r="2548" spans="1:27" hidden="1" x14ac:dyDescent="0.3">
      <c r="A2548" s="29" t="s">
        <v>279</v>
      </c>
      <c r="B2548" s="4" t="s">
        <v>17</v>
      </c>
      <c r="C2548" s="16" t="s">
        <v>18</v>
      </c>
      <c r="D2548" s="4">
        <v>11</v>
      </c>
      <c r="E2548" s="4" t="s">
        <v>745</v>
      </c>
      <c r="F2548" t="s">
        <v>586</v>
      </c>
      <c r="G2548" t="s">
        <v>368</v>
      </c>
      <c r="J2548" s="4" t="s">
        <v>88</v>
      </c>
      <c r="K2548" s="4" t="s">
        <v>21</v>
      </c>
      <c r="L2548" s="4" t="s">
        <v>742</v>
      </c>
      <c r="M2548" s="17">
        <v>30</v>
      </c>
      <c r="N2548" s="17">
        <v>861</v>
      </c>
      <c r="O2548" s="18" t="s">
        <v>88</v>
      </c>
      <c r="P2548" s="18">
        <v>861</v>
      </c>
      <c r="Q2548" s="18">
        <v>30</v>
      </c>
      <c r="R2548" s="18" t="s">
        <v>778</v>
      </c>
      <c r="S2548" s="18" t="s">
        <v>845</v>
      </c>
      <c r="T2548" s="18" t="s">
        <v>782</v>
      </c>
      <c r="U2548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48" s="19">
        <f>IF(AUDITORIA[[#This Row],[CAT]]="",0,1)</f>
        <v>1</v>
      </c>
      <c r="W2548" s="20">
        <v>46233</v>
      </c>
      <c r="X2548" s="21" t="s">
        <v>906</v>
      </c>
      <c r="Y2548" s="24" t="s">
        <v>901</v>
      </c>
      <c r="Z2548" s="24" t="s">
        <v>945</v>
      </c>
      <c r="AA2548" s="24" t="s">
        <v>946</v>
      </c>
    </row>
    <row r="2549" spans="1:27" hidden="1" x14ac:dyDescent="0.3">
      <c r="A2549" s="29" t="s">
        <v>279</v>
      </c>
      <c r="B2549" s="4" t="s">
        <v>17</v>
      </c>
      <c r="C2549" s="16" t="s">
        <v>18</v>
      </c>
      <c r="D2549" s="4">
        <v>11</v>
      </c>
      <c r="E2549" s="4" t="s">
        <v>745</v>
      </c>
      <c r="F2549" t="s">
        <v>590</v>
      </c>
      <c r="G2549" t="s">
        <v>368</v>
      </c>
      <c r="J2549" s="4" t="s">
        <v>88</v>
      </c>
      <c r="K2549" s="4" t="s">
        <v>21</v>
      </c>
      <c r="L2549" s="4" t="s">
        <v>742</v>
      </c>
      <c r="M2549" s="17">
        <v>30</v>
      </c>
      <c r="N2549" s="17">
        <v>869</v>
      </c>
      <c r="O2549" s="18" t="s">
        <v>88</v>
      </c>
      <c r="P2549" s="18">
        <v>869</v>
      </c>
      <c r="Q2549" s="18">
        <v>30</v>
      </c>
      <c r="R2549" s="18" t="s">
        <v>778</v>
      </c>
      <c r="S2549" s="18" t="s">
        <v>845</v>
      </c>
      <c r="T2549" s="18" t="s">
        <v>840</v>
      </c>
      <c r="U2549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49" s="19">
        <f>IF(AUDITORIA[[#This Row],[CAT]]="",0,1)</f>
        <v>1</v>
      </c>
      <c r="W2549" s="20">
        <v>46233</v>
      </c>
      <c r="X2549" s="21" t="s">
        <v>906</v>
      </c>
      <c r="Y2549" s="24" t="s">
        <v>901</v>
      </c>
      <c r="Z2549" s="24" t="s">
        <v>945</v>
      </c>
      <c r="AA2549" s="24" t="s">
        <v>946</v>
      </c>
    </row>
    <row r="2550" spans="1:27" hidden="1" x14ac:dyDescent="0.3">
      <c r="A2550" s="29" t="s">
        <v>279</v>
      </c>
      <c r="B2550" s="4" t="s">
        <v>17</v>
      </c>
      <c r="C2550" s="16" t="s">
        <v>18</v>
      </c>
      <c r="D2550" s="4">
        <v>11</v>
      </c>
      <c r="E2550" s="4" t="s">
        <v>745</v>
      </c>
      <c r="F2550" t="s">
        <v>496</v>
      </c>
      <c r="G2550" t="s">
        <v>368</v>
      </c>
      <c r="J2550" s="4" t="s">
        <v>88</v>
      </c>
      <c r="K2550" s="4" t="s">
        <v>21</v>
      </c>
      <c r="L2550" s="4" t="s">
        <v>742</v>
      </c>
      <c r="M2550" s="17">
        <v>30</v>
      </c>
      <c r="N2550" s="17">
        <v>880</v>
      </c>
      <c r="O2550" s="18" t="s">
        <v>88</v>
      </c>
      <c r="P2550" s="18">
        <v>880</v>
      </c>
      <c r="Q2550" s="18">
        <v>30</v>
      </c>
      <c r="R2550" s="18" t="s">
        <v>778</v>
      </c>
      <c r="S2550" s="18" t="s">
        <v>845</v>
      </c>
      <c r="T2550" s="18" t="s">
        <v>844</v>
      </c>
      <c r="U2550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50" s="19">
        <f>IF(AUDITORIA[[#This Row],[CAT]]="",0,1)</f>
        <v>1</v>
      </c>
      <c r="W2550" s="20">
        <v>46233</v>
      </c>
      <c r="X2550" s="21" t="s">
        <v>906</v>
      </c>
      <c r="Y2550" s="24" t="s">
        <v>901</v>
      </c>
      <c r="Z2550" s="24" t="s">
        <v>945</v>
      </c>
      <c r="AA2550" s="24" t="s">
        <v>946</v>
      </c>
    </row>
    <row r="2551" spans="1:27" hidden="1" x14ac:dyDescent="0.3">
      <c r="A2551" s="29" t="s">
        <v>279</v>
      </c>
      <c r="B2551" s="4" t="s">
        <v>17</v>
      </c>
      <c r="C2551" s="16" t="s">
        <v>18</v>
      </c>
      <c r="D2551" s="4">
        <v>11</v>
      </c>
      <c r="E2551" s="4" t="s">
        <v>745</v>
      </c>
      <c r="F2551" t="s">
        <v>596</v>
      </c>
      <c r="G2551" t="s">
        <v>368</v>
      </c>
      <c r="J2551" s="4" t="s">
        <v>88</v>
      </c>
      <c r="K2551" s="4" t="s">
        <v>21</v>
      </c>
      <c r="L2551" s="4" t="s">
        <v>742</v>
      </c>
      <c r="M2551" s="17">
        <v>30</v>
      </c>
      <c r="N2551" s="17">
        <v>884</v>
      </c>
      <c r="O2551" s="18" t="s">
        <v>88</v>
      </c>
      <c r="P2551" s="18">
        <v>884</v>
      </c>
      <c r="Q2551" s="18">
        <v>30</v>
      </c>
      <c r="R2551" s="18" t="s">
        <v>778</v>
      </c>
      <c r="S2551" s="18" t="s">
        <v>845</v>
      </c>
      <c r="T2551" s="18" t="s">
        <v>843</v>
      </c>
      <c r="U2551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51" s="19">
        <f>IF(AUDITORIA[[#This Row],[CAT]]="",0,1)</f>
        <v>1</v>
      </c>
      <c r="W2551" s="20">
        <v>46233</v>
      </c>
      <c r="X2551" s="21" t="s">
        <v>906</v>
      </c>
      <c r="Y2551" s="24" t="s">
        <v>901</v>
      </c>
      <c r="Z2551" s="24" t="s">
        <v>945</v>
      </c>
      <c r="AA2551" s="24" t="s">
        <v>946</v>
      </c>
    </row>
    <row r="2552" spans="1:27" hidden="1" x14ac:dyDescent="0.3">
      <c r="A2552" s="29" t="s">
        <v>279</v>
      </c>
      <c r="B2552" s="4" t="s">
        <v>17</v>
      </c>
      <c r="C2552" s="16" t="s">
        <v>18</v>
      </c>
      <c r="D2552" s="4">
        <v>11</v>
      </c>
      <c r="E2552" s="4" t="s">
        <v>745</v>
      </c>
      <c r="F2552" t="s">
        <v>595</v>
      </c>
      <c r="G2552" t="s">
        <v>368</v>
      </c>
      <c r="J2552" s="4" t="s">
        <v>88</v>
      </c>
      <c r="K2552" s="4" t="s">
        <v>21</v>
      </c>
      <c r="L2552" s="4" t="s">
        <v>742</v>
      </c>
      <c r="M2552" s="17">
        <v>21</v>
      </c>
      <c r="N2552" s="17">
        <v>884</v>
      </c>
      <c r="O2552" s="18" t="s">
        <v>88</v>
      </c>
      <c r="P2552" s="18">
        <v>884</v>
      </c>
      <c r="Q2552" s="18">
        <v>21</v>
      </c>
      <c r="R2552" s="18" t="s">
        <v>778</v>
      </c>
      <c r="S2552" s="18" t="s">
        <v>941</v>
      </c>
      <c r="T2552" s="18" t="s">
        <v>794</v>
      </c>
      <c r="U2552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52" s="19">
        <f>IF(AUDITORIA[[#This Row],[CAT]]="",0,1)</f>
        <v>1</v>
      </c>
      <c r="W2552" s="20">
        <v>46233</v>
      </c>
      <c r="X2552" s="21" t="s">
        <v>906</v>
      </c>
      <c r="Y2552" s="24" t="s">
        <v>901</v>
      </c>
      <c r="Z2552" s="24" t="s">
        <v>945</v>
      </c>
      <c r="AA2552" s="24" t="s">
        <v>946</v>
      </c>
    </row>
    <row r="2553" spans="1:27" hidden="1" x14ac:dyDescent="0.3">
      <c r="A2553" s="22" t="s">
        <v>833</v>
      </c>
      <c r="B2553" s="22"/>
      <c r="C2553" s="23"/>
      <c r="D2553" s="22"/>
      <c r="E2553" s="22" t="s">
        <v>746</v>
      </c>
      <c r="F2553" s="24"/>
      <c r="G2553" s="24"/>
      <c r="J2553" s="22"/>
      <c r="K2553" s="22"/>
      <c r="L2553" s="22"/>
      <c r="M2553" s="19">
        <f>SUMIFS($M$2:$M$1924,$X$2:$X$1924,AUDITORIA[[#This Row],[MÊS]],$E$2:$E$1924,AUDITORIA[[#This Row],[CULTURA]])</f>
        <v>4306</v>
      </c>
      <c r="N2553" s="19"/>
      <c r="O2553" s="19"/>
      <c r="P2553" s="19"/>
      <c r="Q2553" s="19">
        <f>SUMIFS($Q$2:$Q$1924,$X$2:$X$1924,AUDITORIA[[#This Row],[MÊS]],$E$2:$E$1924,AUDITORIA[[#This Row],[CULTURA]])</f>
        <v>4306</v>
      </c>
      <c r="R2553" s="19"/>
      <c r="S2553" s="19"/>
      <c r="T2553" s="19"/>
      <c r="U2553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53" s="19">
        <f>SUMIFS($V$2:$V$1924,$X$2:$X$1924,AUDITORIA[[#This Row],[MÊS]],$E$2:$E$1924,AUDITORIA[[#This Row],[CULTURA]])</f>
        <v>32</v>
      </c>
      <c r="W2553" s="25">
        <v>46141</v>
      </c>
      <c r="X2553" s="21" t="str">
        <f>UPPER(IF(AUDITORIA[[#This Row],[DATA VERIFICAÇÃO]]="","",TEXT(AUDITORIA[[#This Row],[DATA VERIFICAÇÃO]],"mmm")))</f>
        <v>ABR</v>
      </c>
      <c r="Y2553" s="24"/>
      <c r="Z2553" s="24"/>
      <c r="AA2553" s="24"/>
    </row>
    <row r="2554" spans="1:27" hidden="1" x14ac:dyDescent="0.3">
      <c r="A2554" s="22" t="s">
        <v>833</v>
      </c>
      <c r="B2554" s="22"/>
      <c r="C2554" s="23"/>
      <c r="D2554" s="22"/>
      <c r="E2554" s="22" t="s">
        <v>745</v>
      </c>
      <c r="F2554" s="24"/>
      <c r="G2554" s="24"/>
      <c r="H2554" s="24"/>
      <c r="I2554" s="24"/>
      <c r="J2554" s="22"/>
      <c r="K2554" s="22"/>
      <c r="L2554" s="22"/>
      <c r="M2554" s="19">
        <f>SUMIFS($M$2:$M$1924,$X$2:$X$1924,AUDITORIA[[#This Row],[MÊS]],$E$2:$E$1924,AUDITORIA[[#This Row],[CULTURA]])</f>
        <v>17160</v>
      </c>
      <c r="N2554" s="19"/>
      <c r="O2554" s="19"/>
      <c r="P2554" s="19"/>
      <c r="Q2554" s="19">
        <f>SUMIFS($Q$2:$Q$1924,$X$2:$X$1924,AUDITORIA[[#This Row],[MÊS]],$E$2:$E$1924,AUDITORIA[[#This Row],[CULTURA]])</f>
        <v>17160</v>
      </c>
      <c r="R2554" s="19"/>
      <c r="S2554" s="19"/>
      <c r="T2554" s="19"/>
      <c r="U2554" s="19" t="str">
        <f>IF(AUDITORIA[[#This Row],[QTD FÍSICA]]="","",IF(AND(AUDITORIA[[#This Row],[CAT]]=AUDITORIA[[#This Row],[CAT. FÍS.]],AUDITORIA[[#This Row],[QTD FÍSICA]]=AUDITORIA[[#This Row],[QTD SISTEMA]]),"SIM","NÃO"))</f>
        <v>SIM</v>
      </c>
      <c r="V2554" s="19">
        <f>SUMIFS($V$2:$V$1924,$X$2:$X$1924,AUDITORIA[[#This Row],[MÊS]],$E$2:$E$1924,AUDITORIA[[#This Row],[CULTURA]])</f>
        <v>627</v>
      </c>
      <c r="W2554" s="25">
        <v>46197</v>
      </c>
      <c r="X2554" s="21" t="str">
        <f>UPPER(IF(AUDITORIA[[#This Row],[DATA VERIFICAÇÃO]]="","",TEXT(AUDITORIA[[#This Row],[DATA VERIFICAÇÃO]],"mmm")))</f>
        <v>JUN</v>
      </c>
      <c r="Y2554" s="24"/>
      <c r="Z2554" s="24"/>
      <c r="AA2554" s="24"/>
    </row>
    <row r="2555" spans="1:27" x14ac:dyDescent="0.3">
      <c r="A2555" t="s">
        <v>606</v>
      </c>
      <c r="B2555"/>
      <c r="C2555"/>
      <c r="D2555"/>
      <c r="E2555"/>
      <c r="J2555"/>
      <c r="K2555"/>
      <c r="L2555"/>
      <c r="M2555" s="17">
        <f>SUBTOTAL(109,AUDITORIA[QTD SISTEMA])</f>
        <v>360</v>
      </c>
      <c r="Q2555" s="17">
        <f>SUBTOTAL(109,AUDITORIA[QTD FÍSICA])</f>
        <v>270</v>
      </c>
      <c r="R2555" s="17"/>
      <c r="S2555" s="17"/>
      <c r="T2555" s="17"/>
      <c r="V2555" s="17">
        <f>SUBTOTAL(109,AUDITORIA[N° Lotes])</f>
        <v>9</v>
      </c>
      <c r="W2555" s="26"/>
      <c r="X2555" s="26"/>
    </row>
    <row r="2556" spans="1:27" x14ac:dyDescent="0.3">
      <c r="A2556" s="1" t="s">
        <v>277</v>
      </c>
      <c r="C2556" s="6"/>
      <c r="D2556" s="6"/>
      <c r="E2556" s="6"/>
      <c r="F2556" s="5"/>
      <c r="G2556" s="5"/>
      <c r="H2556" s="5"/>
      <c r="I2556" s="5"/>
      <c r="J2556" s="6"/>
      <c r="K2556" s="6"/>
    </row>
    <row r="2557" spans="1:27" x14ac:dyDescent="0.3">
      <c r="A2557" s="1" t="s">
        <v>597</v>
      </c>
      <c r="C2557" s="7"/>
      <c r="D2557" s="7"/>
      <c r="E2557" s="7"/>
      <c r="F2557" s="8"/>
      <c r="G2557" s="8"/>
      <c r="H2557" s="8"/>
      <c r="I2557" s="8"/>
      <c r="J2557" s="7"/>
      <c r="K2557" s="7"/>
    </row>
    <row r="2558" spans="1:27" x14ac:dyDescent="0.3">
      <c r="A2558" s="1" t="s">
        <v>278</v>
      </c>
      <c r="C2558" s="7"/>
      <c r="D2558" s="7"/>
      <c r="E2558" s="7"/>
      <c r="F2558" s="8"/>
      <c r="G2558" s="8"/>
      <c r="H2558" s="8"/>
      <c r="I2558" s="8"/>
      <c r="J2558" s="7"/>
      <c r="K2558" s="7"/>
      <c r="M2558" s="17"/>
      <c r="Q2558" s="17"/>
      <c r="R2558" s="17"/>
      <c r="S2558" s="17"/>
      <c r="T2558" s="17"/>
      <c r="V2558" s="17"/>
      <c r="W2558" s="26"/>
      <c r="X2558" s="26"/>
    </row>
  </sheetData>
  <phoneticPr fontId="2" type="noConversion"/>
  <pageMargins left="0.23622047244094491" right="0.23622047244094491" top="0.31496062992125984" bottom="0.51181102362204722" header="0.31496062992125984" footer="0.31496062992125984"/>
  <pageSetup paperSize="9" scale="51" fitToHeight="0" orientation="landscape" r:id="rId1"/>
  <headerFooter>
    <oddFooter>&amp;R&amp;P de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5F8BFE127719498012DB6FE846BE19" ma:contentTypeVersion="12" ma:contentTypeDescription="Crie um novo documento." ma:contentTypeScope="" ma:versionID="f3169adc0459a85cc031bd86131ec114">
  <xsd:schema xmlns:xsd="http://www.w3.org/2001/XMLSchema" xmlns:xs="http://www.w3.org/2001/XMLSchema" xmlns:p="http://schemas.microsoft.com/office/2006/metadata/properties" xmlns:ns2="e1b22601-ddb9-415e-af91-179ca9c33c75" xmlns:ns3="1d68b548-ae4d-4b6b-9664-2eb4fdf8eb5e" targetNamespace="http://schemas.microsoft.com/office/2006/metadata/properties" ma:root="true" ma:fieldsID="254e9d20a2daa042f3f26666d17e4d80" ns2:_="" ns3:_="">
    <xsd:import namespace="e1b22601-ddb9-415e-af91-179ca9c33c75"/>
    <xsd:import namespace="1d68b548-ae4d-4b6b-9664-2eb4fdf8eb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22601-ddb9-415e-af91-179ca9c33c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4ccb25a-81bd-4b97-b9f7-4bce4885ae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8b548-ae4d-4b6b-9664-2eb4fdf8eb5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9a2845-768c-47f1-b87d-de78a3045e0d}" ma:internalName="TaxCatchAll" ma:showField="CatchAllData" ma:web="1d68b548-ae4d-4b6b-9664-2eb4fdf8eb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b22601-ddb9-415e-af91-179ca9c33c75">
      <Terms xmlns="http://schemas.microsoft.com/office/infopath/2007/PartnerControls"/>
    </lcf76f155ced4ddcb4097134ff3c332f>
    <TaxCatchAll xmlns="1d68b548-ae4d-4b6b-9664-2eb4fdf8eb5e" xsi:nil="true"/>
  </documentManagement>
</p:properties>
</file>

<file path=customXml/item7.xml>��
</file>

<file path=customXml/item8.xml>��
</file>

<file path=customXml/item9.xml>��
</file>

<file path=customXml/itemProps1.xml><?xml version="1.0" encoding="utf-8"?>
<ds:datastoreItem xmlns:ds="http://schemas.openxmlformats.org/officeDocument/2006/customXml" ds:itemID="{1839127E-8B92-4485-8BF4-E8855E00B3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473371-19EC-4B43-96F7-F2338613AB4A}">
  <ds:schemaRefs/>
</ds:datastoreItem>
</file>

<file path=customXml/itemProps3.xml><?xml version="1.0" encoding="utf-8"?>
<ds:datastoreItem xmlns:ds="http://schemas.openxmlformats.org/officeDocument/2006/customXml" ds:itemID="{3E05C253-565A-4DF7-9FD0-E0F76F4FF59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F0AF589-A4A8-43B6-AEAB-8BE346D6B664}">
  <ds:schemaRefs/>
</ds:datastoreItem>
</file>

<file path=customXml/itemProps5.xml><?xml version="1.0" encoding="utf-8"?>
<ds:datastoreItem xmlns:ds="http://schemas.openxmlformats.org/officeDocument/2006/customXml" ds:itemID="{93B9329B-D5B3-40E9-A738-C69200B444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b22601-ddb9-415e-af91-179ca9c33c75"/>
    <ds:schemaRef ds:uri="1d68b548-ae4d-4b6b-9664-2eb4fdf8eb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B912EA47-3EAD-47A0-B3D7-102306020AFA}">
  <ds:schemaRefs>
    <ds:schemaRef ds:uri="http://schemas.microsoft.com/office/2006/metadata/properties"/>
    <ds:schemaRef ds:uri="http://schemas.microsoft.com/office/infopath/2007/PartnerControls"/>
    <ds:schemaRef ds:uri="e1b22601-ddb9-415e-af91-179ca9c33c75"/>
    <ds:schemaRef ds:uri="1d68b548-ae4d-4b6b-9664-2eb4fdf8eb5e"/>
  </ds:schemaRefs>
</ds:datastoreItem>
</file>

<file path=customXml/itemProps7.xml><?xml version="1.0" encoding="utf-8"?>
<ds:datastoreItem xmlns:ds="http://schemas.openxmlformats.org/officeDocument/2006/customXml" ds:itemID="{AC47D8CD-6D17-44E1-B096-4A69288CB6BF}">
  <ds:schemaRefs/>
</ds:datastoreItem>
</file>

<file path=customXml/itemProps8.xml><?xml version="1.0" encoding="utf-8"?>
<ds:datastoreItem xmlns:ds="http://schemas.openxmlformats.org/officeDocument/2006/customXml" ds:itemID="{E6EC2DFB-85E8-44D2-B4AB-F4D649A151ED}">
  <ds:schemaRefs/>
</ds:datastoreItem>
</file>

<file path=customXml/itemProps9.xml><?xml version="1.0" encoding="utf-8"?>
<ds:datastoreItem xmlns:ds="http://schemas.openxmlformats.org/officeDocument/2006/customXml" ds:itemID="{FCAAE54A-46C6-44A3-AD8E-F42FB92147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Resultados</vt:lpstr>
      <vt:lpstr>Resultados!Titulos_de_impressao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de Castro Alves</dc:creator>
  <cp:lastModifiedBy>Samuel De Oliveira Silva</cp:lastModifiedBy>
  <cp:lastPrinted>2026-06-24T18:17:37Z</cp:lastPrinted>
  <dcterms:created xsi:type="dcterms:W3CDTF">2025-07-28T11:32:11Z</dcterms:created>
  <dcterms:modified xsi:type="dcterms:W3CDTF">2026-08-12T12:48:40Z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0x010100EC5F8BFE127719498012DB6FE846BE19</vt:lpwstr>
  </property>
  <property fmtid="{D5CDD505-2E9C-101B-9397-08002B2CF9AE}" pid="3" name="MediaServiceImageTags">
    <vt:lpwstr/>
  </property>
</Properties>
</file>